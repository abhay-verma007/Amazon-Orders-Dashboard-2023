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xr:revisionPtr revIDLastSave="0" documentId="13_ncr:1_{4B9B59CE-9CB2-41CB-9610-E0D1D62416E0}" xr6:coauthVersionLast="47" xr6:coauthVersionMax="47" xr10:uidLastSave="{00000000-0000-0000-0000-000000000000}"/>
  <bookViews>
    <workbookView xWindow="-108" yWindow="-108" windowWidth="23256" windowHeight="12576" tabRatio="724" xr2:uid="{487FA931-B3B5-4C48-8AB8-DA281E2DAD9F}"/>
  </bookViews>
  <sheets>
    <sheet name="Orders" sheetId="1" r:id="rId1"/>
    <sheet name="Customers" sheetId="4" r:id="rId2"/>
    <sheet name="Sales Targets" sheetId="3" r:id="rId3"/>
    <sheet name="Answers" sheetId="5" r:id="rId4"/>
    <sheet name="Orders Over Month" sheetId="6" r:id="rId5"/>
    <sheet name="Customer over Country Sales" sheetId="7" r:id="rId6"/>
    <sheet name="Orders Over Hours" sheetId="8" r:id="rId7"/>
    <sheet name="Orders Over Days" sheetId="9" r:id="rId8"/>
    <sheet name="Order Sources Trend" sheetId="10" r:id="rId9"/>
    <sheet name="Orders on AgeGroup Trend" sheetId="11" r:id="rId10"/>
    <sheet name="Target on POC Trend" sheetId="12" r:id="rId11"/>
    <sheet name="Sales Team's Target Trend" sheetId="13" r:id="rId12"/>
    <sheet name="Managers Sales Target" sheetId="15" r:id="rId13"/>
    <sheet name="Sales Team % Target" sheetId="16" r:id="rId14"/>
  </sheets>
  <definedNames>
    <definedName name="_xlnm._FilterDatabase" localSheetId="1" hidden="1">Customers!$A$1:$E$2501</definedName>
    <definedName name="_xlnm._FilterDatabase" localSheetId="0" hidden="1">Orders!$A$1:$K$2501</definedName>
    <definedName name="_xlnm._FilterDatabase" localSheetId="2" hidden="1">'Sales Targets'!$A$1:$I$93</definedName>
    <definedName name="_xlchart.v1.0" hidden="1">Orders!$K$2:$K$2501</definedName>
    <definedName name="_xlchart.v1.1" hidden="1">Customers!$D$1</definedName>
    <definedName name="_xlchart.v1.2" hidden="1">Customers!$D$2:$D$2501</definedName>
    <definedName name="_xlchart.v1.3" hidden="1">Customers!$D$1</definedName>
    <definedName name="_xlchart.v1.4" hidden="1">Customers!$D$2:$D$2501</definedName>
  </definedNames>
  <calcPr calcId="191029"/>
  <pivotCaches>
    <pivotCache cacheId="30" r:id="rId15"/>
    <pivotCache cacheId="49" r:id="rId16"/>
    <pivotCache cacheId="5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5" l="1"/>
  <c r="C50" i="5"/>
  <c r="C52" i="5" s="1"/>
  <c r="C49" i="5"/>
  <c r="C42" i="5"/>
  <c r="C44" i="5"/>
  <c r="C43" i="5"/>
  <c r="C45" i="5"/>
  <c r="G33" i="5"/>
  <c r="G34" i="5"/>
  <c r="G35" i="5"/>
  <c r="G36" i="5"/>
  <c r="G32" i="5"/>
  <c r="G26" i="5"/>
  <c r="G27" i="5"/>
  <c r="G28" i="5"/>
  <c r="G29" i="5"/>
  <c r="G25" i="5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6" i="15"/>
  <c r="I5" i="15"/>
  <c r="H6" i="15"/>
  <c r="H5" i="15"/>
  <c r="G6" i="15"/>
  <c r="G5" i="15"/>
  <c r="G3" i="3"/>
  <c r="G4" i="3"/>
  <c r="G5" i="3"/>
  <c r="G6" i="3"/>
  <c r="G7" i="3"/>
  <c r="J7" i="3" s="1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C26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" i="1"/>
  <c r="C33" i="5" s="1"/>
  <c r="C30" i="5"/>
  <c r="C25" i="5"/>
  <c r="C14" i="5"/>
  <c r="C13" i="5"/>
  <c r="D14" i="5"/>
  <c r="D13" i="5"/>
  <c r="D12" i="5"/>
  <c r="D11" i="5"/>
  <c r="D10" i="5"/>
  <c r="C12" i="5"/>
  <c r="C11" i="5"/>
  <c r="C10" i="5"/>
  <c r="C3" i="5"/>
  <c r="D4" i="5"/>
  <c r="D3" i="5"/>
  <c r="C4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" i="1"/>
  <c r="I3" i="3" l="1"/>
  <c r="H3" i="3" a="1"/>
  <c r="I4" i="3"/>
  <c r="H4" i="3" a="1"/>
  <c r="I5" i="3"/>
  <c r="H5" i="3" a="1"/>
  <c r="I6" i="3"/>
  <c r="H6" i="3" a="1"/>
  <c r="I7" i="3"/>
  <c r="H7" i="3" a="1"/>
  <c r="D37" i="5" s="1"/>
  <c r="I8" i="3"/>
  <c r="H8" i="3" a="1"/>
  <c r="I9" i="3"/>
  <c r="H9" i="3" a="1"/>
  <c r="I10" i="3"/>
  <c r="H10" i="3" a="1"/>
  <c r="I11" i="3"/>
  <c r="H11" i="3" a="1"/>
  <c r="I12" i="3"/>
  <c r="H12" i="3" a="1"/>
  <c r="I13" i="3"/>
  <c r="H13" i="3" a="1"/>
  <c r="I14" i="3"/>
  <c r="H14" i="3" a="1"/>
  <c r="I15" i="3"/>
  <c r="H15" i="3" a="1"/>
  <c r="I16" i="3"/>
  <c r="H16" i="3" a="1"/>
  <c r="I17" i="3"/>
  <c r="H17" i="3" a="1"/>
  <c r="I18" i="3"/>
  <c r="H18" i="3" a="1"/>
  <c r="I19" i="3"/>
  <c r="H19" i="3" a="1"/>
  <c r="H20" i="3" a="1"/>
  <c r="I20" i="3"/>
  <c r="H21" i="3" a="1"/>
  <c r="I21" i="3"/>
  <c r="H22" i="3" a="1"/>
  <c r="I22" i="3"/>
  <c r="H23" i="3" a="1"/>
  <c r="I23" i="3"/>
  <c r="H24" i="3" a="1"/>
  <c r="I24" i="3"/>
  <c r="H25" i="3" a="1"/>
  <c r="I25" i="3"/>
  <c r="I26" i="3"/>
  <c r="H26" i="3" a="1"/>
  <c r="I27" i="3"/>
  <c r="H27" i="3" a="1"/>
  <c r="I28" i="3"/>
  <c r="H28" i="3" a="1"/>
  <c r="I29" i="3"/>
  <c r="H29" i="3" a="1"/>
  <c r="I30" i="3"/>
  <c r="H30" i="3" a="1"/>
  <c r="I31" i="3"/>
  <c r="H31" i="3" a="1"/>
  <c r="I32" i="3"/>
  <c r="H32" i="3" a="1"/>
  <c r="I33" i="3"/>
  <c r="H33" i="3" a="1"/>
  <c r="I34" i="3"/>
  <c r="H34" i="3" a="1"/>
  <c r="I35" i="3"/>
  <c r="H35" i="3" a="1"/>
  <c r="I36" i="3"/>
  <c r="H36" i="3" a="1"/>
  <c r="I37" i="3"/>
  <c r="H37" i="3" a="1"/>
  <c r="I38" i="3"/>
  <c r="H38" i="3" a="1"/>
  <c r="I39" i="3"/>
  <c r="H39" i="3" a="1"/>
  <c r="I40" i="3"/>
  <c r="H40" i="3" a="1"/>
  <c r="I41" i="3"/>
  <c r="H41" i="3" a="1"/>
  <c r="I42" i="3"/>
  <c r="H42" i="3" a="1"/>
  <c r="I43" i="3"/>
  <c r="H43" i="3" a="1"/>
  <c r="I44" i="3"/>
  <c r="H44" i="3" a="1"/>
  <c r="I45" i="3"/>
  <c r="H45" i="3" a="1"/>
  <c r="I46" i="3"/>
  <c r="H46" i="3" a="1"/>
  <c r="I47" i="3"/>
  <c r="H47" i="3" a="1"/>
  <c r="I48" i="3"/>
  <c r="H48" i="3" a="1"/>
  <c r="I49" i="3"/>
  <c r="H49" i="3" a="1"/>
  <c r="I50" i="3"/>
  <c r="H50" i="3" a="1"/>
  <c r="I51" i="3"/>
  <c r="H51" i="3" a="1"/>
  <c r="I52" i="3"/>
  <c r="H52" i="3" a="1"/>
  <c r="I53" i="3"/>
  <c r="H53" i="3" a="1"/>
  <c r="I54" i="3"/>
  <c r="H54" i="3" a="1"/>
  <c r="I55" i="3"/>
  <c r="H55" i="3" a="1"/>
  <c r="I56" i="3"/>
  <c r="H56" i="3" a="1"/>
  <c r="I57" i="3"/>
  <c r="H57" i="3" a="1"/>
  <c r="I58" i="3"/>
  <c r="H58" i="3" a="1"/>
  <c r="I59" i="3"/>
  <c r="H59" i="3" a="1"/>
  <c r="I60" i="3"/>
  <c r="H60" i="3" a="1"/>
  <c r="I61" i="3"/>
  <c r="H61" i="3" a="1"/>
  <c r="I62" i="3"/>
  <c r="H62" i="3" a="1"/>
  <c r="I63" i="3"/>
  <c r="H63" i="3" a="1"/>
  <c r="I64" i="3"/>
  <c r="H64" i="3" a="1"/>
  <c r="I65" i="3"/>
  <c r="H65" i="3" a="1"/>
  <c r="I66" i="3"/>
  <c r="H66" i="3" a="1"/>
  <c r="I67" i="3"/>
  <c r="H67" i="3" a="1"/>
  <c r="I68" i="3"/>
  <c r="H68" i="3" a="1"/>
  <c r="I69" i="3"/>
  <c r="H69" i="3" a="1"/>
  <c r="I70" i="3"/>
  <c r="H70" i="3" a="1"/>
  <c r="I71" i="3"/>
  <c r="H71" i="3" a="1"/>
  <c r="H72" i="3" a="1"/>
  <c r="I72" i="3"/>
  <c r="H73" i="3" a="1"/>
  <c r="I73" i="3"/>
  <c r="I74" i="3"/>
  <c r="H74" i="3" a="1"/>
  <c r="H75" i="3" a="1"/>
  <c r="I75" i="3"/>
  <c r="H76" i="3" a="1"/>
  <c r="I76" i="3"/>
  <c r="H77" i="3" a="1"/>
  <c r="I77" i="3"/>
  <c r="I78" i="3"/>
  <c r="H78" i="3" a="1"/>
  <c r="I79" i="3"/>
  <c r="H79" i="3" a="1"/>
  <c r="H80" i="3" a="1"/>
  <c r="I80" i="3"/>
  <c r="I81" i="3"/>
  <c r="H81" i="3" a="1"/>
  <c r="I82" i="3"/>
  <c r="H82" i="3" a="1"/>
  <c r="I83" i="3"/>
  <c r="H83" i="3" a="1"/>
  <c r="I84" i="3"/>
  <c r="H84" i="3" a="1"/>
  <c r="I85" i="3"/>
  <c r="H85" i="3" a="1"/>
  <c r="I86" i="3"/>
  <c r="H86" i="3" a="1"/>
  <c r="I87" i="3"/>
  <c r="H87" i="3" a="1"/>
  <c r="I88" i="3"/>
  <c r="H88" i="3" a="1"/>
  <c r="I89" i="3"/>
  <c r="H89" i="3" a="1"/>
  <c r="I90" i="3"/>
  <c r="H90" i="3" a="1"/>
  <c r="I91" i="3"/>
  <c r="H91" i="3" a="1"/>
  <c r="I92" i="3"/>
  <c r="H92" i="3" a="1"/>
  <c r="I93" i="3"/>
  <c r="H93" i="3" a="1"/>
  <c r="I2" i="3"/>
  <c r="H2" i="3" a="1"/>
  <c r="C21" i="5"/>
  <c r="C22" i="5"/>
  <c r="D15" i="5"/>
  <c r="C15" i="5"/>
  <c r="D5" i="5"/>
  <c r="C5" i="5"/>
  <c r="D36" i="5" l="1"/>
  <c r="D16" i="5"/>
  <c r="D17" i="5"/>
  <c r="C16" i="5"/>
  <c r="C17" i="5"/>
  <c r="L156" i="1" l="1"/>
  <c r="L174" i="1"/>
  <c r="L176" i="1"/>
  <c r="L177" i="1"/>
  <c r="L178" i="1"/>
  <c r="L179" i="1"/>
  <c r="L180" i="1"/>
  <c r="L181" i="1"/>
  <c r="L182" i="1"/>
  <c r="L183" i="1"/>
  <c r="L184" i="1"/>
  <c r="L186" i="1"/>
  <c r="L187" i="1"/>
  <c r="L190" i="1"/>
  <c r="L192" i="1"/>
  <c r="L194" i="1"/>
  <c r="L195" i="1"/>
  <c r="L197" i="1"/>
  <c r="L199" i="1"/>
  <c r="L201" i="1"/>
  <c r="L203" i="1"/>
  <c r="L206" i="1"/>
  <c r="L208" i="1"/>
  <c r="L210" i="1"/>
  <c r="L212" i="1"/>
  <c r="L214" i="1"/>
  <c r="L215" i="1"/>
  <c r="L218" i="1"/>
  <c r="L219" i="1"/>
  <c r="L221" i="1"/>
  <c r="L223" i="1"/>
  <c r="L225" i="1"/>
  <c r="L228" i="1"/>
  <c r="L230" i="1"/>
  <c r="L231" i="1"/>
  <c r="L234" i="1"/>
  <c r="L236" i="1"/>
  <c r="L237" i="1"/>
  <c r="L239" i="1"/>
  <c r="L241" i="1"/>
  <c r="L244" i="1"/>
  <c r="L246" i="1"/>
  <c r="L248" i="1"/>
  <c r="L250" i="1"/>
  <c r="L251" i="1"/>
  <c r="L253" i="1"/>
  <c r="L255" i="1"/>
  <c r="L257" i="1"/>
  <c r="L259" i="1"/>
  <c r="L261" i="1"/>
  <c r="L263" i="1"/>
  <c r="L265" i="1"/>
  <c r="L267" i="1"/>
  <c r="L269" i="1"/>
  <c r="L271" i="1"/>
  <c r="L274" i="1"/>
  <c r="L276" i="1"/>
  <c r="L278" i="1"/>
  <c r="L280" i="1"/>
  <c r="L282" i="1"/>
  <c r="L284" i="1"/>
  <c r="L286" i="1"/>
  <c r="L288" i="1"/>
  <c r="L290" i="1"/>
  <c r="L292" i="1"/>
  <c r="L293" i="1"/>
  <c r="L295" i="1"/>
  <c r="L297" i="1"/>
  <c r="L298" i="1"/>
  <c r="L301" i="1"/>
  <c r="L303" i="1"/>
  <c r="L304" i="1"/>
  <c r="L306" i="1"/>
  <c r="L308" i="1"/>
  <c r="L310" i="1"/>
  <c r="L311" i="1"/>
  <c r="L313" i="1"/>
  <c r="L315" i="1"/>
  <c r="L317" i="1"/>
  <c r="L319" i="1"/>
  <c r="L321" i="1"/>
  <c r="L323" i="1"/>
  <c r="L325" i="1"/>
  <c r="L327" i="1"/>
  <c r="L329" i="1"/>
  <c r="L330" i="1"/>
  <c r="L343" i="1"/>
  <c r="L345" i="1"/>
  <c r="L348" i="1"/>
  <c r="L350" i="1"/>
  <c r="L351" i="1"/>
  <c r="L353" i="1"/>
  <c r="L355" i="1"/>
  <c r="L357" i="1"/>
  <c r="L359" i="1"/>
  <c r="L361" i="1"/>
  <c r="L363" i="1"/>
  <c r="L365" i="1"/>
  <c r="L367" i="1"/>
  <c r="L369" i="1"/>
  <c r="L371" i="1"/>
  <c r="L372" i="1"/>
  <c r="L373" i="1"/>
  <c r="L376" i="1"/>
  <c r="L378" i="1"/>
  <c r="L379" i="1"/>
  <c r="L382" i="1"/>
  <c r="L383" i="1"/>
  <c r="L385" i="1"/>
  <c r="L388" i="1"/>
  <c r="L389" i="1"/>
  <c r="L391" i="1"/>
  <c r="L393" i="1"/>
  <c r="L395" i="1"/>
  <c r="L398" i="1"/>
  <c r="L400" i="1"/>
  <c r="L403" i="1"/>
  <c r="L405" i="1"/>
  <c r="L407" i="1"/>
  <c r="L409" i="1"/>
  <c r="L411" i="1"/>
  <c r="L414" i="1"/>
  <c r="L415" i="1"/>
  <c r="L418" i="1"/>
  <c r="L419" i="1"/>
  <c r="L421" i="1"/>
  <c r="L423" i="1"/>
  <c r="L425" i="1"/>
  <c r="L427" i="1"/>
  <c r="L429" i="1"/>
  <c r="L431" i="1"/>
  <c r="L433" i="1"/>
  <c r="L435" i="1"/>
  <c r="L436" i="1"/>
  <c r="L438" i="1"/>
  <c r="L440" i="1"/>
  <c r="L442" i="1"/>
  <c r="L444" i="1"/>
  <c r="L446" i="1"/>
  <c r="L448" i="1"/>
  <c r="L450" i="1"/>
  <c r="L452" i="1"/>
  <c r="L454" i="1"/>
  <c r="L456" i="1"/>
  <c r="L458" i="1"/>
  <c r="L460" i="1"/>
  <c r="L462" i="1"/>
  <c r="L464" i="1"/>
  <c r="L466" i="1"/>
  <c r="L468" i="1"/>
  <c r="L470" i="1"/>
  <c r="L472" i="1"/>
  <c r="L474" i="1"/>
  <c r="L477" i="1"/>
  <c r="L479" i="1"/>
  <c r="L481" i="1"/>
  <c r="L483" i="1"/>
  <c r="L484" i="1"/>
  <c r="L486" i="1"/>
  <c r="L488" i="1"/>
  <c r="L490" i="1"/>
  <c r="L492" i="1"/>
  <c r="L494" i="1"/>
  <c r="L496" i="1"/>
  <c r="L498" i="1"/>
  <c r="L500" i="1"/>
  <c r="L502" i="1"/>
  <c r="L504" i="1"/>
  <c r="L506" i="1"/>
  <c r="L507" i="1"/>
  <c r="L509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1" i="1"/>
  <c r="L543" i="1"/>
  <c r="L545" i="1"/>
  <c r="L547" i="1"/>
  <c r="L549" i="1"/>
  <c r="L551" i="1"/>
  <c r="L552" i="1"/>
  <c r="L554" i="1"/>
  <c r="L556" i="1"/>
  <c r="L558" i="1"/>
  <c r="L561" i="1"/>
  <c r="L563" i="1"/>
  <c r="L564" i="1"/>
  <c r="L566" i="1"/>
  <c r="L568" i="1"/>
  <c r="L570" i="1"/>
  <c r="L572" i="1"/>
  <c r="L574" i="1"/>
  <c r="L576" i="1"/>
  <c r="L578" i="1"/>
  <c r="L579" i="1"/>
  <c r="L580" i="1"/>
  <c r="L582" i="1"/>
  <c r="L584" i="1"/>
  <c r="L585" i="1"/>
  <c r="L587" i="1"/>
  <c r="L588" i="1"/>
  <c r="L590" i="1"/>
  <c r="L592" i="1"/>
  <c r="L594" i="1"/>
  <c r="L596" i="1"/>
  <c r="L598" i="1"/>
  <c r="L600" i="1"/>
  <c r="L602" i="1"/>
  <c r="L604" i="1"/>
  <c r="L605" i="1"/>
  <c r="L608" i="1"/>
  <c r="L610" i="1"/>
  <c r="L612" i="1"/>
  <c r="L614" i="1"/>
  <c r="L615" i="1"/>
  <c r="L617" i="1"/>
  <c r="L619" i="1"/>
  <c r="L621" i="1"/>
  <c r="L622" i="1"/>
  <c r="L624" i="1"/>
  <c r="L626" i="1"/>
  <c r="L628" i="1"/>
  <c r="L630" i="1"/>
  <c r="L632" i="1"/>
  <c r="L634" i="1"/>
  <c r="L636" i="1"/>
  <c r="L637" i="1"/>
  <c r="L639" i="1"/>
  <c r="L641" i="1"/>
  <c r="L643" i="1"/>
  <c r="L645" i="1"/>
  <c r="L647" i="1"/>
  <c r="L649" i="1"/>
  <c r="L651" i="1"/>
  <c r="L653" i="1"/>
  <c r="L655" i="1"/>
  <c r="L657" i="1"/>
  <c r="L659" i="1"/>
  <c r="L660" i="1"/>
  <c r="L662" i="1"/>
  <c r="L664" i="1"/>
  <c r="L666" i="1"/>
  <c r="L668" i="1"/>
  <c r="L670" i="1"/>
  <c r="L672" i="1"/>
  <c r="L674" i="1"/>
  <c r="L676" i="1"/>
  <c r="L678" i="1"/>
  <c r="L680" i="1"/>
  <c r="L682" i="1"/>
  <c r="L684" i="1"/>
  <c r="L686" i="1"/>
  <c r="L688" i="1"/>
  <c r="L690" i="1"/>
  <c r="L692" i="1"/>
  <c r="L694" i="1"/>
  <c r="L696" i="1"/>
  <c r="L698" i="1"/>
  <c r="L701" i="1"/>
  <c r="L703" i="1"/>
  <c r="L705" i="1"/>
  <c r="L707" i="1"/>
  <c r="L710" i="1"/>
  <c r="L712" i="1"/>
  <c r="L714" i="1"/>
  <c r="L716" i="1"/>
  <c r="L718" i="1"/>
  <c r="L720" i="1"/>
  <c r="L721" i="1"/>
  <c r="L723" i="1"/>
  <c r="L725" i="1"/>
  <c r="L727" i="1"/>
  <c r="L729" i="1"/>
  <c r="L731" i="1"/>
  <c r="L733" i="1"/>
  <c r="L735" i="1"/>
  <c r="L737" i="1"/>
  <c r="L739" i="1"/>
  <c r="L741" i="1"/>
  <c r="L743" i="1"/>
  <c r="L745" i="1"/>
  <c r="L747" i="1"/>
  <c r="L748" i="1"/>
  <c r="L750" i="1"/>
  <c r="L752" i="1"/>
  <c r="L754" i="1"/>
  <c r="L756" i="1"/>
  <c r="L758" i="1"/>
  <c r="L760" i="1"/>
  <c r="L762" i="1"/>
  <c r="L764" i="1"/>
  <c r="L766" i="1"/>
  <c r="L768" i="1"/>
  <c r="L770" i="1"/>
  <c r="L772" i="1"/>
  <c r="L773" i="1"/>
  <c r="L775" i="1"/>
  <c r="L777" i="1"/>
  <c r="L779" i="1"/>
  <c r="L781" i="1"/>
  <c r="L783" i="1"/>
  <c r="L785" i="1"/>
  <c r="L787" i="1"/>
  <c r="L790" i="1"/>
  <c r="L792" i="1"/>
  <c r="L794" i="1"/>
  <c r="L796" i="1"/>
  <c r="L798" i="1"/>
  <c r="L800" i="1"/>
  <c r="L802" i="1"/>
  <c r="L804" i="1"/>
  <c r="L805" i="1"/>
  <c r="L807" i="1"/>
  <c r="L809" i="1"/>
  <c r="L811" i="1"/>
  <c r="L813" i="1"/>
  <c r="L815" i="1"/>
  <c r="L817" i="1"/>
  <c r="L819" i="1"/>
  <c r="L822" i="1"/>
  <c r="L823" i="1"/>
  <c r="L849" i="1"/>
  <c r="L851" i="1"/>
  <c r="L854" i="1"/>
  <c r="L856" i="1"/>
  <c r="L857" i="1"/>
  <c r="L859" i="1"/>
  <c r="L861" i="1"/>
  <c r="L863" i="1"/>
  <c r="L865" i="1"/>
  <c r="L867" i="1"/>
  <c r="L870" i="1"/>
  <c r="L872" i="1"/>
  <c r="L874" i="1"/>
  <c r="L876" i="1"/>
  <c r="L878" i="1"/>
  <c r="L880" i="1"/>
  <c r="L882" i="1"/>
  <c r="L884" i="1"/>
  <c r="L886" i="1"/>
  <c r="L888" i="1"/>
  <c r="L890" i="1"/>
  <c r="L892" i="1"/>
  <c r="L894" i="1"/>
  <c r="L896" i="1"/>
  <c r="L898" i="1"/>
  <c r="L900" i="1"/>
  <c r="L902" i="1"/>
  <c r="L904" i="1"/>
  <c r="L906" i="1"/>
  <c r="L907" i="1"/>
  <c r="L908" i="1"/>
  <c r="L910" i="1"/>
  <c r="L912" i="1"/>
  <c r="L914" i="1"/>
  <c r="L916" i="1"/>
  <c r="L918" i="1"/>
  <c r="L920" i="1"/>
  <c r="L922" i="1"/>
  <c r="L924" i="1"/>
  <c r="L926" i="1"/>
  <c r="L928" i="1"/>
  <c r="L930" i="1"/>
  <c r="L932" i="1"/>
  <c r="L933" i="1"/>
  <c r="L935" i="1"/>
  <c r="L938" i="1"/>
  <c r="L939" i="1"/>
  <c r="L941" i="1"/>
  <c r="L943" i="1"/>
  <c r="L945" i="1"/>
  <c r="L947" i="1"/>
  <c r="L949" i="1"/>
  <c r="L951" i="1"/>
  <c r="L953" i="1"/>
  <c r="L955" i="1"/>
  <c r="L957" i="1"/>
  <c r="L959" i="1"/>
  <c r="L962" i="1"/>
  <c r="L964" i="1"/>
  <c r="L966" i="1"/>
  <c r="L970" i="1"/>
  <c r="L973" i="1"/>
  <c r="L976" i="1"/>
  <c r="L979" i="1"/>
  <c r="L983" i="1"/>
  <c r="L985" i="1"/>
  <c r="L988" i="1"/>
  <c r="L991" i="1"/>
  <c r="L994" i="1"/>
  <c r="L997" i="1"/>
  <c r="L999" i="1"/>
  <c r="L1002" i="1"/>
  <c r="L1005" i="1"/>
  <c r="L1008" i="1"/>
  <c r="L1011" i="1"/>
  <c r="L1014" i="1"/>
  <c r="L1017" i="1"/>
  <c r="L1020" i="1"/>
  <c r="L1023" i="1"/>
  <c r="L1026" i="1"/>
  <c r="L1029" i="1"/>
  <c r="L1032" i="1"/>
  <c r="L1035" i="1"/>
  <c r="L1038" i="1"/>
  <c r="L1040" i="1"/>
  <c r="L1043" i="1"/>
  <c r="L1046" i="1"/>
  <c r="L1049" i="1"/>
  <c r="L1052" i="1"/>
  <c r="L1055" i="1"/>
  <c r="L1057" i="1"/>
  <c r="L1060" i="1"/>
  <c r="L1063" i="1"/>
  <c r="L1066" i="1"/>
  <c r="L1069" i="1"/>
  <c r="L1072" i="1"/>
  <c r="L1075" i="1"/>
  <c r="L1078" i="1"/>
  <c r="L1081" i="1"/>
  <c r="L1084" i="1"/>
  <c r="L1087" i="1"/>
  <c r="L1092" i="1"/>
  <c r="L1095" i="1"/>
  <c r="L1098" i="1"/>
  <c r="L1100" i="1"/>
  <c r="L1103" i="1"/>
  <c r="L1106" i="1"/>
  <c r="L1109" i="1"/>
  <c r="L1111" i="1"/>
  <c r="L1113" i="1"/>
  <c r="L1116" i="1"/>
  <c r="L1119" i="1"/>
  <c r="L1122" i="1"/>
  <c r="L1125" i="1"/>
  <c r="L1128" i="1"/>
  <c r="L1131" i="1"/>
  <c r="L1134" i="1"/>
  <c r="L1137" i="1"/>
  <c r="L1140" i="1"/>
  <c r="L1143" i="1"/>
  <c r="L1146" i="1"/>
  <c r="L1148" i="1"/>
  <c r="L1151" i="1"/>
  <c r="L1153" i="1"/>
  <c r="L1157" i="1"/>
  <c r="L1158" i="1"/>
  <c r="L1161" i="1"/>
  <c r="L1164" i="1"/>
  <c r="L1167" i="1"/>
  <c r="L1170" i="1"/>
  <c r="L1173" i="1"/>
  <c r="L1175" i="1"/>
  <c r="L1180" i="1"/>
  <c r="L1183" i="1"/>
  <c r="L1185" i="1"/>
  <c r="L1188" i="1"/>
  <c r="L1195" i="1"/>
  <c r="L1199" i="1"/>
  <c r="L1202" i="1"/>
  <c r="L1205" i="1"/>
  <c r="L1208" i="1"/>
  <c r="L1211" i="1"/>
  <c r="L1214" i="1"/>
  <c r="L1217" i="1"/>
  <c r="L1219" i="1"/>
  <c r="L1221" i="1"/>
  <c r="L1223" i="1"/>
  <c r="L1225" i="1"/>
  <c r="L1227" i="1"/>
  <c r="L1229" i="1"/>
  <c r="L1231" i="1"/>
  <c r="L1235" i="1"/>
  <c r="L1238" i="1"/>
  <c r="L1241" i="1"/>
  <c r="L1244" i="1"/>
  <c r="L1248" i="1"/>
  <c r="L1251" i="1"/>
  <c r="L1254" i="1"/>
  <c r="L1257" i="1"/>
  <c r="L1260" i="1"/>
  <c r="L1263" i="1"/>
  <c r="L1266" i="1"/>
  <c r="L1269" i="1"/>
  <c r="L1272" i="1"/>
  <c r="L1277" i="1"/>
  <c r="L1280" i="1"/>
  <c r="L1283" i="1"/>
  <c r="L1286" i="1"/>
  <c r="L1289" i="1"/>
  <c r="L1292" i="1"/>
  <c r="L1295" i="1"/>
  <c r="L1298" i="1"/>
  <c r="L1301" i="1"/>
  <c r="L1304" i="1"/>
  <c r="L1307" i="1"/>
  <c r="L1310" i="1"/>
  <c r="L1313" i="1"/>
  <c r="L1316" i="1"/>
  <c r="L1318" i="1"/>
  <c r="L1321" i="1"/>
  <c r="L1324" i="1"/>
  <c r="L1326" i="1"/>
  <c r="L1329" i="1"/>
  <c r="L1332" i="1"/>
  <c r="L1335" i="1"/>
  <c r="L1337" i="1"/>
  <c r="L1339" i="1"/>
  <c r="L1341" i="1"/>
  <c r="L1343" i="1"/>
  <c r="L1345" i="1"/>
  <c r="L1347" i="1"/>
  <c r="L1348" i="1"/>
  <c r="L1350" i="1"/>
  <c r="L1353" i="1"/>
  <c r="L1355" i="1"/>
  <c r="L1356" i="1"/>
  <c r="L1358" i="1"/>
  <c r="L1360" i="1"/>
  <c r="L1362" i="1"/>
  <c r="L1364" i="1"/>
  <c r="L1366" i="1"/>
  <c r="L1368" i="1"/>
  <c r="L1370" i="1"/>
  <c r="L1372" i="1"/>
  <c r="L1375" i="1"/>
  <c r="L1377" i="1"/>
  <c r="L1380" i="1"/>
  <c r="L1381" i="1"/>
  <c r="L1384" i="1"/>
  <c r="L1387" i="1"/>
  <c r="L1389" i="1"/>
  <c r="L1392" i="1"/>
  <c r="L1395" i="1"/>
  <c r="L1398" i="1"/>
  <c r="L1401" i="1"/>
  <c r="L1405" i="1"/>
  <c r="L1407" i="1"/>
  <c r="L1410" i="1"/>
  <c r="L1413" i="1"/>
  <c r="L1416" i="1"/>
  <c r="L1419" i="1"/>
  <c r="L1422" i="1"/>
  <c r="L1425" i="1"/>
  <c r="L1428" i="1"/>
  <c r="L1430" i="1"/>
  <c r="L1433" i="1"/>
  <c r="L1436" i="1"/>
  <c r="L1439" i="1"/>
  <c r="L1442" i="1"/>
  <c r="L1445" i="1"/>
  <c r="L1446" i="1"/>
  <c r="L1449" i="1"/>
  <c r="L1453" i="1"/>
  <c r="L1457" i="1"/>
  <c r="L1460" i="1"/>
  <c r="L1463" i="1"/>
  <c r="L1466" i="1"/>
  <c r="L1467" i="1"/>
  <c r="L1469" i="1"/>
  <c r="L1471" i="1"/>
  <c r="L1473" i="1"/>
  <c r="L1476" i="1"/>
  <c r="L1479" i="1"/>
  <c r="L1482" i="1"/>
  <c r="L1485" i="1"/>
  <c r="L1488" i="1"/>
  <c r="L1491" i="1"/>
  <c r="L1494" i="1"/>
  <c r="L1495" i="1"/>
  <c r="L1498" i="1"/>
  <c r="L1501" i="1"/>
  <c r="L1504" i="1"/>
  <c r="L1507" i="1"/>
  <c r="L1509" i="1"/>
  <c r="L1512" i="1"/>
  <c r="L1515" i="1"/>
  <c r="L1518" i="1"/>
  <c r="L1521" i="1"/>
  <c r="L1523" i="1"/>
  <c r="L1524" i="1"/>
  <c r="L1527" i="1"/>
  <c r="L1531" i="1"/>
  <c r="L1534" i="1"/>
  <c r="L1537" i="1"/>
  <c r="L1541" i="1"/>
  <c r="L1544" i="1"/>
  <c r="L1547" i="1"/>
  <c r="L1550" i="1"/>
  <c r="L1554" i="1"/>
  <c r="L1555" i="1"/>
  <c r="L1557" i="1"/>
  <c r="L1559" i="1"/>
  <c r="L1562" i="1"/>
  <c r="L1566" i="1"/>
  <c r="L1569" i="1"/>
  <c r="L1572" i="1"/>
  <c r="L1573" i="1"/>
  <c r="L1577" i="1"/>
  <c r="L1580" i="1"/>
  <c r="L1583" i="1"/>
  <c r="L1585" i="1"/>
  <c r="L1588" i="1"/>
  <c r="L1591" i="1"/>
  <c r="L1594" i="1"/>
  <c r="L1596" i="1"/>
  <c r="L1598" i="1"/>
  <c r="L1601" i="1"/>
  <c r="L1603" i="1"/>
  <c r="L1604" i="1"/>
  <c r="L1607" i="1"/>
  <c r="L1610" i="1"/>
  <c r="L1614" i="1"/>
  <c r="L1616" i="1"/>
  <c r="L1619" i="1"/>
  <c r="L1621" i="1"/>
  <c r="L1623" i="1"/>
  <c r="L1626" i="1"/>
  <c r="L1629" i="1"/>
  <c r="L1633" i="1"/>
  <c r="L1637" i="1"/>
  <c r="L1640" i="1"/>
  <c r="L1642" i="1"/>
  <c r="L1645" i="1"/>
  <c r="L1648" i="1"/>
  <c r="L1651" i="1"/>
  <c r="L1653" i="1"/>
  <c r="L1654" i="1"/>
  <c r="L1656" i="1"/>
  <c r="L1658" i="1"/>
  <c r="L1663" i="1"/>
  <c r="L1666" i="1"/>
  <c r="L1669" i="1"/>
  <c r="L1672" i="1"/>
  <c r="L1675" i="1"/>
  <c r="L1678" i="1"/>
  <c r="L1681" i="1"/>
  <c r="L1686" i="1"/>
  <c r="L1689" i="1"/>
  <c r="L1692" i="1"/>
  <c r="L1697" i="1"/>
  <c r="L1705" i="1"/>
  <c r="L1711" i="1"/>
  <c r="L1714" i="1"/>
  <c r="L1717" i="1"/>
  <c r="L1721" i="1"/>
  <c r="L1724" i="1"/>
  <c r="L1727" i="1"/>
  <c r="L1730" i="1"/>
  <c r="L1733" i="1"/>
  <c r="L1736" i="1"/>
  <c r="L1739" i="1"/>
  <c r="L1742" i="1"/>
  <c r="L1745" i="1"/>
  <c r="L1748" i="1"/>
  <c r="L1749" i="1"/>
  <c r="L1752" i="1"/>
  <c r="L1755" i="1"/>
  <c r="L1758" i="1"/>
  <c r="L1761" i="1"/>
  <c r="L1764" i="1"/>
  <c r="L1766" i="1"/>
  <c r="L1803" i="1"/>
  <c r="L1808" i="1"/>
  <c r="L1815" i="1"/>
  <c r="L1819" i="1"/>
  <c r="L1822" i="1"/>
  <c r="L1825" i="1"/>
  <c r="L1828" i="1"/>
  <c r="L1831" i="1"/>
  <c r="L1834" i="1"/>
  <c r="L1837" i="1"/>
  <c r="L1842" i="1"/>
  <c r="L1845" i="1"/>
  <c r="L1850" i="1"/>
  <c r="L1853" i="1"/>
  <c r="L1856" i="1"/>
  <c r="L1861" i="1"/>
  <c r="L1864" i="1"/>
  <c r="L1867" i="1"/>
  <c r="L1870" i="1"/>
  <c r="L1872" i="1"/>
  <c r="L1875" i="1"/>
  <c r="L1878" i="1"/>
  <c r="L1882" i="1"/>
  <c r="L1884" i="1"/>
  <c r="L1888" i="1"/>
  <c r="L1890" i="1"/>
  <c r="L1893" i="1"/>
  <c r="L1896" i="1"/>
  <c r="L1898" i="1"/>
  <c r="L1901" i="1"/>
  <c r="L1904" i="1"/>
  <c r="L1907" i="1"/>
  <c r="L1910" i="1"/>
  <c r="L1913" i="1"/>
  <c r="L1916" i="1"/>
  <c r="L1919" i="1"/>
  <c r="L1920" i="1"/>
  <c r="L1923" i="1"/>
  <c r="L1926" i="1"/>
  <c r="L1929" i="1"/>
  <c r="L1933" i="1"/>
  <c r="L1938" i="1"/>
  <c r="L1941" i="1"/>
  <c r="L1944" i="1"/>
  <c r="L1946" i="1"/>
  <c r="L1949" i="1"/>
  <c r="L1951" i="1"/>
  <c r="L1953" i="1"/>
  <c r="L1955" i="1"/>
  <c r="L1957" i="1"/>
  <c r="L1959" i="1"/>
  <c r="L1961" i="1"/>
  <c r="L1963" i="1"/>
  <c r="L1965" i="1"/>
  <c r="L1967" i="1"/>
  <c r="L1969" i="1"/>
  <c r="L1971" i="1"/>
  <c r="L1973" i="1"/>
  <c r="L1975" i="1"/>
  <c r="L1977" i="1"/>
  <c r="L1979" i="1"/>
  <c r="L1981" i="1"/>
  <c r="L1984" i="1"/>
  <c r="L1988" i="1"/>
  <c r="L1991" i="1"/>
  <c r="L1994" i="1"/>
  <c r="L1998" i="1"/>
  <c r="L2001" i="1"/>
  <c r="L2004" i="1"/>
  <c r="L2007" i="1"/>
  <c r="L2009" i="1"/>
  <c r="L2012" i="1"/>
  <c r="L2015" i="1"/>
  <c r="L2017" i="1"/>
  <c r="L2020" i="1"/>
  <c r="L2023" i="1"/>
  <c r="L2025" i="1"/>
  <c r="L2028" i="1"/>
  <c r="L2032" i="1"/>
  <c r="L2037" i="1"/>
  <c r="L2040" i="1"/>
  <c r="L2043" i="1"/>
  <c r="L2046" i="1"/>
  <c r="L2048" i="1"/>
  <c r="L2053" i="1"/>
  <c r="L2056" i="1"/>
  <c r="L2060" i="1"/>
  <c r="L2063" i="1"/>
  <c r="L2066" i="1"/>
  <c r="L2069" i="1"/>
  <c r="L2071" i="1"/>
  <c r="L2074" i="1"/>
  <c r="L2077" i="1"/>
  <c r="L2080" i="1"/>
  <c r="L2083" i="1"/>
  <c r="L2086" i="1"/>
  <c r="L2089" i="1"/>
  <c r="L2092" i="1"/>
  <c r="L2095" i="1"/>
  <c r="L2098" i="1"/>
  <c r="L2101" i="1"/>
  <c r="L2104" i="1"/>
  <c r="L2107" i="1"/>
  <c r="L2109" i="1"/>
  <c r="L2112" i="1"/>
  <c r="L2115" i="1"/>
  <c r="L2118" i="1"/>
  <c r="L2119" i="1"/>
  <c r="L2122" i="1"/>
  <c r="L2125" i="1"/>
  <c r="L2127" i="1"/>
  <c r="L2130" i="1"/>
  <c r="L2133" i="1"/>
  <c r="L2136" i="1"/>
  <c r="L2139" i="1"/>
  <c r="L2142" i="1"/>
  <c r="L2145" i="1"/>
  <c r="L2148" i="1"/>
  <c r="L2151" i="1"/>
  <c r="L2154" i="1"/>
  <c r="L2156" i="1"/>
  <c r="L2159" i="1"/>
  <c r="L2162" i="1"/>
  <c r="L2166" i="1"/>
  <c r="L2169" i="1"/>
  <c r="L2171" i="1"/>
  <c r="L2172" i="1"/>
  <c r="L2175" i="1"/>
  <c r="L2178" i="1"/>
  <c r="L2180" i="1"/>
  <c r="L2183" i="1"/>
  <c r="L2186" i="1"/>
  <c r="L2189" i="1"/>
  <c r="L2192" i="1"/>
  <c r="L2195" i="1"/>
  <c r="L2197" i="1"/>
  <c r="L2200" i="1"/>
  <c r="L2203" i="1"/>
  <c r="L2206" i="1"/>
  <c r="L2209" i="1"/>
  <c r="L2212" i="1"/>
  <c r="L2218" i="1"/>
  <c r="L2221" i="1"/>
  <c r="L2224" i="1"/>
  <c r="L2227" i="1"/>
  <c r="L2230" i="1"/>
  <c r="L2233" i="1"/>
  <c r="L2236" i="1"/>
  <c r="L2239" i="1"/>
  <c r="L2242" i="1"/>
  <c r="L2246" i="1"/>
  <c r="L2249" i="1"/>
  <c r="L2252" i="1"/>
  <c r="L2254" i="1"/>
  <c r="L2257" i="1"/>
  <c r="L2260" i="1"/>
  <c r="L2263" i="1"/>
  <c r="L2266" i="1"/>
  <c r="L2269" i="1"/>
  <c r="L2272" i="1"/>
  <c r="L2275" i="1"/>
  <c r="L2278" i="1"/>
  <c r="L2281" i="1"/>
  <c r="L2284" i="1"/>
  <c r="L2287" i="1"/>
  <c r="L2290" i="1"/>
  <c r="L2294" i="1"/>
  <c r="L2297" i="1"/>
  <c r="L2300" i="1"/>
  <c r="L2302" i="1"/>
  <c r="L2305" i="1"/>
  <c r="L2308" i="1"/>
  <c r="L2311" i="1"/>
  <c r="L2314" i="1"/>
  <c r="L2317" i="1"/>
  <c r="L2320" i="1"/>
  <c r="L2323" i="1"/>
  <c r="L2324" i="1"/>
  <c r="L2327" i="1"/>
  <c r="L2330" i="1"/>
  <c r="L2333" i="1"/>
  <c r="L2336" i="1"/>
  <c r="L2339" i="1"/>
  <c r="L2341" i="1"/>
  <c r="L2344" i="1"/>
  <c r="L2347" i="1"/>
  <c r="L2350" i="1"/>
  <c r="L2353" i="1"/>
  <c r="L2356" i="1"/>
  <c r="L2359" i="1"/>
  <c r="L2363" i="1"/>
  <c r="L2366" i="1"/>
  <c r="L2369" i="1"/>
  <c r="L2372" i="1"/>
  <c r="L2375" i="1"/>
  <c r="L2378" i="1"/>
  <c r="L2380" i="1"/>
  <c r="L2383" i="1"/>
  <c r="L2387" i="1"/>
  <c r="L2390" i="1"/>
  <c r="L2393" i="1"/>
  <c r="L2398" i="1"/>
  <c r="L2400" i="1"/>
  <c r="L2403" i="1"/>
  <c r="L2406" i="1"/>
  <c r="L2409" i="1"/>
  <c r="L2412" i="1"/>
  <c r="L2414" i="1"/>
  <c r="L2418" i="1"/>
  <c r="L2421" i="1"/>
  <c r="L2425" i="1"/>
  <c r="L2428" i="1"/>
  <c r="L2430" i="1"/>
  <c r="L2433" i="1"/>
  <c r="L2437" i="1"/>
  <c r="L2440" i="1"/>
  <c r="L2445" i="1"/>
  <c r="L2447" i="1"/>
  <c r="L2450" i="1"/>
  <c r="L2453" i="1"/>
  <c r="L2456" i="1"/>
  <c r="L2459" i="1"/>
  <c r="L2462" i="1"/>
  <c r="L2466" i="1"/>
  <c r="L2468" i="1"/>
  <c r="L2472" i="1"/>
  <c r="L2475" i="1"/>
  <c r="L2478" i="1"/>
  <c r="L2481" i="1"/>
  <c r="L2484" i="1"/>
  <c r="L2487" i="1"/>
  <c r="L2490" i="1"/>
  <c r="L2492" i="1"/>
  <c r="L2495" i="1"/>
  <c r="L2497" i="1"/>
  <c r="L25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5" i="1"/>
  <c r="L185" i="1"/>
  <c r="L188" i="1"/>
  <c r="L189" i="1"/>
  <c r="L191" i="1"/>
  <c r="L193" i="1"/>
  <c r="L196" i="1"/>
  <c r="L198" i="1"/>
  <c r="L200" i="1"/>
  <c r="L202" i="1"/>
  <c r="L204" i="1"/>
  <c r="L205" i="1"/>
  <c r="L207" i="1"/>
  <c r="L209" i="1"/>
  <c r="L211" i="1"/>
  <c r="L213" i="1"/>
  <c r="L216" i="1"/>
  <c r="L217" i="1"/>
  <c r="L220" i="1"/>
  <c r="L222" i="1"/>
  <c r="L224" i="1"/>
  <c r="L226" i="1"/>
  <c r="L227" i="1"/>
  <c r="L229" i="1"/>
  <c r="L232" i="1"/>
  <c r="L233" i="1"/>
  <c r="L235" i="1"/>
  <c r="L238" i="1"/>
  <c r="L240" i="1"/>
  <c r="L242" i="1"/>
  <c r="L243" i="1"/>
  <c r="L245" i="1"/>
  <c r="L247" i="1"/>
  <c r="L249" i="1"/>
  <c r="L252" i="1"/>
  <c r="L254" i="1"/>
  <c r="L256" i="1"/>
  <c r="L258" i="1"/>
  <c r="L260" i="1"/>
  <c r="L262" i="1"/>
  <c r="L264" i="1"/>
  <c r="L266" i="1"/>
  <c r="L268" i="1"/>
  <c r="L270" i="1"/>
  <c r="L272" i="1"/>
  <c r="L273" i="1"/>
  <c r="L275" i="1"/>
  <c r="L277" i="1"/>
  <c r="L279" i="1"/>
  <c r="L281" i="1"/>
  <c r="L283" i="1"/>
  <c r="L285" i="1"/>
  <c r="L287" i="1"/>
  <c r="L289" i="1"/>
  <c r="L291" i="1"/>
  <c r="L294" i="1"/>
  <c r="L296" i="1"/>
  <c r="L299" i="1"/>
  <c r="L300" i="1"/>
  <c r="L302" i="1"/>
  <c r="L305" i="1"/>
  <c r="L307" i="1"/>
  <c r="L309" i="1"/>
  <c r="L312" i="1"/>
  <c r="L314" i="1"/>
  <c r="L316" i="1"/>
  <c r="L318" i="1"/>
  <c r="L320" i="1"/>
  <c r="L322" i="1"/>
  <c r="L324" i="1"/>
  <c r="L326" i="1"/>
  <c r="L328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4" i="1"/>
  <c r="L346" i="1"/>
  <c r="L347" i="1"/>
  <c r="L349" i="1"/>
  <c r="L352" i="1"/>
  <c r="L354" i="1"/>
  <c r="L356" i="1"/>
  <c r="L358" i="1"/>
  <c r="L360" i="1"/>
  <c r="L362" i="1"/>
  <c r="L364" i="1"/>
  <c r="L366" i="1"/>
  <c r="L368" i="1"/>
  <c r="L370" i="1"/>
  <c r="L374" i="1"/>
  <c r="L375" i="1"/>
  <c r="L377" i="1"/>
  <c r="L380" i="1"/>
  <c r="L381" i="1"/>
  <c r="L384" i="1"/>
  <c r="L386" i="1"/>
  <c r="L387" i="1"/>
  <c r="L390" i="1"/>
  <c r="L392" i="1"/>
  <c r="L394" i="1"/>
  <c r="L396" i="1"/>
  <c r="L397" i="1"/>
  <c r="L399" i="1"/>
  <c r="L401" i="1"/>
  <c r="L402" i="1"/>
  <c r="L404" i="1"/>
  <c r="L406" i="1"/>
  <c r="L408" i="1"/>
  <c r="L410" i="1"/>
  <c r="L412" i="1"/>
  <c r="L413" i="1"/>
  <c r="L416" i="1"/>
  <c r="L417" i="1"/>
  <c r="L420" i="1"/>
  <c r="L422" i="1"/>
  <c r="L424" i="1"/>
  <c r="L426" i="1"/>
  <c r="L428" i="1"/>
  <c r="L430" i="1"/>
  <c r="L432" i="1"/>
  <c r="L434" i="1"/>
  <c r="L437" i="1"/>
  <c r="L439" i="1"/>
  <c r="L441" i="1"/>
  <c r="L443" i="1"/>
  <c r="L445" i="1"/>
  <c r="L447" i="1"/>
  <c r="L449" i="1"/>
  <c r="L451" i="1"/>
  <c r="L453" i="1"/>
  <c r="L455" i="1"/>
  <c r="L457" i="1"/>
  <c r="L459" i="1"/>
  <c r="L461" i="1"/>
  <c r="L463" i="1"/>
  <c r="L465" i="1"/>
  <c r="L467" i="1"/>
  <c r="L469" i="1"/>
  <c r="L471" i="1"/>
  <c r="L473" i="1"/>
  <c r="L475" i="1"/>
  <c r="L476" i="1"/>
  <c r="L478" i="1"/>
  <c r="L480" i="1"/>
  <c r="L482" i="1"/>
  <c r="L485" i="1"/>
  <c r="L487" i="1"/>
  <c r="L489" i="1"/>
  <c r="L491" i="1"/>
  <c r="L493" i="1"/>
  <c r="L495" i="1"/>
  <c r="L497" i="1"/>
  <c r="L499" i="1"/>
  <c r="L501" i="1"/>
  <c r="L503" i="1"/>
  <c r="L505" i="1"/>
  <c r="L508" i="1"/>
  <c r="L510" i="1"/>
  <c r="L511" i="1"/>
  <c r="L512" i="1"/>
  <c r="L513" i="1"/>
  <c r="L514" i="1"/>
  <c r="L515" i="1"/>
  <c r="L540" i="1"/>
  <c r="L542" i="1"/>
  <c r="L544" i="1"/>
  <c r="L546" i="1"/>
  <c r="L548" i="1"/>
  <c r="L550" i="1"/>
  <c r="L553" i="1"/>
  <c r="L555" i="1"/>
  <c r="L557" i="1"/>
  <c r="L559" i="1"/>
  <c r="L560" i="1"/>
  <c r="L562" i="1"/>
  <c r="L565" i="1"/>
  <c r="L567" i="1"/>
  <c r="L569" i="1"/>
  <c r="L571" i="1"/>
  <c r="L573" i="1"/>
  <c r="L575" i="1"/>
  <c r="L577" i="1"/>
  <c r="L581" i="1"/>
  <c r="L583" i="1"/>
  <c r="L586" i="1"/>
  <c r="L589" i="1"/>
  <c r="L591" i="1"/>
  <c r="L593" i="1"/>
  <c r="L595" i="1"/>
  <c r="L597" i="1"/>
  <c r="L599" i="1"/>
  <c r="L601" i="1"/>
  <c r="L603" i="1"/>
  <c r="L606" i="1"/>
  <c r="L607" i="1"/>
  <c r="L609" i="1"/>
  <c r="L611" i="1"/>
  <c r="L613" i="1"/>
  <c r="L616" i="1"/>
  <c r="L618" i="1"/>
  <c r="L620" i="1"/>
  <c r="L623" i="1"/>
  <c r="L625" i="1"/>
  <c r="L627" i="1"/>
  <c r="L629" i="1"/>
  <c r="L631" i="1"/>
  <c r="L633" i="1"/>
  <c r="L635" i="1"/>
  <c r="L638" i="1"/>
  <c r="L640" i="1"/>
  <c r="L642" i="1"/>
  <c r="L644" i="1"/>
  <c r="L646" i="1"/>
  <c r="L648" i="1"/>
  <c r="L650" i="1"/>
  <c r="L652" i="1"/>
  <c r="L654" i="1"/>
  <c r="L656" i="1"/>
  <c r="L658" i="1"/>
  <c r="L661" i="1"/>
  <c r="L663" i="1"/>
  <c r="L665" i="1"/>
  <c r="L667" i="1"/>
  <c r="L669" i="1"/>
  <c r="L671" i="1"/>
  <c r="L673" i="1"/>
  <c r="L675" i="1"/>
  <c r="L677" i="1"/>
  <c r="L679" i="1"/>
  <c r="L681" i="1"/>
  <c r="L683" i="1"/>
  <c r="L685" i="1"/>
  <c r="L687" i="1"/>
  <c r="L689" i="1"/>
  <c r="L691" i="1"/>
  <c r="L693" i="1"/>
  <c r="L695" i="1"/>
  <c r="L697" i="1"/>
  <c r="L699" i="1"/>
  <c r="L700" i="1"/>
  <c r="L702" i="1"/>
  <c r="L704" i="1"/>
  <c r="L706" i="1"/>
  <c r="L708" i="1"/>
  <c r="L709" i="1"/>
  <c r="L711" i="1"/>
  <c r="L713" i="1"/>
  <c r="L715" i="1"/>
  <c r="L717" i="1"/>
  <c r="L719" i="1"/>
  <c r="L722" i="1"/>
  <c r="L724" i="1"/>
  <c r="L726" i="1"/>
  <c r="L728" i="1"/>
  <c r="L730" i="1"/>
  <c r="L732" i="1"/>
  <c r="L734" i="1"/>
  <c r="L736" i="1"/>
  <c r="L738" i="1"/>
  <c r="L740" i="1"/>
  <c r="L742" i="1"/>
  <c r="L744" i="1"/>
  <c r="L746" i="1"/>
  <c r="L749" i="1"/>
  <c r="L751" i="1"/>
  <c r="L753" i="1"/>
  <c r="L755" i="1"/>
  <c r="L757" i="1"/>
  <c r="L759" i="1"/>
  <c r="L761" i="1"/>
  <c r="L763" i="1"/>
  <c r="L765" i="1"/>
  <c r="L767" i="1"/>
  <c r="L769" i="1"/>
  <c r="L771" i="1"/>
  <c r="L774" i="1"/>
  <c r="L776" i="1"/>
  <c r="L778" i="1"/>
  <c r="L780" i="1"/>
  <c r="L782" i="1"/>
  <c r="L784" i="1"/>
  <c r="L786" i="1"/>
  <c r="L788" i="1"/>
  <c r="L789" i="1"/>
  <c r="L791" i="1"/>
  <c r="L793" i="1"/>
  <c r="L795" i="1"/>
  <c r="L797" i="1"/>
  <c r="L799" i="1"/>
  <c r="L801" i="1"/>
  <c r="L803" i="1"/>
  <c r="L806" i="1"/>
  <c r="L808" i="1"/>
  <c r="L810" i="1"/>
  <c r="L812" i="1"/>
  <c r="L814" i="1"/>
  <c r="L816" i="1"/>
  <c r="L818" i="1"/>
  <c r="L820" i="1"/>
  <c r="L821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50" i="1"/>
  <c r="L852" i="1"/>
  <c r="L853" i="1"/>
  <c r="L855" i="1"/>
  <c r="L858" i="1"/>
  <c r="L860" i="1"/>
  <c r="L862" i="1"/>
  <c r="L864" i="1"/>
  <c r="L866" i="1"/>
  <c r="L868" i="1"/>
  <c r="L869" i="1"/>
  <c r="L871" i="1"/>
  <c r="L873" i="1"/>
  <c r="L875" i="1"/>
  <c r="L877" i="1"/>
  <c r="L879" i="1"/>
  <c r="L881" i="1"/>
  <c r="L883" i="1"/>
  <c r="L885" i="1"/>
  <c r="L887" i="1"/>
  <c r="L889" i="1"/>
  <c r="L891" i="1"/>
  <c r="L893" i="1"/>
  <c r="L895" i="1"/>
  <c r="L897" i="1"/>
  <c r="L899" i="1"/>
  <c r="L901" i="1"/>
  <c r="L903" i="1"/>
  <c r="L905" i="1"/>
  <c r="L909" i="1"/>
  <c r="L911" i="1"/>
  <c r="L913" i="1"/>
  <c r="L915" i="1"/>
  <c r="L917" i="1"/>
  <c r="L919" i="1"/>
  <c r="L921" i="1"/>
  <c r="L923" i="1"/>
  <c r="L925" i="1"/>
  <c r="L927" i="1"/>
  <c r="L929" i="1"/>
  <c r="L931" i="1"/>
  <c r="L934" i="1"/>
  <c r="L937" i="1"/>
  <c r="L940" i="1"/>
  <c r="L942" i="1"/>
  <c r="L944" i="1"/>
  <c r="L946" i="1"/>
  <c r="L948" i="1"/>
  <c r="L950" i="1"/>
  <c r="L952" i="1"/>
  <c r="L954" i="1"/>
  <c r="L956" i="1"/>
  <c r="L958" i="1"/>
  <c r="L960" i="1"/>
  <c r="L963" i="1"/>
  <c r="L965" i="1"/>
  <c r="L968" i="1"/>
  <c r="L971" i="1"/>
  <c r="L974" i="1"/>
  <c r="L977" i="1"/>
  <c r="L980" i="1"/>
  <c r="L982" i="1"/>
  <c r="L987" i="1"/>
  <c r="L990" i="1"/>
  <c r="L993" i="1"/>
  <c r="L996" i="1"/>
  <c r="L1001" i="1"/>
  <c r="L1004" i="1"/>
  <c r="L1007" i="1"/>
  <c r="L1010" i="1"/>
  <c r="L1013" i="1"/>
  <c r="L1016" i="1"/>
  <c r="L1019" i="1"/>
  <c r="L1022" i="1"/>
  <c r="L1025" i="1"/>
  <c r="L1028" i="1"/>
  <c r="L1030" i="1"/>
  <c r="L1033" i="1"/>
  <c r="L1036" i="1"/>
  <c r="L1039" i="1"/>
  <c r="L1042" i="1"/>
  <c r="L1045" i="1"/>
  <c r="L1048" i="1"/>
  <c r="L1051" i="1"/>
  <c r="L1054" i="1"/>
  <c r="L1058" i="1"/>
  <c r="L1061" i="1"/>
  <c r="L1064" i="1"/>
  <c r="L1067" i="1"/>
  <c r="L1070" i="1"/>
  <c r="L1073" i="1"/>
  <c r="L1076" i="1"/>
  <c r="L1079" i="1"/>
  <c r="L1082" i="1"/>
  <c r="L1086" i="1"/>
  <c r="L1089" i="1"/>
  <c r="L1090" i="1"/>
  <c r="L1091" i="1"/>
  <c r="L1094" i="1"/>
  <c r="L1097" i="1"/>
  <c r="L1099" i="1"/>
  <c r="L1102" i="1"/>
  <c r="L1105" i="1"/>
  <c r="L1107" i="1"/>
  <c r="L1110" i="1"/>
  <c r="L1115" i="1"/>
  <c r="L1118" i="1"/>
  <c r="L1121" i="1"/>
  <c r="L1124" i="1"/>
  <c r="L1127" i="1"/>
  <c r="L1130" i="1"/>
  <c r="L1133" i="1"/>
  <c r="L1136" i="1"/>
  <c r="L1139" i="1"/>
  <c r="L1142" i="1"/>
  <c r="L1145" i="1"/>
  <c r="L1149" i="1"/>
  <c r="L1152" i="1"/>
  <c r="L1155" i="1"/>
  <c r="L1160" i="1"/>
  <c r="L1163" i="1"/>
  <c r="L1166" i="1"/>
  <c r="L1168" i="1"/>
  <c r="L1171" i="1"/>
  <c r="L1174" i="1"/>
  <c r="L1177" i="1"/>
  <c r="L1178" i="1"/>
  <c r="L1182" i="1"/>
  <c r="L1186" i="1"/>
  <c r="L1190" i="1"/>
  <c r="L1192" i="1"/>
  <c r="L1194" i="1"/>
  <c r="L1197" i="1"/>
  <c r="L1200" i="1"/>
  <c r="L1203" i="1"/>
  <c r="L1207" i="1"/>
  <c r="L1210" i="1"/>
  <c r="L1213" i="1"/>
  <c r="L1216" i="1"/>
  <c r="L1218" i="1"/>
  <c r="L1220" i="1"/>
  <c r="L1222" i="1"/>
  <c r="L1224" i="1"/>
  <c r="L1226" i="1"/>
  <c r="L1228" i="1"/>
  <c r="L1230" i="1"/>
  <c r="L1237" i="1"/>
  <c r="L1240" i="1"/>
  <c r="L1243" i="1"/>
  <c r="L1246" i="1"/>
  <c r="L1249" i="1"/>
  <c r="L1252" i="1"/>
  <c r="L1255" i="1"/>
  <c r="L1258" i="1"/>
  <c r="L1261" i="1"/>
  <c r="L1265" i="1"/>
  <c r="L1268" i="1"/>
  <c r="L1271" i="1"/>
  <c r="L1274" i="1"/>
  <c r="L1276" i="1"/>
  <c r="L1279" i="1"/>
  <c r="L1282" i="1"/>
  <c r="L1284" i="1"/>
  <c r="L1287" i="1"/>
  <c r="L1290" i="1"/>
  <c r="L1293" i="1"/>
  <c r="L1296" i="1"/>
  <c r="L1299" i="1"/>
  <c r="L1302" i="1"/>
  <c r="L1305" i="1"/>
  <c r="L1309" i="1"/>
  <c r="L1312" i="1"/>
  <c r="L1315" i="1"/>
  <c r="L1319" i="1"/>
  <c r="L1322" i="1"/>
  <c r="L1325" i="1"/>
  <c r="L1328" i="1"/>
  <c r="L1330" i="1"/>
  <c r="L1333" i="1"/>
  <c r="L1374" i="1"/>
  <c r="L1379" i="1"/>
  <c r="L1382" i="1"/>
  <c r="L1385" i="1"/>
  <c r="L1388" i="1"/>
  <c r="L1391" i="1"/>
  <c r="L1394" i="1"/>
  <c r="L1397" i="1"/>
  <c r="L1400" i="1"/>
  <c r="L1403" i="1"/>
  <c r="L1406" i="1"/>
  <c r="L1409" i="1"/>
  <c r="L1412" i="1"/>
  <c r="L1415" i="1"/>
  <c r="L1418" i="1"/>
  <c r="L1421" i="1"/>
  <c r="L1424" i="1"/>
  <c r="L1427" i="1"/>
  <c r="L1431" i="1"/>
  <c r="L1434" i="1"/>
  <c r="L1437" i="1"/>
  <c r="L1441" i="1"/>
  <c r="L1444" i="1"/>
  <c r="L1447" i="1"/>
  <c r="L1448" i="1"/>
  <c r="L1451" i="1"/>
  <c r="L1454" i="1"/>
  <c r="L1456" i="1"/>
  <c r="L1459" i="1"/>
  <c r="L1462" i="1"/>
  <c r="L1465" i="1"/>
  <c r="L1468" i="1"/>
  <c r="L1470" i="1"/>
  <c r="L1472" i="1"/>
  <c r="L1474" i="1"/>
  <c r="L1475" i="1"/>
  <c r="L1478" i="1"/>
  <c r="L1480" i="1"/>
  <c r="L1483" i="1"/>
  <c r="L1486" i="1"/>
  <c r="L1489" i="1"/>
  <c r="L1492" i="1"/>
  <c r="L1497" i="1"/>
  <c r="L1500" i="1"/>
  <c r="L1503" i="1"/>
  <c r="L1505" i="1"/>
  <c r="L1510" i="1"/>
  <c r="L1513" i="1"/>
  <c r="L1516" i="1"/>
  <c r="L1519" i="1"/>
  <c r="L1522" i="1"/>
  <c r="L1526" i="1"/>
  <c r="L1529" i="1"/>
  <c r="L1532" i="1"/>
  <c r="L1535" i="1"/>
  <c r="L1538" i="1"/>
  <c r="L1540" i="1"/>
  <c r="L1543" i="1"/>
  <c r="L1546" i="1"/>
  <c r="L1549" i="1"/>
  <c r="L1552" i="1"/>
  <c r="L1556" i="1"/>
  <c r="L1561" i="1"/>
  <c r="L1564" i="1"/>
  <c r="L1567" i="1"/>
  <c r="L1570" i="1"/>
  <c r="L1576" i="1"/>
  <c r="L1579" i="1"/>
  <c r="L1582" i="1"/>
  <c r="L1584" i="1"/>
  <c r="L1587" i="1"/>
  <c r="L1590" i="1"/>
  <c r="L1592" i="1"/>
  <c r="L1595" i="1"/>
  <c r="L1599" i="1"/>
  <c r="L1602" i="1"/>
  <c r="L1605" i="1"/>
  <c r="L1608" i="1"/>
  <c r="L1611" i="1"/>
  <c r="L1613" i="1"/>
  <c r="L1617" i="1"/>
  <c r="L1622" i="1"/>
  <c r="L1625" i="1"/>
  <c r="L1628" i="1"/>
  <c r="L1631" i="1"/>
  <c r="L1634" i="1"/>
  <c r="L1636" i="1"/>
  <c r="L1639" i="1"/>
  <c r="L1643" i="1"/>
  <c r="L1646" i="1"/>
  <c r="L1649" i="1"/>
  <c r="L1652" i="1"/>
  <c r="L1655" i="1"/>
  <c r="L1659" i="1"/>
  <c r="L1661" i="1"/>
  <c r="L1665" i="1"/>
  <c r="L1668" i="1"/>
  <c r="L1671" i="1"/>
  <c r="L1674" i="1"/>
  <c r="L1677" i="1"/>
  <c r="L1680" i="1"/>
  <c r="L1685" i="1"/>
  <c r="L1688" i="1"/>
  <c r="L1691" i="1"/>
  <c r="L1694" i="1"/>
  <c r="L1696" i="1"/>
  <c r="L1699" i="1"/>
  <c r="L1703" i="1"/>
  <c r="L1707" i="1"/>
  <c r="L1709" i="1"/>
  <c r="L1712" i="1"/>
  <c r="L1715" i="1"/>
  <c r="L1718" i="1"/>
  <c r="L1720" i="1"/>
  <c r="L1723" i="1"/>
  <c r="L1726" i="1"/>
  <c r="L1728" i="1"/>
  <c r="L1731" i="1"/>
  <c r="L1734" i="1"/>
  <c r="L1737" i="1"/>
  <c r="L1740" i="1"/>
  <c r="L1743" i="1"/>
  <c r="L1746" i="1"/>
  <c r="L1751" i="1"/>
  <c r="L1754" i="1"/>
  <c r="L1757" i="1"/>
  <c r="L1760" i="1"/>
  <c r="L1763" i="1"/>
  <c r="L1767" i="1"/>
  <c r="L1769" i="1"/>
  <c r="L1771" i="1"/>
  <c r="L1773" i="1"/>
  <c r="L1775" i="1"/>
  <c r="L1777" i="1"/>
  <c r="L1779" i="1"/>
  <c r="L1781" i="1"/>
  <c r="L1782" i="1"/>
  <c r="L1785" i="1"/>
  <c r="L1787" i="1"/>
  <c r="L1789" i="1"/>
  <c r="L1791" i="1"/>
  <c r="L1793" i="1"/>
  <c r="L1795" i="1"/>
  <c r="L1797" i="1"/>
  <c r="L1799" i="1"/>
  <c r="L1801" i="1"/>
  <c r="L1804" i="1"/>
  <c r="L1807" i="1"/>
  <c r="L1810" i="1"/>
  <c r="L1812" i="1"/>
  <c r="L1814" i="1"/>
  <c r="L1817" i="1"/>
  <c r="L1820" i="1"/>
  <c r="L1823" i="1"/>
  <c r="L1826" i="1"/>
  <c r="L1829" i="1"/>
  <c r="L1832" i="1"/>
  <c r="L1835" i="1"/>
  <c r="L1838" i="1"/>
  <c r="L1843" i="1"/>
  <c r="L1846" i="1"/>
  <c r="L1849" i="1"/>
  <c r="L1852" i="1"/>
  <c r="L1857" i="1"/>
  <c r="L1862" i="1"/>
  <c r="L1865" i="1"/>
  <c r="L1869" i="1"/>
  <c r="L1874" i="1"/>
  <c r="L1877" i="1"/>
  <c r="L1880" i="1"/>
  <c r="L1883" i="1"/>
  <c r="L1886" i="1"/>
  <c r="L1889" i="1"/>
  <c r="L1892" i="1"/>
  <c r="L1895" i="1"/>
  <c r="L1899" i="1"/>
  <c r="L1902" i="1"/>
  <c r="L1905" i="1"/>
  <c r="L1908" i="1"/>
  <c r="L1911" i="1"/>
  <c r="L1914" i="1"/>
  <c r="L1918" i="1"/>
  <c r="L1922" i="1"/>
  <c r="L1925" i="1"/>
  <c r="L1928" i="1"/>
  <c r="L1931" i="1"/>
  <c r="L1934" i="1"/>
  <c r="L1935" i="1"/>
  <c r="L1936" i="1"/>
  <c r="L1939" i="1"/>
  <c r="L1942" i="1"/>
  <c r="L1945" i="1"/>
  <c r="L1948" i="1"/>
  <c r="L1950" i="1"/>
  <c r="L1952" i="1"/>
  <c r="L1954" i="1"/>
  <c r="L1956" i="1"/>
  <c r="L1958" i="1"/>
  <c r="L1960" i="1"/>
  <c r="L1962" i="1"/>
  <c r="L1964" i="1"/>
  <c r="L1966" i="1"/>
  <c r="L1968" i="1"/>
  <c r="L1970" i="1"/>
  <c r="L1972" i="1"/>
  <c r="L1974" i="1"/>
  <c r="L1976" i="1"/>
  <c r="L1978" i="1"/>
  <c r="L1980" i="1"/>
  <c r="L1983" i="1"/>
  <c r="L1986" i="1"/>
  <c r="L1987" i="1"/>
  <c r="L1990" i="1"/>
  <c r="L1993" i="1"/>
  <c r="L1996" i="1"/>
  <c r="L1999" i="1"/>
  <c r="L2002" i="1"/>
  <c r="L2005" i="1"/>
  <c r="L2008" i="1"/>
  <c r="L2011" i="1"/>
  <c r="L2013" i="1"/>
  <c r="L2016" i="1"/>
  <c r="L2019" i="1"/>
  <c r="L2021" i="1"/>
  <c r="L2024" i="1"/>
  <c r="L2027" i="1"/>
  <c r="L2030" i="1"/>
  <c r="L2033" i="1"/>
  <c r="L2035" i="1"/>
  <c r="L2038" i="1"/>
  <c r="L2041" i="1"/>
  <c r="L2045" i="1"/>
  <c r="L2047" i="1"/>
  <c r="L2050" i="1"/>
  <c r="L2052" i="1"/>
  <c r="L2055" i="1"/>
  <c r="L2058" i="1"/>
  <c r="L2061" i="1"/>
  <c r="L2064" i="1"/>
  <c r="L2067" i="1"/>
  <c r="L2070" i="1"/>
  <c r="L2072" i="1"/>
  <c r="L2075" i="1"/>
  <c r="L2078" i="1"/>
  <c r="L2081" i="1"/>
  <c r="L2084" i="1"/>
  <c r="L2090" i="1"/>
  <c r="L2093" i="1"/>
  <c r="L2096" i="1"/>
  <c r="L2099" i="1"/>
  <c r="L2102" i="1"/>
  <c r="L2105" i="1"/>
  <c r="L2108" i="1"/>
  <c r="L2111" i="1"/>
  <c r="L2114" i="1"/>
  <c r="L2117" i="1"/>
  <c r="L2120" i="1"/>
  <c r="L2123" i="1"/>
  <c r="L2126" i="1"/>
  <c r="L2129" i="1"/>
  <c r="L2132" i="1"/>
  <c r="L2135" i="1"/>
  <c r="L2137" i="1"/>
  <c r="L2140" i="1"/>
  <c r="L2143" i="1"/>
  <c r="L2146" i="1"/>
  <c r="L2149" i="1"/>
  <c r="L2152" i="1"/>
  <c r="L2155" i="1"/>
  <c r="L2158" i="1"/>
  <c r="L2161" i="1"/>
  <c r="L2164" i="1"/>
  <c r="L2167" i="1"/>
  <c r="L2170" i="1"/>
  <c r="L2173" i="1"/>
  <c r="L2177" i="1"/>
  <c r="L2181" i="1"/>
  <c r="L2184" i="1"/>
  <c r="L2187" i="1"/>
  <c r="L2190" i="1"/>
  <c r="L2194" i="1"/>
  <c r="L2198" i="1"/>
  <c r="L2201" i="1"/>
  <c r="L2204" i="1"/>
  <c r="L2207" i="1"/>
  <c r="L2210" i="1"/>
  <c r="L2213" i="1"/>
  <c r="L2219" i="1"/>
  <c r="L2222" i="1"/>
  <c r="L2225" i="1"/>
  <c r="L2228" i="1"/>
  <c r="L2232" i="1"/>
  <c r="L2235" i="1"/>
  <c r="L2238" i="1"/>
  <c r="L2241" i="1"/>
  <c r="L2244" i="1"/>
  <c r="L2247" i="1"/>
  <c r="L2250" i="1"/>
  <c r="L2253" i="1"/>
  <c r="L2256" i="1"/>
  <c r="L2258" i="1"/>
  <c r="L2261" i="1"/>
  <c r="L2264" i="1"/>
  <c r="L2267" i="1"/>
  <c r="L2271" i="1"/>
  <c r="L2274" i="1"/>
  <c r="L2277" i="1"/>
  <c r="L2280" i="1"/>
  <c r="L2283" i="1"/>
  <c r="L2285" i="1"/>
  <c r="L2288" i="1"/>
  <c r="L2291" i="1"/>
  <c r="L2293" i="1"/>
  <c r="L2296" i="1"/>
  <c r="L2299" i="1"/>
  <c r="L2303" i="1"/>
  <c r="L2306" i="1"/>
  <c r="L2309" i="1"/>
  <c r="L2312" i="1"/>
  <c r="L2315" i="1"/>
  <c r="L2318" i="1"/>
  <c r="L2322" i="1"/>
  <c r="L2325" i="1"/>
  <c r="L2328" i="1"/>
  <c r="L2331" i="1"/>
  <c r="L2334" i="1"/>
  <c r="L2337" i="1"/>
  <c r="L2340" i="1"/>
  <c r="L2343" i="1"/>
  <c r="L2345" i="1"/>
  <c r="L2346" i="1"/>
  <c r="L2349" i="1"/>
  <c r="L2352" i="1"/>
  <c r="L2355" i="1"/>
  <c r="L2358" i="1"/>
  <c r="L2361" i="1"/>
  <c r="L2364" i="1"/>
  <c r="L2367" i="1"/>
  <c r="L2370" i="1"/>
  <c r="L2373" i="1"/>
  <c r="L2376" i="1"/>
  <c r="L2379" i="1"/>
  <c r="L2382" i="1"/>
  <c r="L2385" i="1"/>
  <c r="L2388" i="1"/>
  <c r="L2391" i="1"/>
  <c r="L2394" i="1"/>
  <c r="L2397" i="1"/>
  <c r="L2401" i="1"/>
  <c r="L2404" i="1"/>
  <c r="L2407" i="1"/>
  <c r="L2410" i="1"/>
  <c r="L2413" i="1"/>
  <c r="L2416" i="1"/>
  <c r="L2419" i="1"/>
  <c r="L2422" i="1"/>
  <c r="L2424" i="1"/>
  <c r="L2427" i="1"/>
  <c r="L2431" i="1"/>
  <c r="L2434" i="1"/>
  <c r="L2436" i="1"/>
  <c r="L2439" i="1"/>
  <c r="L2442" i="1"/>
  <c r="L2444" i="1"/>
  <c r="L2448" i="1"/>
  <c r="L2451" i="1"/>
  <c r="L2454" i="1"/>
  <c r="L2457" i="1"/>
  <c r="L2460" i="1"/>
  <c r="L2463" i="1"/>
  <c r="L2465" i="1"/>
  <c r="L2469" i="1"/>
  <c r="L2471" i="1"/>
  <c r="L2474" i="1"/>
  <c r="L2477" i="1"/>
  <c r="L2480" i="1"/>
  <c r="L2483" i="1"/>
  <c r="L2486" i="1"/>
  <c r="L2489" i="1"/>
  <c r="L2491" i="1"/>
  <c r="L2494" i="1"/>
  <c r="L2498" i="1"/>
  <c r="L936" i="1"/>
  <c r="L961" i="1"/>
  <c r="L967" i="1"/>
  <c r="L969" i="1"/>
  <c r="L972" i="1"/>
  <c r="L975" i="1"/>
  <c r="L978" i="1"/>
  <c r="L981" i="1"/>
  <c r="L984" i="1"/>
  <c r="L986" i="1"/>
  <c r="L989" i="1"/>
  <c r="L992" i="1"/>
  <c r="L995" i="1"/>
  <c r="L998" i="1"/>
  <c r="L1000" i="1"/>
  <c r="L1003" i="1"/>
  <c r="L1006" i="1"/>
  <c r="L1009" i="1"/>
  <c r="L1012" i="1"/>
  <c r="L1015" i="1"/>
  <c r="L1018" i="1"/>
  <c r="L1021" i="1"/>
  <c r="L1024" i="1"/>
  <c r="L1027" i="1"/>
  <c r="L1031" i="1"/>
  <c r="L1034" i="1"/>
  <c r="L1037" i="1"/>
  <c r="L1041" i="1"/>
  <c r="L1044" i="1"/>
  <c r="L1047" i="1"/>
  <c r="L1050" i="1"/>
  <c r="L1053" i="1"/>
  <c r="L1056" i="1"/>
  <c r="L1059" i="1"/>
  <c r="L1062" i="1"/>
  <c r="L1065" i="1"/>
  <c r="L1068" i="1"/>
  <c r="L1071" i="1"/>
  <c r="L1074" i="1"/>
  <c r="L1077" i="1"/>
  <c r="L1080" i="1"/>
  <c r="L1083" i="1"/>
  <c r="L1085" i="1"/>
  <c r="L1088" i="1"/>
  <c r="L1093" i="1"/>
  <c r="L1096" i="1"/>
  <c r="L1101" i="1"/>
  <c r="L1104" i="1"/>
  <c r="L1108" i="1"/>
  <c r="L1112" i="1"/>
  <c r="L1114" i="1"/>
  <c r="L1117" i="1"/>
  <c r="L1120" i="1"/>
  <c r="L1123" i="1"/>
  <c r="L1126" i="1"/>
  <c r="L1129" i="1"/>
  <c r="L1132" i="1"/>
  <c r="L1135" i="1"/>
  <c r="L1138" i="1"/>
  <c r="L1141" i="1"/>
  <c r="L1144" i="1"/>
  <c r="L1147" i="1"/>
  <c r="L1150" i="1"/>
  <c r="L1154" i="1"/>
  <c r="L1156" i="1"/>
  <c r="L1159" i="1"/>
  <c r="L1162" i="1"/>
  <c r="L1165" i="1"/>
  <c r="L1169" i="1"/>
  <c r="L1172" i="1"/>
  <c r="L1176" i="1"/>
  <c r="L1179" i="1"/>
  <c r="L1181" i="1"/>
  <c r="L1184" i="1"/>
  <c r="L1187" i="1"/>
  <c r="L1189" i="1"/>
  <c r="L1191" i="1"/>
  <c r="L1193" i="1"/>
  <c r="L1196" i="1"/>
  <c r="L1198" i="1"/>
  <c r="L1201" i="1"/>
  <c r="L1204" i="1"/>
  <c r="L1206" i="1"/>
  <c r="L1209" i="1"/>
  <c r="L1212" i="1"/>
  <c r="L1215" i="1"/>
  <c r="L1232" i="1"/>
  <c r="L1233" i="1"/>
  <c r="L1234" i="1"/>
  <c r="L1236" i="1"/>
  <c r="L1239" i="1"/>
  <c r="L1242" i="1"/>
  <c r="L1245" i="1"/>
  <c r="L1247" i="1"/>
  <c r="L1250" i="1"/>
  <c r="L1253" i="1"/>
  <c r="L1256" i="1"/>
  <c r="L1259" i="1"/>
  <c r="L1262" i="1"/>
  <c r="L1264" i="1"/>
  <c r="L1267" i="1"/>
  <c r="L1270" i="1"/>
  <c r="L1273" i="1"/>
  <c r="L1275" i="1"/>
  <c r="L1278" i="1"/>
  <c r="L1281" i="1"/>
  <c r="L1285" i="1"/>
  <c r="L1288" i="1"/>
  <c r="L1291" i="1"/>
  <c r="L1294" i="1"/>
  <c r="L1297" i="1"/>
  <c r="L1300" i="1"/>
  <c r="L1303" i="1"/>
  <c r="L1306" i="1"/>
  <c r="L1308" i="1"/>
  <c r="L1311" i="1"/>
  <c r="L1314" i="1"/>
  <c r="L1317" i="1"/>
  <c r="L1320" i="1"/>
  <c r="L1323" i="1"/>
  <c r="L1327" i="1"/>
  <c r="L1331" i="1"/>
  <c r="L1334" i="1"/>
  <c r="L1336" i="1"/>
  <c r="L1338" i="1"/>
  <c r="L1340" i="1"/>
  <c r="L1342" i="1"/>
  <c r="L1344" i="1"/>
  <c r="L1346" i="1"/>
  <c r="L1349" i="1"/>
  <c r="L1351" i="1"/>
  <c r="L1352" i="1"/>
  <c r="L1354" i="1"/>
  <c r="L1357" i="1"/>
  <c r="L1359" i="1"/>
  <c r="L1361" i="1"/>
  <c r="L1363" i="1"/>
  <c r="L1365" i="1"/>
  <c r="L1367" i="1"/>
  <c r="L1369" i="1"/>
  <c r="L1371" i="1"/>
  <c r="L1373" i="1"/>
  <c r="L1376" i="1"/>
  <c r="L1378" i="1"/>
  <c r="L1383" i="1"/>
  <c r="L1386" i="1"/>
  <c r="L1390" i="1"/>
  <c r="L1393" i="1"/>
  <c r="L1396" i="1"/>
  <c r="L1399" i="1"/>
  <c r="L1402" i="1"/>
  <c r="L1404" i="1"/>
  <c r="L1408" i="1"/>
  <c r="L1411" i="1"/>
  <c r="L1414" i="1"/>
  <c r="L1417" i="1"/>
  <c r="L1420" i="1"/>
  <c r="L1423" i="1"/>
  <c r="L1426" i="1"/>
  <c r="L1429" i="1"/>
  <c r="L1432" i="1"/>
  <c r="L1435" i="1"/>
  <c r="L1438" i="1"/>
  <c r="L1440" i="1"/>
  <c r="L1443" i="1"/>
  <c r="L1450" i="1"/>
  <c r="L1452" i="1"/>
  <c r="L1455" i="1"/>
  <c r="L1458" i="1"/>
  <c r="L1461" i="1"/>
  <c r="L1464" i="1"/>
  <c r="L1477" i="1"/>
  <c r="L1481" i="1"/>
  <c r="L1484" i="1"/>
  <c r="L1487" i="1"/>
  <c r="L1490" i="1"/>
  <c r="L1493" i="1"/>
  <c r="L1496" i="1"/>
  <c r="L1499" i="1"/>
  <c r="L1502" i="1"/>
  <c r="L1506" i="1"/>
  <c r="L1508" i="1"/>
  <c r="L1511" i="1"/>
  <c r="L1514" i="1"/>
  <c r="L1517" i="1"/>
  <c r="L1520" i="1"/>
  <c r="L1525" i="1"/>
  <c r="L1528" i="1"/>
  <c r="L1530" i="1"/>
  <c r="L1533" i="1"/>
  <c r="L1536" i="1"/>
  <c r="L1539" i="1"/>
  <c r="L1542" i="1"/>
  <c r="L1545" i="1"/>
  <c r="L1548" i="1"/>
  <c r="L1551" i="1"/>
  <c r="L1553" i="1"/>
  <c r="L1558" i="1"/>
  <c r="L1560" i="1"/>
  <c r="L1563" i="1"/>
  <c r="L1565" i="1"/>
  <c r="L1568" i="1"/>
  <c r="L1571" i="1"/>
  <c r="L1574" i="1"/>
  <c r="L1575" i="1"/>
  <c r="L1578" i="1"/>
  <c r="L1581" i="1"/>
  <c r="L1586" i="1"/>
  <c r="L1589" i="1"/>
  <c r="L1593" i="1"/>
  <c r="L1597" i="1"/>
  <c r="L1600" i="1"/>
  <c r="L1606" i="1"/>
  <c r="L1609" i="1"/>
  <c r="L1612" i="1"/>
  <c r="L1615" i="1"/>
  <c r="L1618" i="1"/>
  <c r="L1620" i="1"/>
  <c r="L1624" i="1"/>
  <c r="L1627" i="1"/>
  <c r="L1630" i="1"/>
  <c r="L1632" i="1"/>
  <c r="L1635" i="1"/>
  <c r="L1638" i="1"/>
  <c r="L1641" i="1"/>
  <c r="L1644" i="1"/>
  <c r="L1647" i="1"/>
  <c r="L1650" i="1"/>
  <c r="L1657" i="1"/>
  <c r="L1660" i="1"/>
  <c r="L1662" i="1"/>
  <c r="L1664" i="1"/>
  <c r="L1667" i="1"/>
  <c r="L1670" i="1"/>
  <c r="L1673" i="1"/>
  <c r="L1676" i="1"/>
  <c r="L1679" i="1"/>
  <c r="L1682" i="1"/>
  <c r="L1683" i="1"/>
  <c r="L1684" i="1"/>
  <c r="L1687" i="1"/>
  <c r="L1690" i="1"/>
  <c r="L1693" i="1"/>
  <c r="L1695" i="1"/>
  <c r="L1698" i="1"/>
  <c r="L1700" i="1"/>
  <c r="L1701" i="1"/>
  <c r="L1702" i="1"/>
  <c r="L1704" i="1"/>
  <c r="L1706" i="1"/>
  <c r="L1708" i="1"/>
  <c r="L1710" i="1"/>
  <c r="L1713" i="1"/>
  <c r="L1716" i="1"/>
  <c r="L1719" i="1"/>
  <c r="L1722" i="1"/>
  <c r="L1725" i="1"/>
  <c r="L1729" i="1"/>
  <c r="L1732" i="1"/>
  <c r="L1735" i="1"/>
  <c r="L1738" i="1"/>
  <c r="L1741" i="1"/>
  <c r="L1744" i="1"/>
  <c r="L1747" i="1"/>
  <c r="L1750" i="1"/>
  <c r="L1753" i="1"/>
  <c r="L1756" i="1"/>
  <c r="L1759" i="1"/>
  <c r="L1762" i="1"/>
  <c r="L1765" i="1"/>
  <c r="L1768" i="1"/>
  <c r="L1770" i="1"/>
  <c r="L1772" i="1"/>
  <c r="L1774" i="1"/>
  <c r="L1776" i="1"/>
  <c r="L1778" i="1"/>
  <c r="L1780" i="1"/>
  <c r="L1783" i="1"/>
  <c r="L1784" i="1"/>
  <c r="L1786" i="1"/>
  <c r="L1788" i="1"/>
  <c r="L1790" i="1"/>
  <c r="L1792" i="1"/>
  <c r="L1794" i="1"/>
  <c r="L1796" i="1"/>
  <c r="L1798" i="1"/>
  <c r="L1800" i="1"/>
  <c r="L1802" i="1"/>
  <c r="L1805" i="1"/>
  <c r="L1806" i="1"/>
  <c r="L1809" i="1"/>
  <c r="L1811" i="1"/>
  <c r="L1813" i="1"/>
  <c r="L1816" i="1"/>
  <c r="L1818" i="1"/>
  <c r="L1821" i="1"/>
  <c r="L1824" i="1"/>
  <c r="L1827" i="1"/>
  <c r="L1830" i="1"/>
  <c r="L1833" i="1"/>
  <c r="L1836" i="1"/>
  <c r="L1839" i="1"/>
  <c r="L1840" i="1"/>
  <c r="L1841" i="1"/>
  <c r="L1844" i="1"/>
  <c r="L1847" i="1"/>
  <c r="L1848" i="1"/>
  <c r="L1851" i="1"/>
  <c r="L1854" i="1"/>
  <c r="L1855" i="1"/>
  <c r="L1858" i="1"/>
  <c r="L1859" i="1"/>
  <c r="L1860" i="1"/>
  <c r="L1863" i="1"/>
  <c r="L1866" i="1"/>
  <c r="L1868" i="1"/>
  <c r="L1871" i="1"/>
  <c r="L1873" i="1"/>
  <c r="L1876" i="1"/>
  <c r="L1879" i="1"/>
  <c r="L1881" i="1"/>
  <c r="L1885" i="1"/>
  <c r="L1887" i="1"/>
  <c r="L1891" i="1"/>
  <c r="L1894" i="1"/>
  <c r="L1897" i="1"/>
  <c r="L1900" i="1"/>
  <c r="L1903" i="1"/>
  <c r="L1906" i="1"/>
  <c r="L1909" i="1"/>
  <c r="L1912" i="1"/>
  <c r="L1915" i="1"/>
  <c r="L1917" i="1"/>
  <c r="L1921" i="1"/>
  <c r="L1924" i="1"/>
  <c r="L1927" i="1"/>
  <c r="L1930" i="1"/>
  <c r="L1932" i="1"/>
  <c r="L1937" i="1"/>
  <c r="L1940" i="1"/>
  <c r="L1943" i="1"/>
  <c r="L1947" i="1"/>
  <c r="L1982" i="1"/>
  <c r="L1985" i="1"/>
  <c r="L1989" i="1"/>
  <c r="L1992" i="1"/>
  <c r="L1995" i="1"/>
  <c r="L1997" i="1"/>
  <c r="L2000" i="1"/>
  <c r="L2003" i="1"/>
  <c r="L2006" i="1"/>
  <c r="L2010" i="1"/>
  <c r="L2014" i="1"/>
  <c r="L2018" i="1"/>
  <c r="L2022" i="1"/>
  <c r="L2026" i="1"/>
  <c r="L2029" i="1"/>
  <c r="L2031" i="1"/>
  <c r="L2034" i="1"/>
  <c r="L2036" i="1"/>
  <c r="L2039" i="1"/>
  <c r="L2042" i="1"/>
  <c r="L2044" i="1"/>
  <c r="L2049" i="1"/>
  <c r="L2051" i="1"/>
  <c r="L2054" i="1"/>
  <c r="L2057" i="1"/>
  <c r="L2059" i="1"/>
  <c r="L2062" i="1"/>
  <c r="L2065" i="1"/>
  <c r="L2068" i="1"/>
  <c r="L2073" i="1"/>
  <c r="L2076" i="1"/>
  <c r="L2079" i="1"/>
  <c r="L2082" i="1"/>
  <c r="L2085" i="1"/>
  <c r="L2087" i="1"/>
  <c r="L2088" i="1"/>
  <c r="L2091" i="1"/>
  <c r="L2094" i="1"/>
  <c r="L2097" i="1"/>
  <c r="L2100" i="1"/>
  <c r="L2103" i="1"/>
  <c r="L2106" i="1"/>
  <c r="L2110" i="1"/>
  <c r="L2113" i="1"/>
  <c r="L2116" i="1"/>
  <c r="L2121" i="1"/>
  <c r="L2124" i="1"/>
  <c r="L2128" i="1"/>
  <c r="L2131" i="1"/>
  <c r="L2134" i="1"/>
  <c r="L2138" i="1"/>
  <c r="L2141" i="1"/>
  <c r="L2144" i="1"/>
  <c r="L2147" i="1"/>
  <c r="L2150" i="1"/>
  <c r="L2153" i="1"/>
  <c r="L2157" i="1"/>
  <c r="L2160" i="1"/>
  <c r="L2163" i="1"/>
  <c r="L2165" i="1"/>
  <c r="L2168" i="1"/>
  <c r="L2174" i="1"/>
  <c r="L2176" i="1"/>
  <c r="L2179" i="1"/>
  <c r="L2182" i="1"/>
  <c r="L2185" i="1"/>
  <c r="L2188" i="1"/>
  <c r="L2191" i="1"/>
  <c r="L2193" i="1"/>
  <c r="L2196" i="1"/>
  <c r="L2199" i="1"/>
  <c r="L2202" i="1"/>
  <c r="L2205" i="1"/>
  <c r="L2208" i="1"/>
  <c r="L2211" i="1"/>
  <c r="L2214" i="1"/>
  <c r="L2215" i="1"/>
  <c r="L2216" i="1"/>
  <c r="L2217" i="1"/>
  <c r="L2220" i="1"/>
  <c r="L2223" i="1"/>
  <c r="L2226" i="1"/>
  <c r="L2229" i="1"/>
  <c r="L2231" i="1"/>
  <c r="L2234" i="1"/>
  <c r="L2237" i="1"/>
  <c r="L2240" i="1"/>
  <c r="L2243" i="1"/>
  <c r="L2245" i="1"/>
  <c r="L2248" i="1"/>
  <c r="L2251" i="1"/>
  <c r="L2255" i="1"/>
  <c r="L2259" i="1"/>
  <c r="L2262" i="1"/>
  <c r="L2265" i="1"/>
  <c r="L2268" i="1"/>
  <c r="L2270" i="1"/>
  <c r="L2273" i="1"/>
  <c r="L2276" i="1"/>
  <c r="L2279" i="1"/>
  <c r="L2282" i="1"/>
  <c r="L2286" i="1"/>
  <c r="L2289" i="1"/>
  <c r="L2292" i="1"/>
  <c r="L2295" i="1"/>
  <c r="L2298" i="1"/>
  <c r="L2301" i="1"/>
  <c r="L2304" i="1"/>
  <c r="L2307" i="1"/>
  <c r="L2310" i="1"/>
  <c r="L2313" i="1"/>
  <c r="L2316" i="1"/>
  <c r="L2319" i="1"/>
  <c r="L2321" i="1"/>
  <c r="L2326" i="1"/>
  <c r="L2329" i="1"/>
  <c r="L2332" i="1"/>
  <c r="L2335" i="1"/>
  <c r="L2338" i="1"/>
  <c r="L2342" i="1"/>
  <c r="L2348" i="1"/>
  <c r="L2351" i="1"/>
  <c r="L2354" i="1"/>
  <c r="L2357" i="1"/>
  <c r="L2360" i="1"/>
  <c r="L2362" i="1"/>
  <c r="L2365" i="1"/>
  <c r="L2368" i="1"/>
  <c r="L2371" i="1"/>
  <c r="L2374" i="1"/>
  <c r="L2377" i="1"/>
  <c r="L2381" i="1"/>
  <c r="L2384" i="1"/>
  <c r="L2386" i="1"/>
  <c r="L2389" i="1"/>
  <c r="L2392" i="1"/>
  <c r="L2395" i="1"/>
  <c r="L2396" i="1"/>
  <c r="L2399" i="1"/>
  <c r="L2402" i="1"/>
  <c r="L2405" i="1"/>
  <c r="L2408" i="1"/>
  <c r="L2411" i="1"/>
  <c r="L2415" i="1"/>
  <c r="L2417" i="1"/>
  <c r="L2420" i="1"/>
  <c r="L2423" i="1"/>
  <c r="L2426" i="1"/>
  <c r="L2429" i="1"/>
  <c r="L2432" i="1"/>
  <c r="L2435" i="1"/>
  <c r="L2438" i="1"/>
  <c r="L2441" i="1"/>
  <c r="L2443" i="1"/>
  <c r="L2446" i="1"/>
  <c r="L2449" i="1"/>
  <c r="L2452" i="1"/>
  <c r="L2455" i="1"/>
  <c r="L2458" i="1"/>
  <c r="L2461" i="1"/>
  <c r="L2464" i="1"/>
  <c r="L2467" i="1"/>
  <c r="L2470" i="1"/>
  <c r="L2473" i="1"/>
  <c r="L2476" i="1"/>
  <c r="L2479" i="1"/>
  <c r="L2482" i="1"/>
  <c r="L2485" i="1"/>
  <c r="L2488" i="1"/>
  <c r="L2493" i="1"/>
  <c r="L2496" i="1"/>
  <c r="L2499" i="1"/>
  <c r="L25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<sst xmlns="http://schemas.openxmlformats.org/spreadsheetml/2006/main" count="15599" uniqueCount="319">
  <si>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</si>
  <si>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</si>
  <si>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</si>
  <si>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</si>
  <si>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</si>
  <si>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</si>
  <si>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</si>
  <si>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</si>
  <si>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</si>
  <si>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</si>
  <si>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</si>
  <si>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</si>
  <si>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</si>
  <si>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</si>
  <si>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</si>
  <si>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</si>
  <si>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</si>
  <si>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</si>
  <si>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</si>
  <si>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</si>
  <si>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</si>
  <si>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</si>
  <si>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</si>
  <si>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</si>
  <si>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</si>
  <si>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</si>
  <si>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</si>
  <si>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</si>
  <si>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</si>
  <si>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</si>
  <si>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</si>
  <si>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</si>
  <si>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</si>
  <si>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</si>
  <si>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</si>
  <si>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</si>
  <si>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</si>
  <si>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</si>
  <si>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</si>
  <si>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</si>
  <si>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</si>
  <si>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</si>
  <si>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</si>
  <si>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</si>
  <si>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</si>
  <si>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</si>
  <si>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</si>
  <si>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</si>
  <si>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</si>
  <si>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</si>
  <si>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</si>
  <si>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</si>
  <si>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</si>
  <si>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</si>
  <si>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</si>
  <si>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</si>
  <si>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</si>
  <si>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</si>
  <si>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</si>
  <si>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</si>
  <si>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</si>
  <si>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</si>
  <si>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</si>
  <si>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</si>
  <si>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</si>
  <si>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</si>
  <si>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</si>
  <si>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</si>
  <si>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</si>
  <si>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</si>
  <si>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</si>
  <si>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</si>
  <si>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</si>
  <si>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</si>
  <si>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</si>
  <si>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</si>
  <si>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</si>
  <si>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</si>
  <si>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</si>
  <si>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</si>
  <si>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</si>
  <si>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</si>
  <si>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</si>
  <si>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</si>
  <si>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</si>
  <si>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</si>
  <si>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</si>
  <si>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</si>
  <si>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</si>
  <si>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</si>
  <si>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</si>
  <si>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</si>
  <si>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</si>
  <si>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</si>
  <si>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</si>
  <si>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</si>
  <si>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</si>
  <si>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</si>
  <si>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</si>
  <si>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</si>
  <si>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</si>
  <si>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</si>
  <si>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</si>
  <si>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</si>
  <si>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</si>
  <si>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</si>
  <si>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</si>
  <si>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</si>
  <si>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</si>
  <si>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</si>
  <si>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</si>
  <si>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</si>
  <si>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</si>
  <si>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</si>
  <si>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Amelia</t>
  </si>
  <si>
    <t>Lukas</t>
  </si>
  <si>
    <t>Olivia</t>
  </si>
  <si>
    <t>Sofia</t>
  </si>
  <si>
    <t>Chloe</t>
  </si>
  <si>
    <t>Alexander</t>
  </si>
  <si>
    <t>Liam</t>
  </si>
  <si>
    <t>Sophia</t>
  </si>
  <si>
    <t>Emma</t>
  </si>
  <si>
    <t>Ethan</t>
  </si>
  <si>
    <t>Isabella</t>
  </si>
  <si>
    <t>Noah</t>
  </si>
  <si>
    <t>Ava</t>
  </si>
  <si>
    <t>Dev</t>
  </si>
  <si>
    <t>Mia</t>
  </si>
  <si>
    <t>William</t>
  </si>
  <si>
    <t>Sophie</t>
  </si>
  <si>
    <t>Lucas</t>
  </si>
  <si>
    <t>Aino</t>
  </si>
  <si>
    <t>Emily</t>
  </si>
  <si>
    <t>Benjamin</t>
  </si>
  <si>
    <t>Marco</t>
  </si>
  <si>
    <t>Daniela</t>
  </si>
  <si>
    <t>Charlotte</t>
  </si>
  <si>
    <t>Priya</t>
  </si>
  <si>
    <t>Oliver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</si>
  <si>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</si>
  <si>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</si>
  <si>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</si>
  <si>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</si>
  <si>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</si>
  <si>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</si>
  <si>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</si>
  <si>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</si>
  <si>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</si>
  <si>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</si>
  <si>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</si>
  <si>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</si>
  <si>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</si>
  <si>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</si>
  <si>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</si>
  <si>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</si>
  <si>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</si>
  <si>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</si>
  <si>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Sales Manager First Name</t>
  </si>
  <si>
    <t>Sales Manager Last Name</t>
  </si>
  <si>
    <t>Johnson</t>
  </si>
  <si>
    <t>Schmidt</t>
  </si>
  <si>
    <t>Jensen</t>
  </si>
  <si>
    <t>Laine</t>
  </si>
  <si>
    <t>Dupont</t>
  </si>
  <si>
    <t>Müller</t>
  </si>
  <si>
    <t>O'Sullivan</t>
  </si>
  <si>
    <t>Rossi</t>
  </si>
  <si>
    <t>Hansen</t>
  </si>
  <si>
    <t>Lee</t>
  </si>
  <si>
    <t>Garcia</t>
  </si>
  <si>
    <t>Meier</t>
  </si>
  <si>
    <t>Williams</t>
  </si>
  <si>
    <t>Patel</t>
  </si>
  <si>
    <t>Khan</t>
  </si>
  <si>
    <t>Brown</t>
  </si>
  <si>
    <t>Gruber</t>
  </si>
  <si>
    <t>Nielsen</t>
  </si>
  <si>
    <t>Virtanen</t>
  </si>
  <si>
    <t>Dubois</t>
  </si>
  <si>
    <t>Weber</t>
  </si>
  <si>
    <t>Murphy</t>
  </si>
  <si>
    <t>Bianchi</t>
  </si>
  <si>
    <t>Olsen</t>
  </si>
  <si>
    <t>Chen</t>
  </si>
  <si>
    <t>Hernandez</t>
  </si>
  <si>
    <t>Baumann</t>
  </si>
  <si>
    <t>Miller</t>
  </si>
  <si>
    <t>Kapoor</t>
  </si>
  <si>
    <t>Kumar</t>
  </si>
  <si>
    <t>Whatsapp</t>
  </si>
  <si>
    <t>OrderTime</t>
  </si>
  <si>
    <t>OrderDate</t>
  </si>
  <si>
    <t>OrderMonth</t>
  </si>
  <si>
    <t>OrderDay</t>
  </si>
  <si>
    <t>OrderMonth(Nos)</t>
  </si>
  <si>
    <t>CountA</t>
  </si>
  <si>
    <t>CountBlank</t>
  </si>
  <si>
    <t>Difference</t>
  </si>
  <si>
    <t>CustomerCountry</t>
  </si>
  <si>
    <t>N/A</t>
  </si>
  <si>
    <t>Data Cleaning</t>
  </si>
  <si>
    <t>Q0</t>
  </si>
  <si>
    <t>Q1</t>
  </si>
  <si>
    <t>Q2</t>
  </si>
  <si>
    <t>Q3</t>
  </si>
  <si>
    <t>Q4</t>
  </si>
  <si>
    <t>OrderValue</t>
  </si>
  <si>
    <t>IQR</t>
  </si>
  <si>
    <t>LowerBound</t>
  </si>
  <si>
    <t>HigherBound</t>
  </si>
  <si>
    <t>QuartileCheck</t>
  </si>
  <si>
    <t>Data of 2nd half of year</t>
  </si>
  <si>
    <t>Sum of OrderValue</t>
  </si>
  <si>
    <t>Count of Orders Placed</t>
  </si>
  <si>
    <t>Indian Customers</t>
  </si>
  <si>
    <t>Orders via Whatsapp</t>
  </si>
  <si>
    <t>Average OrderValue</t>
  </si>
  <si>
    <t>Orders on or after 15June2023</t>
  </si>
  <si>
    <t>Count of Orders 
with customer age &gt; 30</t>
  </si>
  <si>
    <t>Full Name</t>
  </si>
  <si>
    <t>Sum of Order Value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</si>
  <si>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</si>
  <si>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</si>
  <si>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</si>
  <si>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</si>
  <si>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</si>
  <si>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</si>
  <si>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</si>
  <si>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</si>
  <si>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</si>
  <si>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</si>
  <si>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</si>
  <si>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</si>
  <si>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</si>
  <si>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</si>
  <si>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Count of Order ID</t>
  </si>
  <si>
    <t>Average of Order Value</t>
  </si>
  <si>
    <t>Count of Customer ID</t>
  </si>
  <si>
    <t>12 AM</t>
  </si>
  <si>
    <t>1 AM</t>
  </si>
  <si>
    <t>2 AM</t>
  </si>
  <si>
    <t>4 AM</t>
  </si>
  <si>
    <t>10 AM</t>
  </si>
  <si>
    <t>11 AM</t>
  </si>
  <si>
    <t>12 PM</t>
  </si>
  <si>
    <t>`</t>
  </si>
  <si>
    <t>Monday</t>
  </si>
  <si>
    <t>Tuesday</t>
  </si>
  <si>
    <t>Wednesday</t>
  </si>
  <si>
    <t>Thursday</t>
  </si>
  <si>
    <t>Friday</t>
  </si>
  <si>
    <t>Saturday</t>
  </si>
  <si>
    <t>Sunday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</si>
  <si>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</si>
  <si>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</si>
  <si>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</si>
  <si>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</si>
  <si>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</si>
  <si>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</si>
  <si>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</si>
  <si>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</si>
  <si>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Missing Values</t>
  </si>
  <si>
    <t>Actual Sales</t>
  </si>
  <si>
    <t>Target Met/ Target Not Met</t>
  </si>
  <si>
    <t>Target Not Met</t>
  </si>
  <si>
    <t>Target Exceeded</t>
  </si>
  <si>
    <t>Count of Sales POC</t>
  </si>
  <si>
    <t>Sum of 2023 Sales Target</t>
  </si>
  <si>
    <t>Sum of Actual Sales</t>
  </si>
  <si>
    <t>(All)</t>
  </si>
  <si>
    <t>Aino Virtanen</t>
  </si>
  <si>
    <t>Alexander Müller</t>
  </si>
  <si>
    <t>Amelia Johnson</t>
  </si>
  <si>
    <t>Ava Williams</t>
  </si>
  <si>
    <t>Benjamin Chen</t>
  </si>
  <si>
    <t>Benjamin Weber</t>
  </si>
  <si>
    <t>Charlotte Miller</t>
  </si>
  <si>
    <t>Chloe Dupont</t>
  </si>
  <si>
    <t>Daniela Hernandez</t>
  </si>
  <si>
    <t>Dev Patel</t>
  </si>
  <si>
    <t>Emily Dubois</t>
  </si>
  <si>
    <t>Emily Murphy</t>
  </si>
  <si>
    <t>Emma Hansen</t>
  </si>
  <si>
    <t>Ethan Lee</t>
  </si>
  <si>
    <t>Isabella Garcia</t>
  </si>
  <si>
    <t>Liam Baumann</t>
  </si>
  <si>
    <t>Liam O'Sullivan</t>
  </si>
  <si>
    <t>Lucas Nielsen</t>
  </si>
  <si>
    <t>Lucas Olsen</t>
  </si>
  <si>
    <t>Lukas Schmidt</t>
  </si>
  <si>
    <t>Marco Bianchi</t>
  </si>
  <si>
    <t>Mia Khan</t>
  </si>
  <si>
    <t>Noah Meier</t>
  </si>
  <si>
    <t>Oliver Kumar</t>
  </si>
  <si>
    <t>Olivia Jensen</t>
  </si>
  <si>
    <t>Priya Kapoor</t>
  </si>
  <si>
    <t>Sofia Laine</t>
  </si>
  <si>
    <t>Sophia Rossi</t>
  </si>
  <si>
    <t>Sophie Gruber</t>
  </si>
  <si>
    <t>Highest Target of Managers</t>
  </si>
  <si>
    <t>Manager Names</t>
  </si>
  <si>
    <t>Target Sales</t>
  </si>
  <si>
    <t>Target Met/Not Met</t>
  </si>
  <si>
    <t>Sr No.</t>
  </si>
  <si>
    <t>Noah Meier and Benjamin Chen assigned with Sales Target i.e. Rs 13,00,000/- Hence Noah Meier sucessfully Exceeded the Target while Benjamin Chen did not achieve the established goal.</t>
  </si>
  <si>
    <t>Sales POC's who missed the target</t>
  </si>
  <si>
    <t>Average Shortfall on sales on target</t>
  </si>
  <si>
    <t>Sales Shortfall</t>
  </si>
  <si>
    <t>% Target Reached</t>
  </si>
  <si>
    <t>Average of % Target Reached</t>
  </si>
  <si>
    <t xml:space="preserve"> Average Age</t>
  </si>
  <si>
    <t xml:space="preserve"> Highest Indian Males</t>
  </si>
  <si>
    <t>Category D has the youngest Average age, with the average age 53</t>
  </si>
  <si>
    <t>Category A has the highest number of Indian Males as customer which is 44</t>
  </si>
  <si>
    <t>Sales Target</t>
  </si>
  <si>
    <t>Performed Target for Specific Sales POC's</t>
  </si>
  <si>
    <t>Team Name</t>
  </si>
  <si>
    <t>Sales POC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</si>
</sst>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/yyyy\ hh:mm:ss"/>
    <numFmt numFmtId="165" formatCode="[$-F400]h\.mm\.ss\ AM/PM"/>
    <numFmt numFmtId="170" formatCode="[$-10409]hh\.mm\.ss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70" fontId="0" fillId="0" borderId="0" xfId="0" applyNumberFormat="1"/>
    <xf numFmtId="170" fontId="2" fillId="0" borderId="0" xfId="0" applyNumberFormat="1" applyFont="1"/>
    <xf numFmtId="170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4" fontId="1" fillId="0" borderId="0" xfId="0" applyNumberFormat="1" applyFont="1"/>
    <xf numFmtId="44" fontId="0" fillId="0" borderId="0" xfId="0" applyNumberFormat="1"/>
    <xf numFmtId="43" fontId="0" fillId="0" borderId="0" xfId="0" applyNumberFormat="1"/>
    <xf numFmtId="1" fontId="0" fillId="0" borderId="1" xfId="0" applyNumberForma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0" fillId="2" borderId="1" xfId="0" applyFill="1" applyBorder="1" applyAlignment="1">
      <alignment horizontal="center"/>
    </xf>
    <xf numFmtId="43" fontId="0" fillId="0" borderId="1" xfId="0" applyNumberFormat="1" applyBorder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1" fillId="0" borderId="0" xfId="0" applyNumberFormat="1" applyFont="1"/>
    <xf numFmtId="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0" fontId="0" fillId="4" borderId="1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5" borderId="1" xfId="0" applyFill="1" applyBorder="1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Analysis.xlsx]Orders Over Month!PivotTable5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Over Month'!$B$3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Over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'Orders Over Month'!$B$4:$B$16</c:f>
              <c:numCache>
                <c:formatCode>General</c:formatCode>
                <c:ptCount val="12"/>
                <c:pt idx="0">
                  <c:v>217</c:v>
                </c:pt>
                <c:pt idx="1">
                  <c:v>220</c:v>
                </c:pt>
                <c:pt idx="2">
                  <c:v>197</c:v>
                </c:pt>
                <c:pt idx="3">
                  <c:v>197</c:v>
                </c:pt>
                <c:pt idx="4">
                  <c:v>207</c:v>
                </c:pt>
                <c:pt idx="5">
                  <c:v>213</c:v>
                </c:pt>
                <c:pt idx="6">
                  <c:v>209</c:v>
                </c:pt>
                <c:pt idx="7">
                  <c:v>207</c:v>
                </c:pt>
                <c:pt idx="8">
                  <c:v>195</c:v>
                </c:pt>
                <c:pt idx="9">
                  <c:v>201</c:v>
                </c:pt>
                <c:pt idx="10">
                  <c:v>229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989-8E5F-B5316DE4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6682640"/>
        <c:axId val="720727904"/>
      </c:barChart>
      <c:lineChart>
        <c:grouping val="stacked"/>
        <c:varyColors val="0"/>
        <c:ser>
          <c:idx val="1"/>
          <c:order val="1"/>
          <c:tx>
            <c:strRef>
              <c:f>'Orders Over Month'!$C$3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'Orders Over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'Orders Over Month'!$C$4:$C$16</c:f>
              <c:numCache>
                <c:formatCode>0.00</c:formatCode>
                <c:ptCount val="12"/>
                <c:pt idx="0">
                  <c:v>4854.4285714285716</c:v>
                </c:pt>
                <c:pt idx="1">
                  <c:v>4979.590909090909</c:v>
                </c:pt>
                <c:pt idx="2">
                  <c:v>5166.2233502538074</c:v>
                </c:pt>
                <c:pt idx="3">
                  <c:v>4822.2335025380708</c:v>
                </c:pt>
                <c:pt idx="4">
                  <c:v>4901.6425120772947</c:v>
                </c:pt>
                <c:pt idx="5">
                  <c:v>4926.7605633802814</c:v>
                </c:pt>
                <c:pt idx="6">
                  <c:v>4989.196172248804</c:v>
                </c:pt>
                <c:pt idx="7">
                  <c:v>5169.579710144928</c:v>
                </c:pt>
                <c:pt idx="8">
                  <c:v>4759.041025641026</c:v>
                </c:pt>
                <c:pt idx="9">
                  <c:v>4673.4925373134329</c:v>
                </c:pt>
                <c:pt idx="10">
                  <c:v>5236.1091703056773</c:v>
                </c:pt>
                <c:pt idx="11">
                  <c:v>4403.3846153846152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D-4989-8E5F-B5316DE4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074768"/>
        <c:axId val="908152928"/>
      </c:lineChart>
      <c:catAx>
        <c:axId val="8566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27904"/>
        <c:crosses val="autoZero"/>
        <c:auto val="1"/>
        <c:lblAlgn val="ctr"/>
        <c:lblOffset val="100"/>
        <c:noMultiLvlLbl val="0"/>
      </c:catAx>
      <c:valAx>
        <c:axId val="7207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82640"/>
        <c:crosses val="autoZero"/>
        <c:crossBetween val="between"/>
      </c:valAx>
      <c:valAx>
        <c:axId val="90815292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74768"/>
        <c:crosses val="max"/>
        <c:crossBetween val="between"/>
      </c:valAx>
      <c:catAx>
        <c:axId val="887074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81529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Analysis.xlsx]Customer over Country Sales!PivotTable6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over Country Sales'!$B$3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over Country Sales'!$A$4:$A$19</c:f>
              <c:strCache>
                <c:ptCount val="15"/>
                <c:pt idx="0">
                  <c:v>Australia</c:v>
                </c:pt>
                <c:pt idx="1">
                  <c:v>Austria</c:v>
                </c:pt>
                <c:pt idx="2">
                  <c:v>Denmark</c:v>
                </c:pt>
                <c:pt idx="3">
                  <c:v>Finland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Ireland</c:v>
                </c:pt>
                <c:pt idx="8">
                  <c:v>Italy</c:v>
                </c:pt>
                <c:pt idx="9">
                  <c:v>N/A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Switzerland</c:v>
                </c:pt>
                <c:pt idx="14">
                  <c:v>USA</c:v>
                </c:pt>
              </c:strCache>
            </c:strRef>
          </c:cat>
          <c:val>
            <c:numRef>
              <c:f>'Customer over Country Sales'!$B$4:$B$19</c:f>
              <c:numCache>
                <c:formatCode>General</c:formatCode>
                <c:ptCount val="15"/>
                <c:pt idx="0">
                  <c:v>198</c:v>
                </c:pt>
                <c:pt idx="1">
                  <c:v>43</c:v>
                </c:pt>
                <c:pt idx="2">
                  <c:v>66</c:v>
                </c:pt>
                <c:pt idx="3">
                  <c:v>66</c:v>
                </c:pt>
                <c:pt idx="4">
                  <c:v>323</c:v>
                </c:pt>
                <c:pt idx="5">
                  <c:v>58</c:v>
                </c:pt>
                <c:pt idx="6">
                  <c:v>281</c:v>
                </c:pt>
                <c:pt idx="7">
                  <c:v>20</c:v>
                </c:pt>
                <c:pt idx="8">
                  <c:v>112</c:v>
                </c:pt>
                <c:pt idx="9">
                  <c:v>7</c:v>
                </c:pt>
                <c:pt idx="10">
                  <c:v>40</c:v>
                </c:pt>
                <c:pt idx="11">
                  <c:v>97</c:v>
                </c:pt>
                <c:pt idx="12">
                  <c:v>268</c:v>
                </c:pt>
                <c:pt idx="13">
                  <c:v>36</c:v>
                </c:pt>
                <c:pt idx="14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7-46F6-A0E8-C480392A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48075232"/>
        <c:axId val="720729824"/>
      </c:barChart>
      <c:lineChart>
        <c:grouping val="standard"/>
        <c:varyColors val="0"/>
        <c:ser>
          <c:idx val="1"/>
          <c:order val="1"/>
          <c:tx>
            <c:strRef>
              <c:f>'Customer over Country Sales'!$C$3</c:f>
              <c:strCache>
                <c:ptCount val="1"/>
                <c:pt idx="0">
                  <c:v>Sum of Order 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over Country Sales'!$A$4:$A$19</c:f>
              <c:strCache>
                <c:ptCount val="15"/>
                <c:pt idx="0">
                  <c:v>Australia</c:v>
                </c:pt>
                <c:pt idx="1">
                  <c:v>Austria</c:v>
                </c:pt>
                <c:pt idx="2">
                  <c:v>Denmark</c:v>
                </c:pt>
                <c:pt idx="3">
                  <c:v>Finland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Ireland</c:v>
                </c:pt>
                <c:pt idx="8">
                  <c:v>Italy</c:v>
                </c:pt>
                <c:pt idx="9">
                  <c:v>N/A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Switzerland</c:v>
                </c:pt>
                <c:pt idx="14">
                  <c:v>USA</c:v>
                </c:pt>
              </c:strCache>
            </c:strRef>
          </c:cat>
          <c:val>
            <c:numRef>
              <c:f>'Customer over Country Sales'!$C$4:$C$19</c:f>
              <c:numCache>
                <c:formatCode>0</c:formatCode>
                <c:ptCount val="15"/>
                <c:pt idx="0">
                  <c:v>974217</c:v>
                </c:pt>
                <c:pt idx="1">
                  <c:v>223916</c:v>
                </c:pt>
                <c:pt idx="2">
                  <c:v>307260</c:v>
                </c:pt>
                <c:pt idx="3">
                  <c:v>324319</c:v>
                </c:pt>
                <c:pt idx="4">
                  <c:v>1637659</c:v>
                </c:pt>
                <c:pt idx="5">
                  <c:v>299656</c:v>
                </c:pt>
                <c:pt idx="6">
                  <c:v>1356737</c:v>
                </c:pt>
                <c:pt idx="7">
                  <c:v>91966</c:v>
                </c:pt>
                <c:pt idx="8">
                  <c:v>538932</c:v>
                </c:pt>
                <c:pt idx="9">
                  <c:v>36818</c:v>
                </c:pt>
                <c:pt idx="10">
                  <c:v>195229</c:v>
                </c:pt>
                <c:pt idx="11">
                  <c:v>486633</c:v>
                </c:pt>
                <c:pt idx="12">
                  <c:v>1378166</c:v>
                </c:pt>
                <c:pt idx="13">
                  <c:v>165904</c:v>
                </c:pt>
                <c:pt idx="14">
                  <c:v>4258478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7-46F6-A0E8-C480392A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077088"/>
        <c:axId val="720743264"/>
      </c:lineChart>
      <c:catAx>
        <c:axId val="8480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29824"/>
        <c:crosses val="autoZero"/>
        <c:auto val="1"/>
        <c:lblAlgn val="ctr"/>
        <c:lblOffset val="100"/>
        <c:noMultiLvlLbl val="0"/>
      </c:catAx>
      <c:valAx>
        <c:axId val="7207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75232"/>
        <c:crosses val="autoZero"/>
        <c:crossBetween val="between"/>
      </c:valAx>
      <c:valAx>
        <c:axId val="720743264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77088"/>
        <c:crosses val="max"/>
        <c:crossBetween val="between"/>
      </c:valAx>
      <c:catAx>
        <c:axId val="887077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07432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Analysis.xlsx]Orders Over Hours!PivotTable7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'Orders Over Hours'!$C$3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Over Hours'!$A$4:$A$11</c:f>
              <c:strCache>
                <c:ptCount val="7"/>
                <c:pt idx="0">
                  <c:v>12 AM</c:v>
                </c:pt>
                <c:pt idx="1">
                  <c:v>1 AM</c:v>
                </c:pt>
                <c:pt idx="2">
                  <c:v>2 AM</c:v>
                </c:pt>
                <c:pt idx="3">
                  <c:v>4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</c:strCache>
            </c:strRef>
          </c:cat>
          <c:val>
            <c:numRef>
              <c:f>'Orders Over Hours'!$C$4:$C$11</c:f>
              <c:numCache>
                <c:formatCode>0.00</c:formatCode>
                <c:ptCount val="7"/>
                <c:pt idx="0">
                  <c:v>5020.7347368421051</c:v>
                </c:pt>
                <c:pt idx="1">
                  <c:v>4928.9184549356223</c:v>
                </c:pt>
                <c:pt idx="2">
                  <c:v>4712.0749999999998</c:v>
                </c:pt>
                <c:pt idx="3">
                  <c:v>6297.5</c:v>
                </c:pt>
                <c:pt idx="4">
                  <c:v>4927.0324675324673</c:v>
                </c:pt>
                <c:pt idx="5">
                  <c:v>4695.0826010544815</c:v>
                </c:pt>
                <c:pt idx="6">
                  <c:v>4990.9596977329975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7-4C57-96C1-B45A402C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100"/>
        <c:axId val="862412960"/>
        <c:axId val="605198784"/>
      </c:barChart>
      <c:lineChart>
        <c:grouping val="standard"/>
        <c:varyColors val="0"/>
        <c:ser>
          <c:idx val="0"/>
          <c:order val="0"/>
          <c:tx>
            <c:strRef>
              <c:f>'Orders Over Hours'!$B$3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'Orders Over Hours'!$A$4:$A$11</c:f>
              <c:strCache>
                <c:ptCount val="7"/>
                <c:pt idx="0">
                  <c:v>12 AM</c:v>
                </c:pt>
                <c:pt idx="1">
                  <c:v>1 AM</c:v>
                </c:pt>
                <c:pt idx="2">
                  <c:v>2 AM</c:v>
                </c:pt>
                <c:pt idx="3">
                  <c:v>4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</c:strCache>
            </c:strRef>
          </c:cat>
          <c:val>
            <c:numRef>
              <c:f>'Orders Over Hours'!$B$4:$B$11</c:f>
              <c:numCache>
                <c:formatCode>General</c:formatCode>
                <c:ptCount val="7"/>
                <c:pt idx="0">
                  <c:v>475</c:v>
                </c:pt>
                <c:pt idx="1">
                  <c:v>466</c:v>
                </c:pt>
                <c:pt idx="2">
                  <c:v>40</c:v>
                </c:pt>
                <c:pt idx="3">
                  <c:v>2</c:v>
                </c:pt>
                <c:pt idx="4">
                  <c:v>154</c:v>
                </c:pt>
                <c:pt idx="5">
                  <c:v>569</c:v>
                </c:pt>
                <c:pt idx="6">
                  <c:v>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7-4C57-96C1-B45A402C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584896"/>
        <c:axId val="720763424"/>
      </c:lineChart>
      <c:catAx>
        <c:axId val="96658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63424"/>
        <c:crosses val="autoZero"/>
        <c:auto val="1"/>
        <c:lblAlgn val="ctr"/>
        <c:lblOffset val="100"/>
        <c:noMultiLvlLbl val="0"/>
      </c:catAx>
      <c:valAx>
        <c:axId val="7207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84896"/>
        <c:crosses val="autoZero"/>
        <c:crossBetween val="between"/>
      </c:valAx>
      <c:valAx>
        <c:axId val="60519878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12960"/>
        <c:crosses val="max"/>
        <c:crossBetween val="between"/>
      </c:valAx>
      <c:catAx>
        <c:axId val="86241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51987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Analysis.xlsx]Orders Over Days!PivotTable8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Over Days'!$B$3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Over Days'!$A$4:$A$11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'Orders Over Days'!$B$4:$B$11</c:f>
              <c:numCache>
                <c:formatCode>General</c:formatCode>
                <c:ptCount val="7"/>
                <c:pt idx="0">
                  <c:v>386</c:v>
                </c:pt>
                <c:pt idx="1">
                  <c:v>366</c:v>
                </c:pt>
                <c:pt idx="2">
                  <c:v>346</c:v>
                </c:pt>
                <c:pt idx="3">
                  <c:v>347</c:v>
                </c:pt>
                <c:pt idx="4">
                  <c:v>340</c:v>
                </c:pt>
                <c:pt idx="5">
                  <c:v>368</c:v>
                </c:pt>
                <c:pt idx="6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B-413E-B2C9-7657A5881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1438096"/>
        <c:axId val="605217504"/>
      </c:barChart>
      <c:lineChart>
        <c:grouping val="standard"/>
        <c:varyColors val="0"/>
        <c:ser>
          <c:idx val="1"/>
          <c:order val="1"/>
          <c:tx>
            <c:strRef>
              <c:f>'Orders Over Days'!$C$3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'Orders Over Days'!$A$4:$A$11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'Orders Over Days'!$C$4:$C$11</c:f>
              <c:numCache>
                <c:formatCode>0.00</c:formatCode>
                <c:ptCount val="7"/>
                <c:pt idx="0">
                  <c:v>4856.5336787564765</c:v>
                </c:pt>
                <c:pt idx="1">
                  <c:v>5073.2540983606559</c:v>
                </c:pt>
                <c:pt idx="2">
                  <c:v>4803.1098265895953</c:v>
                </c:pt>
                <c:pt idx="3">
                  <c:v>4998.3141210374642</c:v>
                </c:pt>
                <c:pt idx="4">
                  <c:v>4972.376470588235</c:v>
                </c:pt>
                <c:pt idx="5">
                  <c:v>4669.630434782609</c:v>
                </c:pt>
                <c:pt idx="6">
                  <c:v>5011.9135446685877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B-413E-B2C9-7657A5881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986736"/>
        <c:axId val="720765824"/>
      </c:lineChart>
      <c:catAx>
        <c:axId val="97143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17504"/>
        <c:crosses val="autoZero"/>
        <c:auto val="1"/>
        <c:lblAlgn val="ctr"/>
        <c:lblOffset val="100"/>
        <c:noMultiLvlLbl val="0"/>
      </c:catAx>
      <c:valAx>
        <c:axId val="6052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38096"/>
        <c:crosses val="autoZero"/>
        <c:crossBetween val="between"/>
      </c:valAx>
      <c:valAx>
        <c:axId val="72076582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86736"/>
        <c:crosses val="max"/>
        <c:crossBetween val="between"/>
      </c:valAx>
      <c:catAx>
        <c:axId val="94898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0765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Analysis.xlsx]Order Sources Trend!PivotTable9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Sources Trend'!$B$3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Sources Trend'!$A$4:$A$8</c:f>
              <c:strCache>
                <c:ptCount val="4"/>
                <c:pt idx="0">
                  <c:v>App</c:v>
                </c:pt>
                <c:pt idx="1">
                  <c:v>Other</c:v>
                </c:pt>
                <c:pt idx="2">
                  <c:v>Website</c:v>
                </c:pt>
                <c:pt idx="3">
                  <c:v>Whatsapp</c:v>
                </c:pt>
              </c:strCache>
            </c:strRef>
          </c:cat>
          <c:val>
            <c:numRef>
              <c:f>'Order Sources Trend'!$B$4:$B$8</c:f>
              <c:numCache>
                <c:formatCode>General</c:formatCode>
                <c:ptCount val="4"/>
                <c:pt idx="0">
                  <c:v>622</c:v>
                </c:pt>
                <c:pt idx="1">
                  <c:v>608</c:v>
                </c:pt>
                <c:pt idx="2">
                  <c:v>637</c:v>
                </c:pt>
                <c:pt idx="3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9-4089-B8DE-775A3EE30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6588608"/>
        <c:axId val="605220384"/>
      </c:barChart>
      <c:catAx>
        <c:axId val="9665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20384"/>
        <c:crosses val="autoZero"/>
        <c:auto val="1"/>
        <c:lblAlgn val="ctr"/>
        <c:lblOffset val="100"/>
        <c:noMultiLvlLbl val="0"/>
      </c:catAx>
      <c:valAx>
        <c:axId val="605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Analysis.xlsx]Orders on AgeGroup Trend!PivotTable10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'Orders on AgeGroup Trend'!$B$3</c:f>
              <c:strCache>
                <c:ptCount val="1"/>
                <c:pt idx="0">
                  <c:v>Sum of Order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on AgeGroup Trend'!$A$4:$A$12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'Orders on AgeGroup Trend'!$B$4:$B$12</c:f>
              <c:numCache>
                <c:formatCode>General</c:formatCode>
                <c:ptCount val="8"/>
                <c:pt idx="0">
                  <c:v>1852914</c:v>
                </c:pt>
                <c:pt idx="1">
                  <c:v>1721666</c:v>
                </c:pt>
                <c:pt idx="2">
                  <c:v>1585197</c:v>
                </c:pt>
                <c:pt idx="3">
                  <c:v>1503869</c:v>
                </c:pt>
                <c:pt idx="4">
                  <c:v>1921087</c:v>
                </c:pt>
                <c:pt idx="5">
                  <c:v>1588152</c:v>
                </c:pt>
                <c:pt idx="6">
                  <c:v>1637807</c:v>
                </c:pt>
                <c:pt idx="7">
                  <c:v>465198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6-4754-832F-D60BA00DE3E6}"/>
            </c:ext>
          </c:extLst>
        </c:ser>
        <c:ser>
          <c:idx val="1"/>
          <c:order val="1"/>
          <c:tx>
            <c:strRef>
              <c:f>'Orders on AgeGroup Trend'!$C$3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on AgeGroup Trend'!$A$4:$A$12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'Orders on AgeGroup Trend'!$C$4:$C$12</c:f>
              <c:numCache>
                <c:formatCode>General</c:formatCode>
                <c:ptCount val="8"/>
                <c:pt idx="0">
                  <c:v>369</c:v>
                </c:pt>
                <c:pt idx="1">
                  <c:v>349</c:v>
                </c:pt>
                <c:pt idx="2">
                  <c:v>330</c:v>
                </c:pt>
                <c:pt idx="3">
                  <c:v>303</c:v>
                </c:pt>
                <c:pt idx="4">
                  <c:v>392</c:v>
                </c:pt>
                <c:pt idx="5">
                  <c:v>330</c:v>
                </c:pt>
                <c:pt idx="6">
                  <c:v>340</c:v>
                </c:pt>
                <c:pt idx="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6-4754-832F-D60BA00DE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447840"/>
        <c:axId val="908180768"/>
      </c:barChart>
      <c:catAx>
        <c:axId val="9714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80768"/>
        <c:crosses val="autoZero"/>
        <c:auto val="1"/>
        <c:lblAlgn val="ctr"/>
        <c:lblOffset val="100"/>
        <c:noMultiLvlLbl val="0"/>
      </c:catAx>
      <c:valAx>
        <c:axId val="9081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Analysis.xlsx]Target on POC Trend!PivotTable11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'Target on POC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on POC Trend'!$A$4:$A$6</c:f>
              <c:strCache>
                <c:ptCount val="2"/>
                <c:pt idx="0">
                  <c:v>Target Exceeded</c:v>
                </c:pt>
                <c:pt idx="1">
                  <c:v>Target Not Met</c:v>
                </c:pt>
              </c:strCache>
            </c:strRef>
          </c:cat>
          <c:val>
            <c:numRef>
              <c:f>'Target on POC Trend'!$B$4:$B$6</c:f>
              <c:numCache>
                <c:formatCode>General</c:formatCode>
                <c:ptCount val="2"/>
                <c:pt idx="0">
                  <c:v>37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C-45B0-B110-A72F95CF51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1434384"/>
        <c:axId val="720723584"/>
      </c:barChart>
      <c:catAx>
        <c:axId val="9714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23584"/>
        <c:crosses val="autoZero"/>
        <c:auto val="1"/>
        <c:lblAlgn val="ctr"/>
        <c:lblOffset val="100"/>
        <c:noMultiLvlLbl val="0"/>
      </c:catAx>
      <c:valAx>
        <c:axId val="720723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14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Analysis.xlsx]Sales Team's Target Trend!PivotTable12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Team''s Target Trend'!$B$3</c:f>
              <c:strCache>
                <c:ptCount val="1"/>
                <c:pt idx="0">
                  <c:v>Sum of 2023 Sales 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Team''s Target Trend'!$A$4:$A$9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Delta</c:v>
                </c:pt>
                <c:pt idx="3">
                  <c:v>Epsilon</c:v>
                </c:pt>
                <c:pt idx="4">
                  <c:v>Gamma</c:v>
                </c:pt>
              </c:strCache>
            </c:strRef>
          </c:cat>
          <c:val>
            <c:numRef>
              <c:f>'Sales Team''s Target Trend'!$B$4:$B$9</c:f>
              <c:numCache>
                <c:formatCode>General</c:formatCode>
                <c:ptCount val="5"/>
                <c:pt idx="0">
                  <c:v>3690000</c:v>
                </c:pt>
                <c:pt idx="1">
                  <c:v>2920000</c:v>
                </c:pt>
                <c:pt idx="2">
                  <c:v>2310000</c:v>
                </c:pt>
                <c:pt idx="3">
                  <c:v>1480000</c:v>
                </c:pt>
                <c:pt idx="4">
                  <c:v>2410000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D-46CA-9385-BC0250A7B866}"/>
            </c:ext>
          </c:extLst>
        </c:ser>
        <c:ser>
          <c:idx val="1"/>
          <c:order val="1"/>
          <c:tx>
            <c:strRef>
              <c:f>'Sales Team''s Target Trend'!$C$3</c:f>
              <c:strCache>
                <c:ptCount val="1"/>
                <c:pt idx="0">
                  <c:v>Sum of Actual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Team''s Target Trend'!$A$4:$A$9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Delta</c:v>
                </c:pt>
                <c:pt idx="3">
                  <c:v>Epsilon</c:v>
                </c:pt>
                <c:pt idx="4">
                  <c:v>Gamma</c:v>
                </c:pt>
              </c:strCache>
            </c:strRef>
          </c:cat>
          <c:val>
            <c:numRef>
              <c:f>'Sales Team''s Target Trend'!$C$4:$C$9</c:f>
              <c:numCache>
                <c:formatCode>_(* #,##0.00_);_(* \(#,##0.00\);_(* "-"??_);_(@_)</c:formatCode>
                <c:ptCount val="5"/>
                <c:pt idx="0">
                  <c:v>3864300</c:v>
                </c:pt>
                <c:pt idx="1">
                  <c:v>2717137</c:v>
                </c:pt>
                <c:pt idx="2">
                  <c:v>1999414</c:v>
                </c:pt>
                <c:pt idx="3">
                  <c:v>1360064</c:v>
                </c:pt>
                <c:pt idx="4">
                  <c:v>2334975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7D-46CA-9385-BC0250A7B8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34753344"/>
        <c:axId val="719584384"/>
      </c:barChart>
      <c:catAx>
        <c:axId val="934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84384"/>
        <c:crosses val="autoZero"/>
        <c:auto val="1"/>
        <c:lblAlgn val="ctr"/>
        <c:lblOffset val="100"/>
        <c:noMultiLvlLbl val="0"/>
      </c:catAx>
      <c:valAx>
        <c:axId val="7195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 New Starting Analysis.xlsx]Sales Team % Target!PivotTable14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Team Target Achieving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Team % Target'!$B$3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Team % Target'!$A$4:$A$9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Delta</c:v>
                </c:pt>
                <c:pt idx="3">
                  <c:v>Epsilon</c:v>
                </c:pt>
                <c:pt idx="4">
                  <c:v>Gamma</c:v>
                </c:pt>
              </c:strCache>
            </c:strRef>
          </c:cat>
          <c:val>
            <c:numRef>
              <c:f>'Sales Team % Target'!$B$4:$B$9</c:f>
              <c:numCache>
                <c:formatCode>0%</c:formatCode>
                <c:ptCount val="5"/>
                <c:pt idx="0">
                  <c:v>1.0154601969696968</c:v>
                </c:pt>
                <c:pt idx="1">
                  <c:v>0.95552379861111081</c:v>
                </c:pt>
                <c:pt idx="2">
                  <c:v>0.9466552083333335</c:v>
                </c:pt>
                <c:pt idx="3">
                  <c:v>0.94503058974358989</c:v>
                </c:pt>
                <c:pt idx="4">
                  <c:v>0.94285134920634928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9F8B-415D-B315-C469301C2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4822560"/>
        <c:axId val="1048590080"/>
      </c:barChart>
      <c:catAx>
        <c:axId val="8448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90080"/>
        <c:crosses val="autoZero"/>
        <c:auto val="1"/>
        <c:lblAlgn val="ctr"/>
        <c:lblOffset val="100"/>
        <c:noMultiLvlLbl val="0"/>
      </c:catAx>
      <c:valAx>
        <c:axId val="10485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No Outliers in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 Outliers in Age</a:t>
          </a:r>
        </a:p>
      </cx:txPr>
    </cx:title>
    <cx:plotArea>
      <cx:plotAreaRegion>
        <cx:series layoutId="boxWhisker" uniqueId="{00000000-AD33-4DC6-94A5-9E894E021403}">
          <cx:tx>
            <cx:txData>
              <cx:f>_xlchart.v1.1</cx:f>
              <cx:v>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No Outliers in OrderValue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 Outliers in OrderValue</a:t>
          </a:r>
        </a:p>
      </cx:txPr>
    </cx:title>
    <cx:plotArea>
      <cx:plotAreaRegion>
        <cx:series layoutId="boxWhisker" uniqueId="{00000000-9D14-4D33-B68A-5651A04E34EB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</xdr:row>
      <xdr:rowOff>60960</xdr:rowOff>
    </xdr:from>
    <xdr:to>
      <xdr:col>8</xdr:col>
      <xdr:colOff>518160</xdr:colOff>
      <xdr:row>18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D17AF4-B7C4-4C9E-AB77-B64637E6C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8160" y="1158240"/>
              <a:ext cx="3154680" cy="2148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91440</xdr:colOff>
      <xdr:row>6</xdr:row>
      <xdr:rowOff>53340</xdr:rowOff>
    </xdr:from>
    <xdr:to>
      <xdr:col>14</xdr:col>
      <xdr:colOff>487680</xdr:colOff>
      <xdr:row>18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948FBCB-0C84-4DD2-A0A3-CD583DD22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5720" y="1150620"/>
              <a:ext cx="3444240" cy="2156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0</xdr:row>
      <xdr:rowOff>102870</xdr:rowOff>
    </xdr:from>
    <xdr:to>
      <xdr:col>13</xdr:col>
      <xdr:colOff>182880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935DC-B759-11FE-7857-6595B290E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118110</xdr:rowOff>
    </xdr:from>
    <xdr:to>
      <xdr:col>13</xdr:col>
      <xdr:colOff>190500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D3F61-C83F-D2C7-936C-FF92C41AD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0</xdr:row>
      <xdr:rowOff>110490</xdr:rowOff>
    </xdr:from>
    <xdr:to>
      <xdr:col>13</xdr:col>
      <xdr:colOff>358140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CBA12-7B82-AE80-E1AF-750F034DC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</xdr:row>
      <xdr:rowOff>80010</xdr:rowOff>
    </xdr:from>
    <xdr:to>
      <xdr:col>12</xdr:col>
      <xdr:colOff>556260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E5936-8B13-811B-DD90-7E1299CA0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1</xdr:row>
      <xdr:rowOff>26670</xdr:rowOff>
    </xdr:from>
    <xdr:to>
      <xdr:col>10</xdr:col>
      <xdr:colOff>205740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CB712-053A-2A9B-896D-BFC53F02F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118110</xdr:rowOff>
    </xdr:from>
    <xdr:to>
      <xdr:col>12</xdr:col>
      <xdr:colOff>304800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35B73-748F-A6CF-60EF-6878B6338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0</xdr:row>
      <xdr:rowOff>110490</xdr:rowOff>
    </xdr:from>
    <xdr:to>
      <xdr:col>5</xdr:col>
      <xdr:colOff>541020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DF31B-7E28-A2D8-063B-8B39259B0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1</xdr:row>
      <xdr:rowOff>125730</xdr:rowOff>
    </xdr:from>
    <xdr:to>
      <xdr:col>12</xdr:col>
      <xdr:colOff>144780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8C3EF-B2FB-954F-D751-57FE35640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64770</xdr:rowOff>
    </xdr:from>
    <xdr:to>
      <xdr:col>20</xdr:col>
      <xdr:colOff>22860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51EA6-2E39-5312-E3CB-D46A3B2BC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" refreshedDate="46301.8808244213" createdVersion="8" refreshedVersion="8" minRefreshableVersion="3" recordCount="2500" xr:uid="{E7DCC160-96D8-4857-8F16-70C05BF40419}">
  <cacheSource type="worksheet">
    <worksheetSource ref="A1:M2501" sheet="Orders"/>
  </cacheSource>
  <cacheFields count="14">
    <cacheField name="Order ID" numFmtId="0">
      <sharedItems containsSemiMixedTypes="0" containsString="0" containsNumber="1" containsInteger="1" minValue="1597" maxValue="1682358"/>
    </cacheField>
    <cacheField name="Customer ID" numFmtId="0">
      <sharedItems containsSemiMixedTypes="0" containsString="0" containsNumber="1" containsInteger="1" minValue="1" maxValue="1998"/>
    </cacheField>
    <cacheField name="Customer Country" numFmtId="0">
      <sharedItems count="15">
        <s v="USA"/>
        <s v="India"/>
        <s v="Italy"/>
        <s v="France"/>
        <s v="Spain"/>
        <s v="Singapore"/>
        <s v="Australia"/>
        <s v="Germany"/>
        <s v="Norway"/>
        <s v="Austria"/>
        <s v="Finland"/>
        <s v="Switzerland"/>
        <s v="Ireland"/>
        <s v="Denmark"/>
        <s v="N/A"/>
      </sharedItems>
    </cacheField>
    <cacheField name="OrderDate" numFmtId="14">
      <sharedItems containsSemiMixedTypes="0" containsNonDate="0" containsDate="1" containsString="0" minDate="2023-01-01T00:00:00" maxDate="2024-01-01T00:00:00"/>
    </cacheField>
    <cacheField name="OrderTime" numFmtId="170">
      <sharedItems containsSemiMixedTypes="0" containsNonDate="0" containsDate="1" containsString="0" minDate="1899-12-30T01:00:00" maxDate="2000-12-13T00:00:00" count="221">
        <d v="1899-12-30T12:50:00"/>
        <d v="1899-12-30T11:40:00"/>
        <d v="1899-12-30T12:21:00"/>
        <d v="1899-12-30T12:31:00"/>
        <d v="2000-11-11T00:00:00"/>
        <d v="1899-12-30T10:52:00"/>
        <d v="1899-12-30T12:23:00"/>
        <d v="2000-10-01T00:00:00"/>
        <d v="1899-12-30T01:20:00"/>
        <d v="1899-12-30T11:46:00"/>
        <d v="2000-11-12T00:00:00"/>
        <d v="1899-12-30T12:39:00"/>
        <d v="2000-05-01T00:00:00"/>
        <d v="1899-12-30T10:29:00"/>
        <d v="1899-12-30T01:42:00"/>
        <d v="1899-12-30T11:13:00"/>
        <d v="2000-01-01T00:00:00"/>
        <d v="1899-12-30T10:33:00"/>
        <d v="1899-12-30T11:16:00"/>
        <d v="2000-12-12T00:00:00"/>
        <d v="1899-12-30T12:17:00"/>
        <d v="1899-12-30T12:34:00"/>
        <d v="2000-06-12T00:00:00"/>
        <d v="1899-12-30T02:00:00"/>
        <d v="1899-12-30T11:19:00"/>
        <d v="1899-12-30T10:59:00"/>
        <d v="1899-12-30T10:56:00"/>
        <d v="1899-12-30T11:20:00"/>
        <d v="1899-12-30T12:58:00"/>
        <d v="1899-12-30T12:45:00"/>
        <d v="1899-12-30T12:52:00"/>
        <d v="2000-07-01T00:00:00"/>
        <d v="1899-12-30T01:13:00"/>
        <d v="1899-12-30T01:49:00"/>
        <d v="2000-07-12T00:00:00"/>
        <d v="1899-12-30T12:49:00"/>
        <d v="1899-12-30T12:53:00"/>
        <d v="2000-08-01T00:00:00"/>
        <d v="1899-12-30T11:42:00"/>
        <d v="1899-12-30T12:28:00"/>
        <d v="2000-07-11T00:00:00"/>
        <d v="1899-12-30T02:22:00"/>
        <d v="1899-12-30T12:57:00"/>
        <d v="1899-12-30T11:49:00"/>
        <d v="1899-12-30T12:55:00"/>
        <d v="1899-12-30T01:50:00"/>
        <d v="1899-12-30T01:48:00"/>
        <d v="1899-12-30T01:33:00"/>
        <d v="2000-05-12T00:00:00"/>
        <d v="1899-12-30T01:28:00"/>
        <d v="1899-12-30T12:29:00"/>
        <d v="1899-12-30T12:40:00"/>
        <d v="2000-12-01T00:00:00"/>
        <d v="1899-12-30T12:33:00"/>
        <d v="1899-12-30T12:22:00"/>
        <d v="1899-12-30T10:35:00"/>
        <d v="1899-12-30T11:24:00"/>
        <d v="1899-12-30T11:31:00"/>
        <d v="1899-12-30T12:32:00"/>
        <d v="1899-12-30T01:45:00"/>
        <d v="1899-12-30T12:41:00"/>
        <d v="1899-12-30T12:16:00"/>
        <d v="1899-12-30T11:33:00"/>
        <d v="2000-01-12T00:00:00"/>
        <d v="2000-04-12T00:00:00"/>
        <d v="1899-12-30T01:26:00"/>
        <d v="2000-08-11T00:00:00"/>
        <d v="1899-12-30T12:35:00"/>
        <d v="1899-12-30T12:20:00"/>
        <d v="1899-12-30T11:21:00"/>
        <d v="1899-12-30T11:14:00"/>
        <d v="1899-12-30T11:29:00"/>
        <d v="2000-03-12T00:00:00"/>
        <d v="1899-12-30T12:54:00"/>
        <d v="1899-12-30T11:35:00"/>
        <d v="1899-12-30T12:47:00"/>
        <d v="1899-12-30T01:40:00"/>
        <d v="1899-12-30T12:46:00"/>
        <d v="1899-12-30T11:37:00"/>
        <d v="1899-12-30T11:27:00"/>
        <d v="1899-12-30T11:38:00"/>
        <d v="2000-09-12T00:00:00"/>
        <d v="2000-12-02T00:00:00"/>
        <d v="1899-12-30T01:23:00"/>
        <d v="1899-12-30T01:16:00"/>
        <d v="1899-12-30T12:44:00"/>
        <d v="1899-12-30T01:41:00"/>
        <d v="1899-12-30T11:51:00"/>
        <d v="1899-12-30T12:48:00"/>
        <d v="2000-02-12T00:00:00"/>
        <d v="1899-12-30T10:39:00"/>
        <d v="1899-12-30T11:32:00"/>
        <d v="2000-09-01T00:00:00"/>
        <d v="1899-12-30T12:51:00"/>
        <d v="1899-12-30T11:52:00"/>
        <d v="1899-12-30T01:19:00"/>
        <d v="1899-12-30T11:58:00"/>
        <d v="1899-12-30T12:13:00"/>
        <d v="1899-12-30T02:16:00"/>
        <d v="1899-12-30T11:34:00"/>
        <d v="1899-12-30T11:47:00"/>
        <d v="1899-12-30T11:39:00"/>
        <d v="1899-12-30T01:53:00"/>
        <d v="1899-12-30T01:29:00"/>
        <d v="1899-12-30T01:51:00"/>
        <d v="1899-12-30T10:54:00"/>
        <d v="1899-12-30T10:36:00"/>
        <d v="2000-10-12T00:00:00"/>
        <d v="1899-12-30T12:27:00"/>
        <d v="1899-12-30T01:37:00"/>
        <d v="1899-12-30T10:57:00"/>
        <d v="1899-12-30T12:30:00"/>
        <d v="1899-12-30T12:43:00"/>
        <d v="1899-12-30T02:26:00"/>
        <d v="2000-02-11T00:00:00"/>
        <d v="1899-12-30T12:24:00"/>
        <d v="1899-12-30T11:57:00"/>
        <d v="1899-12-30T01:32:00"/>
        <d v="1899-12-30T01:43:00"/>
        <d v="1899-12-30T10:41:00"/>
        <d v="1899-12-30T12:36:00"/>
        <d v="2000-04-01T00:00:00"/>
        <d v="2000-11-01T00:00:00"/>
        <d v="1899-12-30T12:15:00"/>
        <d v="1899-12-30T01:24:00"/>
        <d v="1899-12-30T10:55:00"/>
        <d v="1899-12-30T12:00:00"/>
        <d v="1899-12-30T01:15:00"/>
        <d v="1899-12-30T01:21:00"/>
        <d v="1899-12-30T01:46:00"/>
        <d v="2000-03-01T00:00:00"/>
        <d v="2000-07-02T00:00:00"/>
        <d v="1899-12-30T01:59:00"/>
        <d v="1899-12-30T10:50:00"/>
        <d v="1899-12-30T11:28:00"/>
        <d v="1899-12-30T11:36:00"/>
        <d v="1899-12-30T11:15:00"/>
        <d v="1899-12-30T11:22:00"/>
        <d v="1899-12-30T11:56:00"/>
        <d v="1899-12-30T12:18:00"/>
        <d v="1899-12-30T11:18:00"/>
        <d v="1899-12-30T11:25:00"/>
        <d v="1899-12-30T01:22:00"/>
        <d v="1899-12-30T01:54:00"/>
        <d v="2000-01-11T00:00:00"/>
        <d v="1899-12-30T10:40:00"/>
        <d v="1899-12-30T11:44:00"/>
        <d v="1899-12-30T10:44:00"/>
        <d v="1899-12-30T12:25:00"/>
        <d v="2000-08-12T00:00:00"/>
        <d v="1899-12-30T12:56:00"/>
        <d v="1899-12-30T12:26:00"/>
        <d v="1899-12-30T01:39:00"/>
        <d v="1899-12-30T11:48:00"/>
        <d v="1899-12-30T11:23:00"/>
        <d v="1899-12-30T11:41:00"/>
        <d v="1899-12-30T01:14:00"/>
        <d v="1899-12-30T01:58:00"/>
        <d v="1899-12-30T10:58:00"/>
        <d v="2000-05-11T00:00:00"/>
        <d v="2000-05-02T00:00:00"/>
        <d v="1899-12-30T01:34:00"/>
        <d v="1899-12-30T12:38:00"/>
        <d v="2000-06-11T00:00:00"/>
        <d v="1899-12-30T11:45:00"/>
        <d v="1899-12-30T10:47:00"/>
        <d v="1899-12-30T11:55:00"/>
        <d v="1899-12-30T12:19:00"/>
        <d v="1899-12-30T01:00:00"/>
        <d v="1899-12-30T11:43:00"/>
        <d v="1899-12-30T10:32:00"/>
        <d v="1899-12-30T11:00:00"/>
        <d v="1899-12-30T12:14:00"/>
        <d v="1899-12-30T01:36:00"/>
        <d v="1899-12-30T11:54:00"/>
        <d v="2000-09-11T00:00:00"/>
        <d v="2000-10-11T00:00:00"/>
        <d v="1899-12-30T01:31:00"/>
        <d v="1899-12-30T10:53:00"/>
        <d v="1899-12-30T01:52:00"/>
        <d v="1899-12-30T02:29:00"/>
        <d v="1899-12-30T11:59:00"/>
        <d v="2000-04-11T00:00:00"/>
        <d v="2000-03-11T00:00:00"/>
        <d v="1899-12-30T10:51:00"/>
        <d v="2000-12-10T00:00:00"/>
        <d v="2000-02-01T00:00:00"/>
        <d v="1899-12-30T11:53:00"/>
        <d v="1899-12-30T10:43:00"/>
        <d v="1899-12-30T01:47:00"/>
        <d v="1899-12-30T11:17:00"/>
        <d v="1899-12-30T11:26:00"/>
        <d v="1899-12-30T12:59:00"/>
        <d v="1899-12-30T10:45:00"/>
        <d v="1899-12-30T11:50:00"/>
        <d v="1899-12-30T01:25:00"/>
        <d v="1899-12-30T10:34:00"/>
        <d v="1899-12-30T02:23:00"/>
        <d v="1899-12-30T02:14:00"/>
        <d v="2000-10-02T00:00:00"/>
        <d v="1899-12-30T01:35:00"/>
        <d v="1899-12-30T12:37:00"/>
        <d v="2000-09-02T00:00:00"/>
        <d v="1899-12-30T01:44:00"/>
        <d v="1899-12-30T02:20:00"/>
        <d v="1899-12-30T04:44:00"/>
        <d v="1899-12-30T10:49:00"/>
        <d v="2000-06-01T00:00:00"/>
        <d v="1899-12-30T10:31:00"/>
        <d v="1899-12-30T01:30:00"/>
        <d v="1899-12-30T01:17:00"/>
        <d v="1899-12-30T01:38:00"/>
        <d v="1899-12-30T01:56:00"/>
        <d v="1899-12-30T11:30:00"/>
        <d v="1899-12-30T02:58:00"/>
        <d v="1899-12-30T12:42:00"/>
        <d v="2000-06-02T00:00:00"/>
        <d v="1899-12-30T01:57:00"/>
        <d v="1899-12-30T10:37:00"/>
        <d v="1899-12-30T01:27:00"/>
        <d v="1899-12-30T01:55:00"/>
      </sharedItems>
      <fieldGroup par="13"/>
    </cacheField>
    <cacheField name="OrderMonth(Nos)" numFmtId="1">
      <sharedItems containsSemiMixedTypes="0" containsString="0" containsNumber="1" containsInteger="1" minValue="1" maxValue="12"/>
    </cacheField>
    <cacheField name="OrderDay" numFmtId="170">
      <sharedItems count="7">
        <s v="Friday"/>
        <s v="Saturday"/>
        <s v="Tuesday"/>
        <s v="Thursday"/>
        <s v="Wednesday"/>
        <s v="Monday"/>
        <s v="Sunday"/>
      </sharedItems>
    </cacheField>
    <cacheField name="OrderMonth" numFmtId="165">
      <sharedItems count="12">
        <s v="December"/>
        <s v="April"/>
        <s v="November"/>
        <s v="October"/>
        <s v="March"/>
        <s v="February"/>
        <s v="July"/>
        <s v="June"/>
        <s v="August"/>
        <s v="January"/>
        <s v="September"/>
        <s v="May"/>
      </sharedItems>
    </cacheField>
    <cacheField name="Order Source" numFmtId="0">
      <sharedItems count="4">
        <s v="Other"/>
        <s v="Whatsapp"/>
        <s v="Website"/>
        <s v="App"/>
      </sharedItems>
    </cacheField>
    <cacheField name="Sales POC" numFmtId="0">
      <sharedItems/>
    </cacheField>
    <cacheField name="Order Value" numFmtId="0">
      <sharedItems containsSemiMixedTypes="0" containsString="0" containsNumber="1" containsInteger="1" minValue="10" maxValue="9994"/>
    </cacheField>
    <cacheField name="QuartileCheck" numFmtId="14">
      <sharedItems/>
    </cacheField>
    <cacheField name="Age" numFmtId="2">
      <sharedItems containsSemiMixedTypes="0" containsString="0" containsNumber="1" containsInteger="1" minValue="18" maxValue="90" count="73">
        <n v="59"/>
        <n v="20"/>
        <n v="37"/>
        <n v="29"/>
        <n v="38"/>
        <n v="25"/>
        <n v="34"/>
        <n v="46"/>
        <n v="74"/>
        <n v="28"/>
        <n v="41"/>
        <n v="19"/>
        <n v="23"/>
        <n v="22"/>
        <n v="62"/>
        <n v="76"/>
        <n v="80"/>
        <n v="68"/>
        <n v="27"/>
        <n v="33"/>
        <n v="89"/>
        <n v="75"/>
        <n v="49"/>
        <n v="45"/>
        <n v="32"/>
        <n v="67"/>
        <n v="54"/>
        <n v="87"/>
        <n v="40"/>
        <n v="21"/>
        <n v="58"/>
        <n v="35"/>
        <n v="24"/>
        <n v="79"/>
        <n v="31"/>
        <n v="30"/>
        <n v="39"/>
        <n v="71"/>
        <n v="73"/>
        <n v="55"/>
        <n v="36"/>
        <n v="70"/>
        <n v="63"/>
        <n v="82"/>
        <n v="52"/>
        <n v="69"/>
        <n v="86"/>
        <n v="26"/>
        <n v="65"/>
        <n v="81"/>
        <n v="66"/>
        <n v="88"/>
        <n v="60"/>
        <n v="42"/>
        <n v="72"/>
        <n v="77"/>
        <n v="57"/>
        <n v="61"/>
        <n v="84"/>
        <n v="47"/>
        <n v="44"/>
        <n v="78"/>
        <n v="53"/>
        <n v="50"/>
        <n v="43"/>
        <n v="18"/>
        <n v="51"/>
        <n v="85"/>
        <n v="48"/>
        <n v="83"/>
        <n v="90"/>
        <n v="64"/>
        <n v="56"/>
      </sharedItems>
      <fieldGroup base="12">
        <rangePr startNum="18" endNum="90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Hours (OrderTime)" numFmtId="0" databaseField="0">
      <fieldGroup base="4">
        <rangePr groupBy="hours" startDate="1899-12-30T01:00:00" endDate="2000-12-13T00:00:00"/>
        <groupItems count="26">
          <s v="&lt;00-01-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3-12-2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" refreshedDate="46301.916360995368" createdVersion="8" refreshedVersion="8" minRefreshableVersion="3" recordCount="92" xr:uid="{9A2B1E6D-3D50-4068-B0B7-F65547B10F4A}">
  <cacheSource type="worksheet">
    <worksheetSource ref="A1:H93" sheet="Sales Targets"/>
  </cacheSource>
  <cacheFields count="8">
    <cacheField name="Sales POC" numFmtId="0">
      <sharedItems count="92">
        <s v="Kalle Suominen"/>
        <s v="Julie Brown"/>
        <s v="Jeff Young"/>
        <s v="Kyung Yu"/>
        <s v="Adrian Huxley"/>
        <s v="Kwai Yu"/>
        <s v="Jytte Petersen"/>
        <s v="Paul Henriot"/>
        <s v="Sue King"/>
        <s v="Victoria Ashworth"/>
        <s v="Anna O'Hara"/>
        <s v="Diego Freyre"/>
        <s v="Akiko Shimamura"/>
        <s v="Janine Labrune"/>
        <s v="Thomas Hardy"/>
        <s v="Annette Roulet"/>
        <s v="Steve Frick"/>
        <s v="Mary Saveley"/>
        <s v="Henriette Pfalzheim"/>
        <s v="Laurence Lebihan"/>
        <s v="Catherine Dewey"/>
        <s v="Giovanni Rovelli"/>
        <s v="Paolo Accorti"/>
        <s v="Daniel Da Cunha"/>
        <s v="Valarie Nelson"/>
        <s v="Frederique Citeaux"/>
        <s v="Arnold Cruz"/>
        <s v="Marie Bertrand"/>
        <s v="Georg Pipps"/>
        <s v="Dean Cassidy"/>
        <s v="Rosa Hernandez"/>
        <s v="Violeta Benitez"/>
        <s v="Christina Berglund"/>
        <s v="Juri Hirano"/>
        <s v="Mart¡n Sommer"/>
        <s v="Elizabeth Lincoln"/>
        <s v="Dominique Perrier"/>
        <s v="Michael Frick"/>
        <s v="Valarie Franco"/>
        <s v="Leslie Taylor"/>
        <s v="Marta Hernandez"/>
        <s v="Julie King"/>
        <s v="Matti Karttunen"/>
        <s v="Francisca Cervantes"/>
        <s v="Michael Donnermeyer"/>
        <s v="Yoshi Tannamuri"/>
        <s v="Juri Yoshido"/>
        <s v="Jan Klaeboe"/>
        <s v="Pirkko Koskitalo"/>
        <s v="Maurizio Moroni"/>
        <s v="Wendy Victorino"/>
        <s v="Eduardo Saavedra"/>
        <s v="Ann Brown"/>
        <s v="Valarie Young"/>
        <s v="Maria Larsson"/>
        <s v="Eric Natividad"/>
        <s v="Julie Murphy"/>
        <s v="Wing C Tam"/>
        <s v="Sean Connery"/>
        <s v="Veysel Oeztan"/>
        <s v="Michael Holz"/>
        <s v="Roland Keitel"/>
        <s v="Pascale Cartrain"/>
        <s v="Leslie Young"/>
        <s v="Michael Chandler"/>
        <s v="Allen Nelson"/>
        <s v="Kee Kuo"/>
        <s v="Helen Bennett"/>
        <s v="Julie Young"/>
        <s v="Leslie Murphy"/>
        <s v="Jonas Bergulfsen"/>
        <s v="Palle Ibsen"/>
        <s v="Jose Pedro Roel"/>
        <s v="Elizabeth Devon"/>
        <s v="Steve Thompson"/>
        <s v="Daniel Tonini"/>
        <s v="Tony Calaghan"/>
        <s v="Jean Fresnisre"/>
        <s v="Carine Schmitt"/>
        <s v="Dan Lewis"/>
        <s v="Sue Frick"/>
        <s v="William Brown"/>
        <s v="Peter Ferguson"/>
        <s v="Kyung Tseng"/>
        <s v="Martine Rance"/>
        <s v="Sue Taylor"/>
        <s v="Miguel Barajas"/>
        <s v="Valarie Thompson"/>
        <s v="Roland Mendel"/>
        <s v="Maria Hernandez"/>
        <s v="Mory Kentary"/>
        <s v="Jesus Fernandez"/>
      </sharedItems>
    </cacheField>
    <cacheField name="Sales Manager First Name" numFmtId="0">
      <sharedItems/>
    </cacheField>
    <cacheField name="Sales Manager Last Name" numFmtId="0">
      <sharedItems/>
    </cacheField>
    <cacheField name="Full Name" numFmtId="0">
      <sharedItems count="30">
        <s v="Amelia Johnson"/>
        <s v="Lukas Schmidt"/>
        <s v="Olivia Jensen"/>
        <s v="Sofia Laine"/>
        <s v="Chloe Dupont"/>
        <s v="Alexander Müller"/>
        <s v="Liam O'Sullivan"/>
        <s v="Sophia Rossi"/>
        <s v="Emma Hansen"/>
        <s v="Ethan Lee"/>
        <s v="Isabella Garcia"/>
        <s v="Noah Meier"/>
        <s v="Ava Williams"/>
        <s v="Dev Patel"/>
        <s v="Mia Khan"/>
        <s v="William Brown"/>
        <s v="Sophie Gruber"/>
        <s v="Lucas Nielsen"/>
        <s v="Aino Virtanen"/>
        <s v="Emily Dubois"/>
        <s v="Benjamin Weber"/>
        <s v="Emily Murphy"/>
        <s v="Marco Bianchi"/>
        <s v="Lucas Olsen"/>
        <s v="Benjamin Chen"/>
        <s v="Daniela Hernandez"/>
        <s v="Liam Baumann"/>
        <s v="Charlotte Miller"/>
        <s v="Priya Kapoor"/>
        <s v="Oliver Kumar"/>
      </sharedItems>
    </cacheField>
    <cacheField name="Sales Team" numFmtId="0">
      <sharedItems count="5">
        <s v="Epsilon"/>
        <s v="Alpha"/>
        <s v="Beta"/>
        <s v="Gamma"/>
        <s v="Delta"/>
      </sharedItems>
    </cacheField>
    <cacheField name="2023 Sales Target" numFmtId="0">
      <sharedItems containsSemiMixedTypes="0" containsString="0" containsNumber="1" containsInteger="1" minValue="30000" maxValue="1000000"/>
    </cacheField>
    <cacheField name="Actual Sales" numFmtId="43">
      <sharedItems containsSemiMixedTypes="0" containsString="0" containsNumber="1" containsInteger="1" minValue="10197" maxValue="1089868"/>
    </cacheField>
    <cacheField name="Target Met/ Target Not Met" numFmtId="0">
      <sharedItems count="2">
        <s v="Target Exceeded"/>
        <s v="Target Not M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" refreshedDate="46301.962537731481" createdVersion="8" refreshedVersion="8" minRefreshableVersion="3" recordCount="92" xr:uid="{61C3C30A-52E5-40D0-B270-3FEE600C74F5}">
  <cacheSource type="worksheet">
    <worksheetSource ref="A1:J93" sheet="Sales Targets"/>
  </cacheSource>
  <cacheFields count="10">
    <cacheField name="Sales POC" numFmtId="0">
      <sharedItems/>
    </cacheField>
    <cacheField name="Sales Manager First Name" numFmtId="0">
      <sharedItems/>
    </cacheField>
    <cacheField name="Sales Manager Last Name" numFmtId="0">
      <sharedItems/>
    </cacheField>
    <cacheField name="Full Name" numFmtId="0">
      <sharedItems/>
    </cacheField>
    <cacheField name="Sales Team" numFmtId="0">
      <sharedItems count="5">
        <s v="Epsilon"/>
        <s v="Alpha"/>
        <s v="Beta"/>
        <s v="Gamma"/>
        <s v="Delta"/>
      </sharedItems>
    </cacheField>
    <cacheField name="2023 Sales Target" numFmtId="0">
      <sharedItems containsSemiMixedTypes="0" containsString="0" containsNumber="1" containsInteger="1" minValue="30000" maxValue="1000000"/>
    </cacheField>
    <cacheField name="Actual Sales" numFmtId="43">
      <sharedItems containsSemiMixedTypes="0" containsString="0" containsNumber="1" containsInteger="1" minValue="10197" maxValue="1089868"/>
    </cacheField>
    <cacheField name="Target Met/ Target Not Met" numFmtId="0">
      <sharedItems/>
    </cacheField>
    <cacheField name="Sales Shortfall" numFmtId="0">
      <sharedItems containsSemiMixedTypes="0" containsString="0" containsNumber="1" containsInteger="1" minValue="0" maxValue="223165"/>
    </cacheField>
    <cacheField name="% Target Reached" numFmtId="9">
      <sharedItems containsSemiMixedTypes="0" containsString="0" containsNumber="1" minValue="0.31558000000000003" maxValue="1.45221" count="92">
        <n v="1.3501700000000001"/>
        <n v="0.9637"/>
        <n v="1.13567"/>
        <n v="1.30274"/>
        <n v="0.91047"/>
        <n v="1.0986750000000001"/>
        <n v="1.45221"/>
        <n v="0.97991499999999998"/>
        <n v="1.0789599999999999"/>
        <n v="1.0443720000000001"/>
        <n v="1.2121949999999999"/>
        <n v="1.0898680000000001"/>
        <n v="0.88953000000000004"/>
        <n v="1.0194350000000001"/>
        <n v="0.98973999999999995"/>
        <n v="0.84118999999999999"/>
        <n v="0.98119000000000001"/>
        <n v="1.15594"/>
        <n v="0.9682466666666667"/>
        <n v="0.76860666666666666"/>
        <n v="0.98950000000000005"/>
        <n v="1.1721066666666666"/>
        <n v="0.91669333333333336"/>
        <n v="1.08833"/>
        <n v="0.77683500000000005"/>
        <n v="0.94689000000000001"/>
        <n v="1.32192"/>
        <n v="0.83453999999999995"/>
        <n v="1.25806"/>
        <n v="1.14168"/>
        <n v="0.92100000000000004"/>
        <n v="0.94313999999999998"/>
        <n v="1.10015"/>
        <n v="1.1161133333333333"/>
        <n v="0.93043333333333333"/>
        <n v="0.89011249999999997"/>
        <n v="0.95912666666666668"/>
        <n v="0.82160666666666671"/>
        <n v="0.92049999999999998"/>
        <n v="0.83493333333333331"/>
        <n v="0.96398666666666666"/>
        <n v="1.3056300000000001"/>
        <n v="0.8896533333333333"/>
        <n v="0.88588999999999996"/>
        <n v="1.0632333333333333"/>
        <n v="0.93064000000000002"/>
        <n v="0.78335999999999995"/>
        <n v="0.71886666666666665"/>
        <n v="0.99156999999999995"/>
        <n v="1.0985933333333333"/>
        <n v="0.68677600000000005"/>
        <n v="0.90368000000000004"/>
        <n v="0.89990999999999999"/>
        <n v="1.1104866666666666"/>
        <n v="1.0464733333333334"/>
        <n v="1.0069900000000001"/>
        <n v="0.59277999999999997"/>
        <n v="1.1587700000000001"/>
        <n v="0.87373999999999996"/>
        <n v="1.0369866666666667"/>
        <n v="1.0441800000000001"/>
        <n v="1.0943750000000001"/>
        <n v="0.89302000000000004"/>
        <n v="0.33989999999999998"/>
        <n v="0.70042499999999996"/>
        <n v="1.1614500000000001"/>
        <n v="0.31558000000000003"/>
        <n v="0.87268999999999997"/>
        <n v="1.0565866666666666"/>
        <n v="0.74372000000000005"/>
        <n v="1.0224866666666668"/>
        <n v="0.86682000000000003"/>
        <n v="0.91534000000000004"/>
        <n v="1.0732900000000001"/>
        <n v="0.73048000000000002"/>
        <n v="0.86855000000000004"/>
        <n v="0.84926250000000003"/>
        <n v="0.85772000000000004"/>
        <n v="1.2672333333333334"/>
        <n v="1.4184333333333334"/>
        <n v="0.97679499999999997"/>
        <n v="0.84533749999999996"/>
        <n v="1.047088"/>
        <n v="0.44273000000000001"/>
        <n v="0.65849333333333337"/>
        <n v="0.94616"/>
        <n v="1.0382199999999999"/>
        <n v="1.077275"/>
        <n v="0.85279000000000005"/>
        <n v="0.87961250000000002"/>
        <n v="0.95828000000000002"/>
        <n v="0.838999999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597"/>
    <n v="856"/>
    <x v="0"/>
    <d v="2023-12-15T00:00:00"/>
    <x v="0"/>
    <n v="12"/>
    <x v="0"/>
    <x v="0"/>
    <x v="0"/>
    <s v="Kwai Yu"/>
    <n v="412"/>
    <s v="No"/>
    <x v="0"/>
  </r>
  <r>
    <n v="2011"/>
    <n v="525"/>
    <x v="1"/>
    <d v="2023-04-29T00:00:00"/>
    <x v="1"/>
    <n v="4"/>
    <x v="1"/>
    <x v="1"/>
    <x v="1"/>
    <s v="Paul Henriot"/>
    <n v="4551"/>
    <s v="No"/>
    <x v="1"/>
  </r>
  <r>
    <n v="2822"/>
    <n v="1614"/>
    <x v="0"/>
    <d v="2023-12-30T00:00:00"/>
    <x v="2"/>
    <n v="12"/>
    <x v="1"/>
    <x v="0"/>
    <x v="1"/>
    <s v="Daniel Da Cunha"/>
    <n v="3960"/>
    <s v="No"/>
    <x v="2"/>
  </r>
  <r>
    <n v="2889"/>
    <n v="743"/>
    <x v="0"/>
    <d v="2023-11-28T00:00:00"/>
    <x v="3"/>
    <n v="11"/>
    <x v="2"/>
    <x v="2"/>
    <x v="1"/>
    <s v="Julie Young"/>
    <n v="8397"/>
    <s v="No"/>
    <x v="3"/>
  </r>
  <r>
    <n v="3971"/>
    <n v="20"/>
    <x v="0"/>
    <d v="2023-10-26T00:00:00"/>
    <x v="4"/>
    <n v="10"/>
    <x v="3"/>
    <x v="3"/>
    <x v="2"/>
    <s v="Julie Brown"/>
    <n v="5545"/>
    <s v="No"/>
    <x v="4"/>
  </r>
  <r>
    <n v="4111"/>
    <n v="1367"/>
    <x v="2"/>
    <d v="2023-03-08T00:00:00"/>
    <x v="5"/>
    <n v="3"/>
    <x v="4"/>
    <x v="4"/>
    <x v="3"/>
    <s v="Juri Hirano"/>
    <n v="7800"/>
    <s v="No"/>
    <x v="5"/>
  </r>
  <r>
    <n v="4801"/>
    <n v="945"/>
    <x v="3"/>
    <d v="2023-02-18T00:00:00"/>
    <x v="6"/>
    <n v="2"/>
    <x v="1"/>
    <x v="5"/>
    <x v="0"/>
    <s v="Martine Rance"/>
    <n v="4674"/>
    <s v="No"/>
    <x v="6"/>
  </r>
  <r>
    <n v="5719"/>
    <n v="218"/>
    <x v="3"/>
    <d v="2023-11-23T00:00:00"/>
    <x v="7"/>
    <n v="11"/>
    <x v="3"/>
    <x v="2"/>
    <x v="2"/>
    <s v="Veysel Oeztan"/>
    <n v="5954"/>
    <s v="No"/>
    <x v="6"/>
  </r>
  <r>
    <n v="5846"/>
    <n v="264"/>
    <x v="0"/>
    <d v="2023-12-23T00:00:00"/>
    <x v="8"/>
    <n v="12"/>
    <x v="1"/>
    <x v="0"/>
    <x v="2"/>
    <s v="Julie Murphy"/>
    <n v="9887"/>
    <s v="No"/>
    <x v="7"/>
  </r>
  <r>
    <n v="7615"/>
    <n v="566"/>
    <x v="0"/>
    <d v="2023-11-03T00:00:00"/>
    <x v="9"/>
    <n v="11"/>
    <x v="0"/>
    <x v="2"/>
    <x v="1"/>
    <s v="Dominique Perrier"/>
    <n v="8303"/>
    <s v="No"/>
    <x v="8"/>
  </r>
  <r>
    <n v="8568"/>
    <n v="1414"/>
    <x v="0"/>
    <d v="2023-07-26T00:00:00"/>
    <x v="10"/>
    <n v="7"/>
    <x v="4"/>
    <x v="6"/>
    <x v="3"/>
    <s v="Peter Ferguson"/>
    <n v="8969"/>
    <s v="No"/>
    <x v="9"/>
  </r>
  <r>
    <n v="9339"/>
    <n v="1681"/>
    <x v="4"/>
    <d v="2023-12-18T00:00:00"/>
    <x v="11"/>
    <n v="12"/>
    <x v="5"/>
    <x v="0"/>
    <x v="3"/>
    <s v="Michael Frick"/>
    <n v="2782"/>
    <s v="No"/>
    <x v="4"/>
  </r>
  <r>
    <n v="9839"/>
    <n v="223"/>
    <x v="1"/>
    <d v="2023-06-05T00:00:00"/>
    <x v="12"/>
    <n v="6"/>
    <x v="5"/>
    <x v="7"/>
    <x v="0"/>
    <s v="William Brown"/>
    <n v="7215"/>
    <s v="No"/>
    <x v="10"/>
  </r>
  <r>
    <n v="10101"/>
    <n v="276"/>
    <x v="1"/>
    <d v="2023-11-27T00:00:00"/>
    <x v="13"/>
    <n v="11"/>
    <x v="5"/>
    <x v="2"/>
    <x v="3"/>
    <s v="Julie King"/>
    <n v="6947"/>
    <s v="No"/>
    <x v="0"/>
  </r>
  <r>
    <n v="10208"/>
    <n v="1219"/>
    <x v="0"/>
    <d v="2023-10-04T00:00:00"/>
    <x v="14"/>
    <n v="10"/>
    <x v="4"/>
    <x v="3"/>
    <x v="2"/>
    <s v="Janine Labrune"/>
    <n v="3866"/>
    <s v="No"/>
    <x v="11"/>
  </r>
  <r>
    <n v="10508"/>
    <n v="1016"/>
    <x v="1"/>
    <d v="2023-08-24T00:00:00"/>
    <x v="15"/>
    <n v="8"/>
    <x v="3"/>
    <x v="8"/>
    <x v="1"/>
    <s v="Marta Hernandez"/>
    <n v="4247"/>
    <s v="No"/>
    <x v="12"/>
  </r>
  <r>
    <n v="10526"/>
    <n v="241"/>
    <x v="0"/>
    <d v="2023-10-19T00:00:00"/>
    <x v="5"/>
    <n v="10"/>
    <x v="3"/>
    <x v="3"/>
    <x v="2"/>
    <s v="Matti Karttunen"/>
    <n v="6627"/>
    <s v="No"/>
    <x v="13"/>
  </r>
  <r>
    <n v="10667"/>
    <n v="467"/>
    <x v="3"/>
    <d v="2023-10-13T00:00:00"/>
    <x v="16"/>
    <n v="10"/>
    <x v="0"/>
    <x v="3"/>
    <x v="1"/>
    <s v="Jonas Bergulfsen"/>
    <n v="840"/>
    <s v="No"/>
    <x v="14"/>
  </r>
  <r>
    <n v="10922"/>
    <n v="7"/>
    <x v="5"/>
    <d v="2023-01-19T00:00:00"/>
    <x v="17"/>
    <n v="1"/>
    <x v="3"/>
    <x v="9"/>
    <x v="3"/>
    <s v="Kyung Yu"/>
    <n v="3157"/>
    <s v="No"/>
    <x v="15"/>
  </r>
  <r>
    <n v="11114"/>
    <n v="563"/>
    <x v="3"/>
    <d v="2023-03-17T00:00:00"/>
    <x v="18"/>
    <n v="3"/>
    <x v="0"/>
    <x v="4"/>
    <x v="2"/>
    <s v="Kwai Yu"/>
    <n v="6371"/>
    <s v="No"/>
    <x v="16"/>
  </r>
  <r>
    <n v="12200"/>
    <n v="1218"/>
    <x v="0"/>
    <d v="2023-06-11T00:00:00"/>
    <x v="19"/>
    <n v="6"/>
    <x v="6"/>
    <x v="7"/>
    <x v="1"/>
    <s v="Georg Pipps"/>
    <n v="1774"/>
    <s v="No"/>
    <x v="17"/>
  </r>
  <r>
    <n v="13586"/>
    <n v="26"/>
    <x v="3"/>
    <d v="2023-01-23T00:00:00"/>
    <x v="20"/>
    <n v="1"/>
    <x v="5"/>
    <x v="9"/>
    <x v="3"/>
    <s v="Adrian Huxley"/>
    <n v="321"/>
    <s v="No"/>
    <x v="18"/>
  </r>
  <r>
    <n v="14287"/>
    <n v="1552"/>
    <x v="2"/>
    <d v="2023-02-18T00:00:00"/>
    <x v="21"/>
    <n v="2"/>
    <x v="1"/>
    <x v="5"/>
    <x v="0"/>
    <s v="Janine Labrune"/>
    <n v="1628"/>
    <s v="No"/>
    <x v="2"/>
  </r>
  <r>
    <n v="14971"/>
    <n v="148"/>
    <x v="4"/>
    <d v="2023-09-10T00:00:00"/>
    <x v="22"/>
    <n v="9"/>
    <x v="6"/>
    <x v="10"/>
    <x v="0"/>
    <s v="Violeta Benitez"/>
    <n v="7545"/>
    <s v="No"/>
    <x v="19"/>
  </r>
  <r>
    <n v="15113"/>
    <n v="252"/>
    <x v="0"/>
    <d v="2023-03-18T00:00:00"/>
    <x v="23"/>
    <n v="3"/>
    <x v="1"/>
    <x v="4"/>
    <x v="3"/>
    <s v="Elizabeth Devon"/>
    <n v="2730"/>
    <s v="No"/>
    <x v="20"/>
  </r>
  <r>
    <n v="15878"/>
    <n v="1524"/>
    <x v="3"/>
    <d v="2023-06-03T00:00:00"/>
    <x v="16"/>
    <n v="6"/>
    <x v="1"/>
    <x v="7"/>
    <x v="1"/>
    <s v="Diego Freyre"/>
    <n v="2717"/>
    <s v="No"/>
    <x v="21"/>
  </r>
  <r>
    <n v="16243"/>
    <n v="1812"/>
    <x v="4"/>
    <d v="2023-07-31T00:00:00"/>
    <x v="24"/>
    <n v="7"/>
    <x v="5"/>
    <x v="6"/>
    <x v="2"/>
    <s v="Jonas Bergulfsen"/>
    <n v="9723"/>
    <s v="No"/>
    <x v="22"/>
  </r>
  <r>
    <n v="16263"/>
    <n v="311"/>
    <x v="6"/>
    <d v="2023-11-30T00:00:00"/>
    <x v="25"/>
    <n v="11"/>
    <x v="3"/>
    <x v="2"/>
    <x v="2"/>
    <s v="Christina Berglund"/>
    <n v="6673"/>
    <s v="No"/>
    <x v="23"/>
  </r>
  <r>
    <n v="16847"/>
    <n v="406"/>
    <x v="1"/>
    <d v="2023-11-08T00:00:00"/>
    <x v="20"/>
    <n v="11"/>
    <x v="4"/>
    <x v="2"/>
    <x v="0"/>
    <s v="Mart¡n Sommer"/>
    <n v="1802"/>
    <s v="No"/>
    <x v="6"/>
  </r>
  <r>
    <n v="17912"/>
    <n v="498"/>
    <x v="7"/>
    <d v="2023-03-21T00:00:00"/>
    <x v="26"/>
    <n v="3"/>
    <x v="2"/>
    <x v="4"/>
    <x v="0"/>
    <s v="Juri Hirano"/>
    <n v="9179"/>
    <s v="No"/>
    <x v="24"/>
  </r>
  <r>
    <n v="20076"/>
    <n v="446"/>
    <x v="0"/>
    <d v="2023-03-16T00:00:00"/>
    <x v="27"/>
    <n v="3"/>
    <x v="3"/>
    <x v="4"/>
    <x v="2"/>
    <s v="Eric Natividad"/>
    <n v="2311"/>
    <s v="No"/>
    <x v="25"/>
  </r>
  <r>
    <n v="20342"/>
    <n v="451"/>
    <x v="8"/>
    <d v="2023-03-03T00:00:00"/>
    <x v="28"/>
    <n v="3"/>
    <x v="0"/>
    <x v="4"/>
    <x v="0"/>
    <s v="Maria Hernandez"/>
    <n v="3940"/>
    <s v="No"/>
    <x v="8"/>
  </r>
  <r>
    <n v="21461"/>
    <n v="975"/>
    <x v="3"/>
    <d v="2023-02-20T00:00:00"/>
    <x v="1"/>
    <n v="2"/>
    <x v="5"/>
    <x v="5"/>
    <x v="2"/>
    <s v="Tony Calaghan"/>
    <n v="5888"/>
    <s v="No"/>
    <x v="23"/>
  </r>
  <r>
    <n v="22486"/>
    <n v="1315"/>
    <x v="0"/>
    <d v="2023-07-03T00:00:00"/>
    <x v="29"/>
    <n v="7"/>
    <x v="5"/>
    <x v="6"/>
    <x v="3"/>
    <s v="Francisca Cervantes"/>
    <n v="2819"/>
    <s v="No"/>
    <x v="15"/>
  </r>
  <r>
    <n v="23598"/>
    <n v="1017"/>
    <x v="1"/>
    <d v="2023-10-10T00:00:00"/>
    <x v="30"/>
    <n v="10"/>
    <x v="2"/>
    <x v="3"/>
    <x v="3"/>
    <s v="Mary Saveley"/>
    <n v="3015"/>
    <s v="No"/>
    <x v="4"/>
  </r>
  <r>
    <n v="25923"/>
    <n v="875"/>
    <x v="0"/>
    <d v="2023-10-27T00:00:00"/>
    <x v="31"/>
    <n v="10"/>
    <x v="0"/>
    <x v="3"/>
    <x v="3"/>
    <s v="Yoshi Tannamuri"/>
    <n v="8826"/>
    <s v="No"/>
    <x v="26"/>
  </r>
  <r>
    <n v="27076"/>
    <n v="242"/>
    <x v="0"/>
    <d v="2023-06-30T00:00:00"/>
    <x v="32"/>
    <n v="6"/>
    <x v="0"/>
    <x v="7"/>
    <x v="0"/>
    <s v="Steve Thompson"/>
    <n v="4466"/>
    <s v="No"/>
    <x v="27"/>
  </r>
  <r>
    <n v="27115"/>
    <n v="276"/>
    <x v="1"/>
    <d v="2023-11-05T00:00:00"/>
    <x v="33"/>
    <n v="11"/>
    <x v="6"/>
    <x v="2"/>
    <x v="2"/>
    <s v="Kyung Tseng"/>
    <n v="9943"/>
    <s v="No"/>
    <x v="0"/>
  </r>
  <r>
    <n v="27493"/>
    <n v="827"/>
    <x v="5"/>
    <d v="2023-10-26T00:00:00"/>
    <x v="19"/>
    <n v="10"/>
    <x v="3"/>
    <x v="3"/>
    <x v="1"/>
    <s v="Leslie Murphy"/>
    <n v="2811"/>
    <s v="No"/>
    <x v="28"/>
  </r>
  <r>
    <n v="28066"/>
    <n v="1986"/>
    <x v="3"/>
    <d v="2023-05-07T00:00:00"/>
    <x v="34"/>
    <n v="5"/>
    <x v="6"/>
    <x v="11"/>
    <x v="3"/>
    <s v="Akiko Shimamura"/>
    <n v="7129"/>
    <s v="No"/>
    <x v="29"/>
  </r>
  <r>
    <n v="28318"/>
    <n v="983"/>
    <x v="0"/>
    <d v="2023-02-17T00:00:00"/>
    <x v="35"/>
    <n v="2"/>
    <x v="0"/>
    <x v="5"/>
    <x v="2"/>
    <s v="Adrian Huxley"/>
    <n v="5284"/>
    <s v="No"/>
    <x v="30"/>
  </r>
  <r>
    <n v="28720"/>
    <n v="725"/>
    <x v="0"/>
    <d v="2023-02-23T00:00:00"/>
    <x v="36"/>
    <n v="2"/>
    <x v="3"/>
    <x v="5"/>
    <x v="1"/>
    <s v="Paolo Accorti"/>
    <n v="405"/>
    <s v="No"/>
    <x v="13"/>
  </r>
  <r>
    <n v="28841"/>
    <n v="954"/>
    <x v="1"/>
    <d v="2023-01-19T00:00:00"/>
    <x v="37"/>
    <n v="1"/>
    <x v="3"/>
    <x v="9"/>
    <x v="3"/>
    <s v="Maria Larsson"/>
    <n v="8558"/>
    <s v="No"/>
    <x v="31"/>
  </r>
  <r>
    <n v="28901"/>
    <n v="1093"/>
    <x v="1"/>
    <d v="2023-11-16T00:00:00"/>
    <x v="9"/>
    <n v="11"/>
    <x v="3"/>
    <x v="2"/>
    <x v="3"/>
    <s v="Daniel Tonini"/>
    <n v="5536"/>
    <s v="No"/>
    <x v="6"/>
  </r>
  <r>
    <n v="30449"/>
    <n v="962"/>
    <x v="0"/>
    <d v="2023-07-01T00:00:00"/>
    <x v="38"/>
    <n v="7"/>
    <x v="1"/>
    <x v="6"/>
    <x v="3"/>
    <s v="Valarie Nelson"/>
    <n v="660"/>
    <s v="No"/>
    <x v="21"/>
  </r>
  <r>
    <n v="30739"/>
    <n v="1771"/>
    <x v="2"/>
    <d v="2023-05-29T00:00:00"/>
    <x v="39"/>
    <n v="5"/>
    <x v="5"/>
    <x v="11"/>
    <x v="0"/>
    <s v="Valarie Young"/>
    <n v="5684"/>
    <s v="No"/>
    <x v="16"/>
  </r>
  <r>
    <n v="31216"/>
    <n v="1240"/>
    <x v="7"/>
    <d v="2023-09-25T00:00:00"/>
    <x v="9"/>
    <n v="9"/>
    <x v="5"/>
    <x v="10"/>
    <x v="2"/>
    <s v="Julie Murphy"/>
    <n v="8294"/>
    <s v="No"/>
    <x v="32"/>
  </r>
  <r>
    <n v="31707"/>
    <n v="652"/>
    <x v="0"/>
    <d v="2023-05-11T00:00:00"/>
    <x v="3"/>
    <n v="5"/>
    <x v="3"/>
    <x v="11"/>
    <x v="0"/>
    <s v="Peter Ferguson"/>
    <n v="8379"/>
    <s v="No"/>
    <x v="33"/>
  </r>
  <r>
    <n v="33662"/>
    <n v="1381"/>
    <x v="0"/>
    <d v="2023-01-19T00:00:00"/>
    <x v="40"/>
    <n v="1"/>
    <x v="3"/>
    <x v="9"/>
    <x v="2"/>
    <s v="Valarie Nelson"/>
    <n v="8214"/>
    <s v="No"/>
    <x v="9"/>
  </r>
  <r>
    <n v="33963"/>
    <n v="1251"/>
    <x v="0"/>
    <d v="2023-10-06T00:00:00"/>
    <x v="1"/>
    <n v="10"/>
    <x v="0"/>
    <x v="3"/>
    <x v="0"/>
    <s v="Allen Nelson"/>
    <n v="6147"/>
    <s v="No"/>
    <x v="34"/>
  </r>
  <r>
    <n v="33983"/>
    <n v="305"/>
    <x v="6"/>
    <d v="2023-05-17T00:00:00"/>
    <x v="41"/>
    <n v="5"/>
    <x v="4"/>
    <x v="11"/>
    <x v="3"/>
    <s v="Julie Brown"/>
    <n v="3894"/>
    <s v="No"/>
    <x v="30"/>
  </r>
  <r>
    <n v="34125"/>
    <n v="530"/>
    <x v="6"/>
    <d v="2023-10-18T00:00:00"/>
    <x v="42"/>
    <n v="10"/>
    <x v="4"/>
    <x v="3"/>
    <x v="1"/>
    <s v="Anna O'Hara"/>
    <n v="4341"/>
    <s v="No"/>
    <x v="12"/>
  </r>
  <r>
    <n v="34477"/>
    <n v="1749"/>
    <x v="9"/>
    <d v="2023-04-26T00:00:00"/>
    <x v="43"/>
    <n v="4"/>
    <x v="4"/>
    <x v="1"/>
    <x v="3"/>
    <s v="Jean Fresnisre"/>
    <n v="9140"/>
    <s v="No"/>
    <x v="35"/>
  </r>
  <r>
    <n v="34504"/>
    <n v="915"/>
    <x v="3"/>
    <d v="2023-02-06T00:00:00"/>
    <x v="44"/>
    <n v="2"/>
    <x v="5"/>
    <x v="5"/>
    <x v="0"/>
    <s v="Diego Freyre"/>
    <n v="9163"/>
    <s v="No"/>
    <x v="36"/>
  </r>
  <r>
    <n v="34978"/>
    <n v="492"/>
    <x v="4"/>
    <d v="2023-07-13T00:00:00"/>
    <x v="45"/>
    <n v="7"/>
    <x v="3"/>
    <x v="6"/>
    <x v="3"/>
    <s v="Kwai Yu"/>
    <n v="1494"/>
    <s v="No"/>
    <x v="24"/>
  </r>
  <r>
    <n v="35391"/>
    <n v="1057"/>
    <x v="4"/>
    <d v="2023-05-10T00:00:00"/>
    <x v="46"/>
    <n v="5"/>
    <x v="4"/>
    <x v="11"/>
    <x v="2"/>
    <s v="Peter Ferguson"/>
    <n v="6287"/>
    <s v="No"/>
    <x v="37"/>
  </r>
  <r>
    <n v="36759"/>
    <n v="1667"/>
    <x v="3"/>
    <d v="2023-01-23T00:00:00"/>
    <x v="47"/>
    <n v="1"/>
    <x v="5"/>
    <x v="9"/>
    <x v="1"/>
    <s v="Daniel Da Cunha"/>
    <n v="6587"/>
    <s v="No"/>
    <x v="38"/>
  </r>
  <r>
    <n v="37737"/>
    <n v="744"/>
    <x v="10"/>
    <d v="2023-10-24T00:00:00"/>
    <x v="48"/>
    <n v="10"/>
    <x v="2"/>
    <x v="3"/>
    <x v="2"/>
    <s v="Julie Young"/>
    <n v="9738"/>
    <s v="No"/>
    <x v="19"/>
  </r>
  <r>
    <n v="37971"/>
    <n v="433"/>
    <x v="1"/>
    <d v="2023-06-24T00:00:00"/>
    <x v="49"/>
    <n v="6"/>
    <x v="1"/>
    <x v="7"/>
    <x v="1"/>
    <s v="Julie Brown"/>
    <n v="7884"/>
    <s v="No"/>
    <x v="39"/>
  </r>
  <r>
    <n v="38242"/>
    <n v="1131"/>
    <x v="6"/>
    <d v="2023-01-03T00:00:00"/>
    <x v="50"/>
    <n v="1"/>
    <x v="2"/>
    <x v="9"/>
    <x v="1"/>
    <s v="Juri Hirano"/>
    <n v="9299"/>
    <s v="No"/>
    <x v="4"/>
  </r>
  <r>
    <n v="38528"/>
    <n v="551"/>
    <x v="11"/>
    <d v="2023-10-20T00:00:00"/>
    <x v="51"/>
    <n v="10"/>
    <x v="0"/>
    <x v="3"/>
    <x v="0"/>
    <s v="Martine Rance"/>
    <n v="7036"/>
    <s v="No"/>
    <x v="1"/>
  </r>
  <r>
    <n v="40114"/>
    <n v="172"/>
    <x v="0"/>
    <d v="2023-09-24T00:00:00"/>
    <x v="52"/>
    <n v="9"/>
    <x v="6"/>
    <x v="10"/>
    <x v="3"/>
    <s v="Veysel Oeztan"/>
    <n v="1841"/>
    <s v="No"/>
    <x v="40"/>
  </r>
  <r>
    <n v="41110"/>
    <n v="1858"/>
    <x v="0"/>
    <d v="2023-06-03T00:00:00"/>
    <x v="53"/>
    <n v="6"/>
    <x v="1"/>
    <x v="7"/>
    <x v="2"/>
    <s v="Julie Murphy"/>
    <n v="9844"/>
    <s v="No"/>
    <x v="0"/>
  </r>
  <r>
    <n v="41478"/>
    <n v="871"/>
    <x v="2"/>
    <d v="2023-05-12T00:00:00"/>
    <x v="54"/>
    <n v="5"/>
    <x v="0"/>
    <x v="11"/>
    <x v="2"/>
    <s v="Mory Kentary"/>
    <n v="2454"/>
    <s v="No"/>
    <x v="15"/>
  </r>
  <r>
    <n v="42094"/>
    <n v="987"/>
    <x v="0"/>
    <d v="2023-06-16T00:00:00"/>
    <x v="55"/>
    <n v="6"/>
    <x v="0"/>
    <x v="7"/>
    <x v="2"/>
    <s v="Peter Ferguson"/>
    <n v="4039"/>
    <s v="No"/>
    <x v="12"/>
  </r>
  <r>
    <n v="43427"/>
    <n v="1066"/>
    <x v="1"/>
    <d v="2023-03-18T00:00:00"/>
    <x v="56"/>
    <n v="3"/>
    <x v="1"/>
    <x v="4"/>
    <x v="1"/>
    <s v="Rosa Hernandez"/>
    <n v="959"/>
    <s v="No"/>
    <x v="41"/>
  </r>
  <r>
    <n v="43722"/>
    <n v="1223"/>
    <x v="0"/>
    <d v="2023-11-03T00:00:00"/>
    <x v="57"/>
    <n v="11"/>
    <x v="0"/>
    <x v="2"/>
    <x v="0"/>
    <s v="William Brown"/>
    <n v="6074"/>
    <s v="No"/>
    <x v="42"/>
  </r>
  <r>
    <n v="44241"/>
    <n v="800"/>
    <x v="12"/>
    <d v="2023-10-15T00:00:00"/>
    <x v="58"/>
    <n v="10"/>
    <x v="6"/>
    <x v="3"/>
    <x v="1"/>
    <s v="Julie King"/>
    <n v="3306"/>
    <s v="No"/>
    <x v="27"/>
  </r>
  <r>
    <n v="44275"/>
    <n v="423"/>
    <x v="5"/>
    <d v="2023-03-31T00:00:00"/>
    <x v="59"/>
    <n v="3"/>
    <x v="0"/>
    <x v="4"/>
    <x v="3"/>
    <s v="Janine Labrune"/>
    <n v="7290"/>
    <s v="No"/>
    <x v="18"/>
  </r>
  <r>
    <n v="44486"/>
    <n v="905"/>
    <x v="0"/>
    <d v="2023-06-09T00:00:00"/>
    <x v="60"/>
    <n v="6"/>
    <x v="0"/>
    <x v="7"/>
    <x v="2"/>
    <s v="Marta Hernandez"/>
    <n v="8730"/>
    <s v="No"/>
    <x v="5"/>
  </r>
  <r>
    <n v="47050"/>
    <n v="1466"/>
    <x v="12"/>
    <d v="2023-11-18T00:00:00"/>
    <x v="61"/>
    <n v="11"/>
    <x v="1"/>
    <x v="2"/>
    <x v="2"/>
    <s v="Carine Schmitt"/>
    <n v="6692"/>
    <s v="No"/>
    <x v="36"/>
  </r>
  <r>
    <n v="47212"/>
    <n v="1083"/>
    <x v="4"/>
    <d v="2023-07-09T00:00:00"/>
    <x v="62"/>
    <n v="7"/>
    <x v="6"/>
    <x v="6"/>
    <x v="0"/>
    <s v="Steve Frick"/>
    <n v="1067"/>
    <s v="No"/>
    <x v="5"/>
  </r>
  <r>
    <n v="49060"/>
    <n v="430"/>
    <x v="1"/>
    <d v="2023-09-22T00:00:00"/>
    <x v="53"/>
    <n v="9"/>
    <x v="0"/>
    <x v="10"/>
    <x v="0"/>
    <s v="Kyung Yu"/>
    <n v="5513"/>
    <s v="No"/>
    <x v="43"/>
  </r>
  <r>
    <n v="49520"/>
    <n v="1670"/>
    <x v="0"/>
    <d v="2023-07-03T00:00:00"/>
    <x v="63"/>
    <n v="7"/>
    <x v="5"/>
    <x v="6"/>
    <x v="1"/>
    <s v="Kwai Yu"/>
    <n v="6214"/>
    <s v="No"/>
    <x v="16"/>
  </r>
  <r>
    <n v="49544"/>
    <n v="526"/>
    <x v="0"/>
    <d v="2023-10-28T00:00:00"/>
    <x v="64"/>
    <n v="10"/>
    <x v="1"/>
    <x v="3"/>
    <x v="2"/>
    <s v="Akiko Shimamura"/>
    <n v="7802"/>
    <s v="No"/>
    <x v="22"/>
  </r>
  <r>
    <n v="50199"/>
    <n v="105"/>
    <x v="0"/>
    <d v="2023-01-29T00:00:00"/>
    <x v="65"/>
    <n v="1"/>
    <x v="6"/>
    <x v="9"/>
    <x v="1"/>
    <s v="Adrian Huxley"/>
    <n v="8898"/>
    <s v="No"/>
    <x v="16"/>
  </r>
  <r>
    <n v="50499"/>
    <n v="639"/>
    <x v="0"/>
    <d v="2023-04-02T00:00:00"/>
    <x v="66"/>
    <n v="4"/>
    <x v="6"/>
    <x v="1"/>
    <x v="2"/>
    <s v="Tony Calaghan"/>
    <n v="3514"/>
    <s v="No"/>
    <x v="0"/>
  </r>
  <r>
    <n v="51688"/>
    <n v="453"/>
    <x v="3"/>
    <d v="2023-12-18T00:00:00"/>
    <x v="67"/>
    <n v="12"/>
    <x v="5"/>
    <x v="0"/>
    <x v="0"/>
    <s v="Violeta Benitez"/>
    <n v="4365"/>
    <s v="No"/>
    <x v="44"/>
  </r>
  <r>
    <n v="51913"/>
    <n v="1208"/>
    <x v="0"/>
    <d v="2023-11-11T00:00:00"/>
    <x v="68"/>
    <n v="11"/>
    <x v="1"/>
    <x v="2"/>
    <x v="2"/>
    <s v="Dominique Perrier"/>
    <n v="1733"/>
    <s v="No"/>
    <x v="38"/>
  </r>
  <r>
    <n v="52659"/>
    <n v="1282"/>
    <x v="3"/>
    <d v="2023-06-07T00:00:00"/>
    <x v="44"/>
    <n v="6"/>
    <x v="4"/>
    <x v="7"/>
    <x v="1"/>
    <s v="Diego Freyre"/>
    <n v="3865"/>
    <s v="No"/>
    <x v="31"/>
  </r>
  <r>
    <n v="53119"/>
    <n v="1257"/>
    <x v="0"/>
    <d v="2023-04-14T00:00:00"/>
    <x v="49"/>
    <n v="4"/>
    <x v="0"/>
    <x v="1"/>
    <x v="3"/>
    <s v="Kwai Yu"/>
    <n v="6403"/>
    <s v="No"/>
    <x v="45"/>
  </r>
  <r>
    <n v="53899"/>
    <n v="392"/>
    <x v="1"/>
    <d v="2023-09-23T00:00:00"/>
    <x v="36"/>
    <n v="9"/>
    <x v="1"/>
    <x v="10"/>
    <x v="1"/>
    <s v="Peter Ferguson"/>
    <n v="8165"/>
    <s v="No"/>
    <x v="33"/>
  </r>
  <r>
    <n v="54569"/>
    <n v="147"/>
    <x v="0"/>
    <d v="2023-12-17T00:00:00"/>
    <x v="69"/>
    <n v="12"/>
    <x v="6"/>
    <x v="0"/>
    <x v="3"/>
    <s v="Daniel Da Cunha"/>
    <n v="6561"/>
    <s v="No"/>
    <x v="3"/>
  </r>
  <r>
    <n v="55920"/>
    <n v="769"/>
    <x v="3"/>
    <d v="2023-02-07T00:00:00"/>
    <x v="70"/>
    <n v="2"/>
    <x v="2"/>
    <x v="5"/>
    <x v="0"/>
    <s v="Julie Young"/>
    <n v="9946"/>
    <s v="No"/>
    <x v="13"/>
  </r>
  <r>
    <n v="56130"/>
    <n v="1446"/>
    <x v="7"/>
    <d v="2023-08-30T00:00:00"/>
    <x v="71"/>
    <n v="8"/>
    <x v="4"/>
    <x v="8"/>
    <x v="2"/>
    <s v="Julie Brown"/>
    <n v="9631"/>
    <s v="No"/>
    <x v="44"/>
  </r>
  <r>
    <n v="56703"/>
    <n v="381"/>
    <x v="2"/>
    <d v="2023-10-05T00:00:00"/>
    <x v="54"/>
    <n v="10"/>
    <x v="3"/>
    <x v="3"/>
    <x v="1"/>
    <s v="Juri Hirano"/>
    <n v="3490"/>
    <s v="No"/>
    <x v="46"/>
  </r>
  <r>
    <n v="57478"/>
    <n v="1004"/>
    <x v="0"/>
    <d v="2023-02-06T00:00:00"/>
    <x v="72"/>
    <n v="2"/>
    <x v="5"/>
    <x v="5"/>
    <x v="0"/>
    <s v="Martine Rance"/>
    <n v="7689"/>
    <s v="No"/>
    <x v="39"/>
  </r>
  <r>
    <n v="57568"/>
    <n v="464"/>
    <x v="2"/>
    <d v="2023-03-21T00:00:00"/>
    <x v="73"/>
    <n v="3"/>
    <x v="2"/>
    <x v="4"/>
    <x v="2"/>
    <s v="Veysel Oeztan"/>
    <n v="5877"/>
    <s v="No"/>
    <x v="47"/>
  </r>
  <r>
    <n v="57650"/>
    <n v="1542"/>
    <x v="3"/>
    <d v="2023-10-28T00:00:00"/>
    <x v="64"/>
    <n v="10"/>
    <x v="1"/>
    <x v="3"/>
    <x v="1"/>
    <s v="Julie Murphy"/>
    <n v="1231"/>
    <s v="No"/>
    <x v="48"/>
  </r>
  <r>
    <n v="58309"/>
    <n v="479"/>
    <x v="10"/>
    <d v="2023-01-12T00:00:00"/>
    <x v="74"/>
    <n v="1"/>
    <x v="3"/>
    <x v="9"/>
    <x v="2"/>
    <s v="Mory Kentary"/>
    <n v="9668"/>
    <s v="No"/>
    <x v="49"/>
  </r>
  <r>
    <n v="58546"/>
    <n v="1218"/>
    <x v="0"/>
    <d v="2023-07-21T00:00:00"/>
    <x v="10"/>
    <n v="7"/>
    <x v="0"/>
    <x v="6"/>
    <x v="0"/>
    <s v="Peter Ferguson"/>
    <n v="736"/>
    <s v="No"/>
    <x v="17"/>
  </r>
  <r>
    <n v="59723"/>
    <n v="1606"/>
    <x v="3"/>
    <d v="2023-11-05T00:00:00"/>
    <x v="12"/>
    <n v="11"/>
    <x v="6"/>
    <x v="2"/>
    <x v="0"/>
    <s v="Michael Frick"/>
    <n v="3606"/>
    <s v="No"/>
    <x v="12"/>
  </r>
  <r>
    <n v="60635"/>
    <n v="723"/>
    <x v="13"/>
    <d v="2023-01-13T00:00:00"/>
    <x v="34"/>
    <n v="1"/>
    <x v="0"/>
    <x v="9"/>
    <x v="0"/>
    <s v="William Brown"/>
    <n v="2575"/>
    <s v="No"/>
    <x v="16"/>
  </r>
  <r>
    <n v="60770"/>
    <n v="1934"/>
    <x v="4"/>
    <d v="2023-01-06T00:00:00"/>
    <x v="75"/>
    <n v="1"/>
    <x v="0"/>
    <x v="9"/>
    <x v="3"/>
    <s v="Julie King"/>
    <n v="7606"/>
    <s v="No"/>
    <x v="5"/>
  </r>
  <r>
    <n v="60781"/>
    <n v="353"/>
    <x v="3"/>
    <d v="2023-10-26T00:00:00"/>
    <x v="76"/>
    <n v="10"/>
    <x v="3"/>
    <x v="3"/>
    <x v="3"/>
    <s v="Janine Labrune"/>
    <n v="936"/>
    <s v="No"/>
    <x v="50"/>
  </r>
  <r>
    <n v="61005"/>
    <n v="480"/>
    <x v="10"/>
    <d v="2023-01-02T00:00:00"/>
    <x v="77"/>
    <n v="1"/>
    <x v="5"/>
    <x v="9"/>
    <x v="0"/>
    <s v="Marta Hernandez"/>
    <n v="7727"/>
    <s v="No"/>
    <x v="7"/>
  </r>
  <r>
    <n v="61504"/>
    <n v="260"/>
    <x v="0"/>
    <d v="2023-12-26T00:00:00"/>
    <x v="58"/>
    <n v="12"/>
    <x v="2"/>
    <x v="0"/>
    <x v="3"/>
    <s v="Matti Karttunen"/>
    <n v="7129"/>
    <s v="No"/>
    <x v="51"/>
  </r>
  <r>
    <n v="61520"/>
    <n v="1870"/>
    <x v="0"/>
    <d v="2023-06-22T00:00:00"/>
    <x v="78"/>
    <n v="6"/>
    <x v="3"/>
    <x v="7"/>
    <x v="1"/>
    <s v="Steve Frick"/>
    <n v="3077"/>
    <s v="No"/>
    <x v="36"/>
  </r>
  <r>
    <n v="63153"/>
    <n v="765"/>
    <x v="8"/>
    <d v="2023-03-28T00:00:00"/>
    <x v="79"/>
    <n v="3"/>
    <x v="2"/>
    <x v="4"/>
    <x v="1"/>
    <s v="Kyung Yu"/>
    <n v="5427"/>
    <s v="No"/>
    <x v="7"/>
  </r>
  <r>
    <n v="64461"/>
    <n v="1755"/>
    <x v="4"/>
    <d v="2023-03-21T00:00:00"/>
    <x v="80"/>
    <n v="3"/>
    <x v="2"/>
    <x v="4"/>
    <x v="1"/>
    <s v="Kwai Yu"/>
    <n v="7725"/>
    <s v="No"/>
    <x v="50"/>
  </r>
  <r>
    <n v="66118"/>
    <n v="1425"/>
    <x v="6"/>
    <d v="2023-02-25T00:00:00"/>
    <x v="10"/>
    <n v="2"/>
    <x v="1"/>
    <x v="5"/>
    <x v="0"/>
    <s v="Akiko Shimamura"/>
    <n v="1282"/>
    <s v="No"/>
    <x v="33"/>
  </r>
  <r>
    <n v="66951"/>
    <n v="342"/>
    <x v="1"/>
    <d v="2023-07-27T00:00:00"/>
    <x v="64"/>
    <n v="7"/>
    <x v="3"/>
    <x v="6"/>
    <x v="1"/>
    <s v="Juri Hirano"/>
    <n v="7338"/>
    <s v="No"/>
    <x v="48"/>
  </r>
  <r>
    <n v="69722"/>
    <n v="571"/>
    <x v="10"/>
    <d v="2023-09-05T00:00:00"/>
    <x v="28"/>
    <n v="9"/>
    <x v="2"/>
    <x v="10"/>
    <x v="2"/>
    <s v="Tony Calaghan"/>
    <n v="1269"/>
    <s v="No"/>
    <x v="51"/>
  </r>
  <r>
    <n v="69918"/>
    <n v="1378"/>
    <x v="4"/>
    <d v="2023-03-07T00:00:00"/>
    <x v="81"/>
    <n v="3"/>
    <x v="2"/>
    <x v="4"/>
    <x v="3"/>
    <s v="Violeta Benitez"/>
    <n v="8657"/>
    <s v="No"/>
    <x v="34"/>
  </r>
  <r>
    <n v="69942"/>
    <n v="1070"/>
    <x v="5"/>
    <d v="2023-12-13T00:00:00"/>
    <x v="25"/>
    <n v="12"/>
    <x v="4"/>
    <x v="0"/>
    <x v="2"/>
    <s v="Elizabeth Devon"/>
    <n v="3418"/>
    <s v="No"/>
    <x v="52"/>
  </r>
  <r>
    <n v="70005"/>
    <n v="1014"/>
    <x v="1"/>
    <d v="2023-06-09T00:00:00"/>
    <x v="48"/>
    <n v="6"/>
    <x v="0"/>
    <x v="7"/>
    <x v="3"/>
    <s v="Diego Freyre"/>
    <n v="3582"/>
    <s v="No"/>
    <x v="45"/>
  </r>
  <r>
    <n v="70020"/>
    <n v="1811"/>
    <x v="0"/>
    <d v="2023-01-17T00:00:00"/>
    <x v="34"/>
    <n v="1"/>
    <x v="2"/>
    <x v="9"/>
    <x v="3"/>
    <s v="Jytte Petersen"/>
    <n v="7484"/>
    <s v="No"/>
    <x v="33"/>
  </r>
  <r>
    <n v="71722"/>
    <n v="1420"/>
    <x v="0"/>
    <d v="2023-09-15T00:00:00"/>
    <x v="21"/>
    <n v="9"/>
    <x v="0"/>
    <x v="10"/>
    <x v="3"/>
    <s v="Georg Pipps"/>
    <n v="8556"/>
    <s v="No"/>
    <x v="9"/>
  </r>
  <r>
    <n v="72556"/>
    <n v="89"/>
    <x v="2"/>
    <d v="2023-07-13T00:00:00"/>
    <x v="82"/>
    <n v="7"/>
    <x v="3"/>
    <x v="6"/>
    <x v="2"/>
    <s v="Ann Brown"/>
    <n v="427"/>
    <s v="No"/>
    <x v="19"/>
  </r>
  <r>
    <n v="73057"/>
    <n v="306"/>
    <x v="1"/>
    <d v="2023-11-07T00:00:00"/>
    <x v="44"/>
    <n v="11"/>
    <x v="2"/>
    <x v="2"/>
    <x v="3"/>
    <s v="Wing C Tam"/>
    <n v="7936"/>
    <s v="No"/>
    <x v="1"/>
  </r>
  <r>
    <n v="73293"/>
    <n v="128"/>
    <x v="0"/>
    <d v="2023-12-12T00:00:00"/>
    <x v="83"/>
    <n v="12"/>
    <x v="2"/>
    <x v="0"/>
    <x v="3"/>
    <s v="Matti Karttunen"/>
    <n v="7868"/>
    <s v="No"/>
    <x v="39"/>
  </r>
  <r>
    <n v="73642"/>
    <n v="1519"/>
    <x v="4"/>
    <d v="2023-09-25T00:00:00"/>
    <x v="84"/>
    <n v="9"/>
    <x v="5"/>
    <x v="10"/>
    <x v="1"/>
    <s v="Maria Larsson"/>
    <n v="3758"/>
    <s v="No"/>
    <x v="1"/>
  </r>
  <r>
    <n v="73914"/>
    <n v="1772"/>
    <x v="0"/>
    <d v="2023-06-23T00:00:00"/>
    <x v="85"/>
    <n v="6"/>
    <x v="0"/>
    <x v="7"/>
    <x v="0"/>
    <s v="Annette Roulet"/>
    <n v="8306"/>
    <s v="No"/>
    <x v="53"/>
  </r>
  <r>
    <n v="74485"/>
    <n v="1247"/>
    <x v="0"/>
    <d v="2023-12-14T00:00:00"/>
    <x v="68"/>
    <n v="12"/>
    <x v="3"/>
    <x v="0"/>
    <x v="3"/>
    <s v="Thomas Hardy"/>
    <n v="4523"/>
    <s v="No"/>
    <x v="32"/>
  </r>
  <r>
    <n v="74526"/>
    <n v="1489"/>
    <x v="4"/>
    <d v="2023-12-13T00:00:00"/>
    <x v="86"/>
    <n v="12"/>
    <x v="4"/>
    <x v="0"/>
    <x v="2"/>
    <s v="Eduardo Saavedra"/>
    <n v="1132"/>
    <s v="No"/>
    <x v="7"/>
  </r>
  <r>
    <n v="75315"/>
    <n v="1291"/>
    <x v="0"/>
    <d v="2023-07-31T00:00:00"/>
    <x v="75"/>
    <n v="7"/>
    <x v="5"/>
    <x v="6"/>
    <x v="2"/>
    <s v="Michael Chandler"/>
    <n v="7931"/>
    <s v="No"/>
    <x v="54"/>
  </r>
  <r>
    <n v="75706"/>
    <n v="737"/>
    <x v="1"/>
    <d v="2023-04-05T00:00:00"/>
    <x v="87"/>
    <n v="4"/>
    <x v="4"/>
    <x v="1"/>
    <x v="2"/>
    <s v="Valarie Thompson"/>
    <n v="989"/>
    <s v="No"/>
    <x v="53"/>
  </r>
  <r>
    <n v="76181"/>
    <n v="773"/>
    <x v="0"/>
    <d v="2023-10-21T00:00:00"/>
    <x v="88"/>
    <n v="10"/>
    <x v="1"/>
    <x v="3"/>
    <x v="1"/>
    <s v="Kwai Yu"/>
    <n v="2221"/>
    <s v="No"/>
    <x v="55"/>
  </r>
  <r>
    <n v="78613"/>
    <n v="784"/>
    <x v="0"/>
    <d v="2023-03-14T00:00:00"/>
    <x v="89"/>
    <n v="3"/>
    <x v="2"/>
    <x v="4"/>
    <x v="1"/>
    <s v="Jean Fresnisre"/>
    <n v="6104"/>
    <s v="No"/>
    <x v="4"/>
  </r>
  <r>
    <n v="79407"/>
    <n v="1784"/>
    <x v="0"/>
    <d v="2023-08-08T00:00:00"/>
    <x v="90"/>
    <n v="8"/>
    <x v="2"/>
    <x v="8"/>
    <x v="1"/>
    <s v="Catherine Dewey"/>
    <n v="8067"/>
    <s v="No"/>
    <x v="56"/>
  </r>
  <r>
    <n v="80630"/>
    <n v="748"/>
    <x v="0"/>
    <d v="2023-05-13T00:00:00"/>
    <x v="91"/>
    <n v="5"/>
    <x v="1"/>
    <x v="11"/>
    <x v="1"/>
    <s v="Elizabeth Lincoln"/>
    <n v="62"/>
    <s v="No"/>
    <x v="28"/>
  </r>
  <r>
    <n v="80707"/>
    <n v="1993"/>
    <x v="0"/>
    <d v="2023-12-09T00:00:00"/>
    <x v="92"/>
    <n v="12"/>
    <x v="1"/>
    <x v="0"/>
    <x v="3"/>
    <s v="Juri Yoshido"/>
    <n v="2966"/>
    <s v="No"/>
    <x v="57"/>
  </r>
  <r>
    <n v="81061"/>
    <n v="676"/>
    <x v="1"/>
    <d v="2023-03-30T00:00:00"/>
    <x v="39"/>
    <n v="3"/>
    <x v="3"/>
    <x v="4"/>
    <x v="2"/>
    <s v="Francisca Cervantes"/>
    <n v="4219"/>
    <s v="No"/>
    <x v="8"/>
  </r>
  <r>
    <n v="81431"/>
    <n v="508"/>
    <x v="11"/>
    <d v="2023-07-15T00:00:00"/>
    <x v="11"/>
    <n v="7"/>
    <x v="1"/>
    <x v="6"/>
    <x v="3"/>
    <s v="Helen Bennett"/>
    <n v="9101"/>
    <s v="No"/>
    <x v="48"/>
  </r>
  <r>
    <n v="82314"/>
    <n v="1242"/>
    <x v="4"/>
    <d v="2023-12-21T00:00:00"/>
    <x v="93"/>
    <n v="12"/>
    <x v="3"/>
    <x v="0"/>
    <x v="3"/>
    <s v="Jonas Bergulfsen"/>
    <n v="9870"/>
    <s v="No"/>
    <x v="39"/>
  </r>
  <r>
    <n v="82480"/>
    <n v="1899"/>
    <x v="0"/>
    <d v="2023-02-11T00:00:00"/>
    <x v="94"/>
    <n v="2"/>
    <x v="1"/>
    <x v="5"/>
    <x v="2"/>
    <s v="Maria Hernandez"/>
    <n v="3220"/>
    <s v="No"/>
    <x v="42"/>
  </r>
  <r>
    <n v="82755"/>
    <n v="689"/>
    <x v="3"/>
    <d v="2023-11-02T00:00:00"/>
    <x v="95"/>
    <n v="11"/>
    <x v="3"/>
    <x v="2"/>
    <x v="3"/>
    <s v="Diego Freyre"/>
    <n v="5551"/>
    <s v="No"/>
    <x v="10"/>
  </r>
  <r>
    <n v="83365"/>
    <n v="829"/>
    <x v="0"/>
    <d v="2023-05-05T00:00:00"/>
    <x v="96"/>
    <n v="5"/>
    <x v="0"/>
    <x v="11"/>
    <x v="1"/>
    <s v="Paul Henriot"/>
    <n v="7937"/>
    <s v="No"/>
    <x v="48"/>
  </r>
  <r>
    <n v="83818"/>
    <n v="827"/>
    <x v="5"/>
    <d v="2023-04-17T00:00:00"/>
    <x v="51"/>
    <n v="4"/>
    <x v="5"/>
    <x v="1"/>
    <x v="3"/>
    <s v="Pirkko Koskitalo"/>
    <n v="7643"/>
    <s v="No"/>
    <x v="28"/>
  </r>
  <r>
    <n v="84351"/>
    <n v="1331"/>
    <x v="0"/>
    <d v="2023-04-19T00:00:00"/>
    <x v="97"/>
    <n v="4"/>
    <x v="4"/>
    <x v="1"/>
    <x v="1"/>
    <s v="Julie Brown"/>
    <n v="4824"/>
    <s v="No"/>
    <x v="58"/>
  </r>
  <r>
    <n v="85001"/>
    <n v="266"/>
    <x v="0"/>
    <d v="2023-11-12T00:00:00"/>
    <x v="37"/>
    <n v="11"/>
    <x v="6"/>
    <x v="2"/>
    <x v="1"/>
    <s v="Daniel Da Cunha"/>
    <n v="9796"/>
    <s v="No"/>
    <x v="2"/>
  </r>
  <r>
    <n v="85142"/>
    <n v="1794"/>
    <x v="6"/>
    <d v="2023-02-19T00:00:00"/>
    <x v="98"/>
    <n v="2"/>
    <x v="6"/>
    <x v="5"/>
    <x v="2"/>
    <s v="Sue Frick"/>
    <n v="1569"/>
    <s v="No"/>
    <x v="10"/>
  </r>
  <r>
    <n v="85195"/>
    <n v="1954"/>
    <x v="10"/>
    <d v="2023-10-27T00:00:00"/>
    <x v="99"/>
    <n v="10"/>
    <x v="0"/>
    <x v="3"/>
    <x v="1"/>
    <s v="Juri Yoshido"/>
    <n v="1860"/>
    <s v="No"/>
    <x v="39"/>
  </r>
  <r>
    <n v="85703"/>
    <n v="142"/>
    <x v="1"/>
    <d v="2023-01-05T00:00:00"/>
    <x v="100"/>
    <n v="1"/>
    <x v="3"/>
    <x v="9"/>
    <x v="3"/>
    <s v="Jonas Bergulfsen"/>
    <n v="3427"/>
    <s v="No"/>
    <x v="55"/>
  </r>
  <r>
    <n v="85897"/>
    <n v="948"/>
    <x v="10"/>
    <d v="2023-01-29T00:00:00"/>
    <x v="101"/>
    <n v="1"/>
    <x v="6"/>
    <x v="9"/>
    <x v="2"/>
    <s v="Marie Bertrand"/>
    <n v="4650"/>
    <s v="No"/>
    <x v="18"/>
  </r>
  <r>
    <n v="86258"/>
    <n v="726"/>
    <x v="0"/>
    <d v="2023-11-23T00:00:00"/>
    <x v="102"/>
    <n v="11"/>
    <x v="3"/>
    <x v="2"/>
    <x v="3"/>
    <s v="Mart¡n Sommer"/>
    <n v="6129"/>
    <s v="No"/>
    <x v="38"/>
  </r>
  <r>
    <n v="88069"/>
    <n v="61"/>
    <x v="4"/>
    <d v="2023-01-26T00:00:00"/>
    <x v="103"/>
    <n v="1"/>
    <x v="3"/>
    <x v="9"/>
    <x v="0"/>
    <s v="Juri Hirano"/>
    <n v="8410"/>
    <s v="No"/>
    <x v="59"/>
  </r>
  <r>
    <n v="88156"/>
    <n v="719"/>
    <x v="8"/>
    <d v="2023-12-14T00:00:00"/>
    <x v="31"/>
    <n v="12"/>
    <x v="3"/>
    <x v="0"/>
    <x v="0"/>
    <s v="Eric Natividad"/>
    <n v="9836"/>
    <s v="No"/>
    <x v="3"/>
  </r>
  <r>
    <n v="89811"/>
    <n v="1007"/>
    <x v="0"/>
    <d v="2023-07-30T00:00:00"/>
    <x v="1"/>
    <n v="7"/>
    <x v="6"/>
    <x v="6"/>
    <x v="2"/>
    <s v="Roland Mendel"/>
    <n v="3761"/>
    <s v="No"/>
    <x v="14"/>
  </r>
  <r>
    <n v="89864"/>
    <n v="1150"/>
    <x v="0"/>
    <d v="2023-10-16T00:00:00"/>
    <x v="104"/>
    <n v="10"/>
    <x v="5"/>
    <x v="3"/>
    <x v="0"/>
    <s v="Ann Brown"/>
    <n v="8022"/>
    <s v="No"/>
    <x v="55"/>
  </r>
  <r>
    <n v="92317"/>
    <n v="820"/>
    <x v="2"/>
    <d v="2023-02-10T00:00:00"/>
    <x v="65"/>
    <n v="2"/>
    <x v="0"/>
    <x v="5"/>
    <x v="2"/>
    <s v="Francisca Cervantes"/>
    <n v="6790"/>
    <s v="No"/>
    <x v="3"/>
  </r>
  <r>
    <n v="93408"/>
    <n v="1804"/>
    <x v="6"/>
    <d v="2023-11-05T00:00:00"/>
    <x v="105"/>
    <n v="11"/>
    <x v="6"/>
    <x v="2"/>
    <x v="3"/>
    <s v="Mary Saveley"/>
    <n v="6323"/>
    <s v="No"/>
    <x v="49"/>
  </r>
  <r>
    <n v="94344"/>
    <n v="1122"/>
    <x v="7"/>
    <d v="2023-03-14T00:00:00"/>
    <x v="35"/>
    <n v="3"/>
    <x v="2"/>
    <x v="4"/>
    <x v="1"/>
    <s v="Valarie Franco"/>
    <n v="5649"/>
    <s v="No"/>
    <x v="19"/>
  </r>
  <r>
    <n v="94709"/>
    <n v="991"/>
    <x v="0"/>
    <d v="2023-05-15T00:00:00"/>
    <x v="106"/>
    <n v="5"/>
    <x v="5"/>
    <x v="11"/>
    <x v="2"/>
    <s v="Wendy Victorino"/>
    <n v="1850"/>
    <s v="No"/>
    <x v="39"/>
  </r>
  <r>
    <n v="95054"/>
    <n v="1666"/>
    <x v="4"/>
    <d v="2023-06-10T00:00:00"/>
    <x v="51"/>
    <n v="6"/>
    <x v="1"/>
    <x v="7"/>
    <x v="0"/>
    <s v="Valarie Nelson"/>
    <n v="2320"/>
    <s v="No"/>
    <x v="29"/>
  </r>
  <r>
    <n v="95500"/>
    <n v="158"/>
    <x v="0"/>
    <d v="2023-03-25T00:00:00"/>
    <x v="93"/>
    <n v="3"/>
    <x v="1"/>
    <x v="4"/>
    <x v="1"/>
    <s v="Leslie Murphy"/>
    <n v="7674"/>
    <s v="No"/>
    <x v="10"/>
  </r>
  <r>
    <n v="95657"/>
    <n v="985"/>
    <x v="0"/>
    <d v="2023-05-12T00:00:00"/>
    <x v="1"/>
    <n v="5"/>
    <x v="0"/>
    <x v="11"/>
    <x v="0"/>
    <s v="Wendy Victorino"/>
    <n v="8990"/>
    <s v="No"/>
    <x v="45"/>
  </r>
  <r>
    <n v="98453"/>
    <n v="1169"/>
    <x v="3"/>
    <d v="2023-04-29T00:00:00"/>
    <x v="107"/>
    <n v="4"/>
    <x v="1"/>
    <x v="1"/>
    <x v="1"/>
    <s v="Adrian Huxley"/>
    <n v="2261"/>
    <s v="No"/>
    <x v="47"/>
  </r>
  <r>
    <n v="98856"/>
    <n v="129"/>
    <x v="0"/>
    <d v="2023-11-09T00:00:00"/>
    <x v="107"/>
    <n v="11"/>
    <x v="3"/>
    <x v="2"/>
    <x v="2"/>
    <s v="Kyung Yu"/>
    <n v="7750"/>
    <s v="No"/>
    <x v="29"/>
  </r>
  <r>
    <n v="98968"/>
    <n v="215"/>
    <x v="0"/>
    <d v="2023-01-23T00:00:00"/>
    <x v="97"/>
    <n v="1"/>
    <x v="5"/>
    <x v="9"/>
    <x v="3"/>
    <s v="Maria Larsson"/>
    <n v="2161"/>
    <s v="No"/>
    <x v="52"/>
  </r>
  <r>
    <n v="99495"/>
    <n v="1957"/>
    <x v="0"/>
    <d v="2023-03-16T00:00:00"/>
    <x v="57"/>
    <n v="3"/>
    <x v="3"/>
    <x v="4"/>
    <x v="2"/>
    <s v="Marta Hernandez"/>
    <n v="1403"/>
    <s v="No"/>
    <x v="53"/>
  </r>
  <r>
    <n v="101471"/>
    <n v="584"/>
    <x v="0"/>
    <d v="2023-11-25T00:00:00"/>
    <x v="52"/>
    <n v="11"/>
    <x v="1"/>
    <x v="2"/>
    <x v="0"/>
    <s v="Yoshi Tannamuri"/>
    <n v="9105"/>
    <s v="No"/>
    <x v="41"/>
  </r>
  <r>
    <n v="101807"/>
    <n v="1181"/>
    <x v="5"/>
    <d v="2023-11-02T00:00:00"/>
    <x v="108"/>
    <n v="11"/>
    <x v="3"/>
    <x v="2"/>
    <x v="1"/>
    <s v="Valarie Young"/>
    <n v="3541"/>
    <s v="No"/>
    <x v="17"/>
  </r>
  <r>
    <n v="101815"/>
    <n v="520"/>
    <x v="4"/>
    <d v="2023-09-18T00:00:00"/>
    <x v="109"/>
    <n v="9"/>
    <x v="5"/>
    <x v="10"/>
    <x v="1"/>
    <s v="Christina Berglund"/>
    <n v="5420"/>
    <s v="No"/>
    <x v="49"/>
  </r>
  <r>
    <n v="102053"/>
    <n v="1739"/>
    <x v="4"/>
    <d v="2023-08-17T00:00:00"/>
    <x v="24"/>
    <n v="8"/>
    <x v="3"/>
    <x v="8"/>
    <x v="0"/>
    <s v="Peter Ferguson"/>
    <n v="3746"/>
    <s v="No"/>
    <x v="60"/>
  </r>
  <r>
    <n v="102252"/>
    <n v="1812"/>
    <x v="4"/>
    <d v="2023-11-08T00:00:00"/>
    <x v="6"/>
    <n v="11"/>
    <x v="4"/>
    <x v="2"/>
    <x v="3"/>
    <s v="Valarie Nelson"/>
    <n v="2944"/>
    <s v="No"/>
    <x v="22"/>
  </r>
  <r>
    <n v="102931"/>
    <n v="1185"/>
    <x v="6"/>
    <d v="2023-06-15T00:00:00"/>
    <x v="110"/>
    <n v="6"/>
    <x v="3"/>
    <x v="7"/>
    <x v="1"/>
    <s v="Anna O'Hara"/>
    <n v="3433"/>
    <s v="No"/>
    <x v="6"/>
  </r>
  <r>
    <n v="103462"/>
    <n v="1280"/>
    <x v="0"/>
    <d v="2023-10-13T00:00:00"/>
    <x v="67"/>
    <n v="10"/>
    <x v="0"/>
    <x v="3"/>
    <x v="1"/>
    <s v="Julie Brown"/>
    <n v="9693"/>
    <s v="No"/>
    <x v="45"/>
  </r>
  <r>
    <n v="103711"/>
    <n v="1972"/>
    <x v="0"/>
    <d v="2023-06-14T00:00:00"/>
    <x v="29"/>
    <n v="6"/>
    <x v="4"/>
    <x v="7"/>
    <x v="2"/>
    <s v="Anna O'Hara"/>
    <n v="9524"/>
    <s v="No"/>
    <x v="2"/>
  </r>
  <r>
    <n v="103812"/>
    <n v="1047"/>
    <x v="2"/>
    <d v="2023-12-13T00:00:00"/>
    <x v="111"/>
    <n v="12"/>
    <x v="4"/>
    <x v="0"/>
    <x v="2"/>
    <s v="Jean Fresnisre"/>
    <n v="3954"/>
    <s v="No"/>
    <x v="1"/>
  </r>
  <r>
    <n v="104755"/>
    <n v="1663"/>
    <x v="9"/>
    <d v="2023-05-20T00:00:00"/>
    <x v="112"/>
    <n v="5"/>
    <x v="1"/>
    <x v="11"/>
    <x v="0"/>
    <s v="Janine Labrune"/>
    <n v="4423"/>
    <s v="No"/>
    <x v="52"/>
  </r>
  <r>
    <n v="105735"/>
    <n v="1793"/>
    <x v="3"/>
    <d v="2023-11-24T00:00:00"/>
    <x v="104"/>
    <n v="11"/>
    <x v="0"/>
    <x v="2"/>
    <x v="3"/>
    <s v="Arnold Cruz"/>
    <n v="5861"/>
    <s v="No"/>
    <x v="50"/>
  </r>
  <r>
    <n v="106294"/>
    <n v="1011"/>
    <x v="3"/>
    <d v="2023-04-04T00:00:00"/>
    <x v="25"/>
    <n v="4"/>
    <x v="2"/>
    <x v="1"/>
    <x v="1"/>
    <s v="Laurence Lebihan"/>
    <n v="4430"/>
    <s v="No"/>
    <x v="1"/>
  </r>
  <r>
    <n v="106529"/>
    <n v="723"/>
    <x v="13"/>
    <d v="2023-01-27T00:00:00"/>
    <x v="63"/>
    <n v="1"/>
    <x v="0"/>
    <x v="9"/>
    <x v="0"/>
    <s v="Valarie Nelson"/>
    <n v="6130"/>
    <s v="No"/>
    <x v="16"/>
  </r>
  <r>
    <n v="108586"/>
    <n v="1584"/>
    <x v="0"/>
    <d v="2023-04-03T00:00:00"/>
    <x v="113"/>
    <n v="4"/>
    <x v="5"/>
    <x v="1"/>
    <x v="0"/>
    <s v="Allen Nelson"/>
    <n v="4335"/>
    <s v="No"/>
    <x v="35"/>
  </r>
  <r>
    <n v="109103"/>
    <n v="856"/>
    <x v="0"/>
    <d v="2023-03-01T00:00:00"/>
    <x v="71"/>
    <n v="3"/>
    <x v="4"/>
    <x v="4"/>
    <x v="3"/>
    <s v="Julie Brown"/>
    <n v="936"/>
    <s v="No"/>
    <x v="0"/>
  </r>
  <r>
    <n v="109547"/>
    <n v="1223"/>
    <x v="0"/>
    <d v="2023-02-08T00:00:00"/>
    <x v="107"/>
    <n v="2"/>
    <x v="4"/>
    <x v="5"/>
    <x v="3"/>
    <s v="Anna O'Hara"/>
    <n v="719"/>
    <s v="No"/>
    <x v="42"/>
  </r>
  <r>
    <n v="110341"/>
    <n v="1628"/>
    <x v="0"/>
    <d v="2023-04-29T00:00:00"/>
    <x v="44"/>
    <n v="4"/>
    <x v="1"/>
    <x v="1"/>
    <x v="2"/>
    <s v="Veysel Oeztan"/>
    <n v="1411"/>
    <s v="No"/>
    <x v="33"/>
  </r>
  <r>
    <n v="111992"/>
    <n v="1515"/>
    <x v="0"/>
    <d v="2023-03-26T00:00:00"/>
    <x v="114"/>
    <n v="3"/>
    <x v="6"/>
    <x v="4"/>
    <x v="3"/>
    <s v="Henriette Pfalzheim"/>
    <n v="9312"/>
    <s v="No"/>
    <x v="26"/>
  </r>
  <r>
    <n v="112219"/>
    <n v="1857"/>
    <x v="3"/>
    <d v="2023-05-19T00:00:00"/>
    <x v="40"/>
    <n v="5"/>
    <x v="0"/>
    <x v="11"/>
    <x v="1"/>
    <s v="Diego Freyre"/>
    <n v="7425"/>
    <s v="No"/>
    <x v="21"/>
  </r>
  <r>
    <n v="112565"/>
    <n v="1485"/>
    <x v="4"/>
    <d v="2023-04-25T00:00:00"/>
    <x v="115"/>
    <n v="4"/>
    <x v="2"/>
    <x v="1"/>
    <x v="2"/>
    <s v="Dominique Perrier"/>
    <n v="6159"/>
    <s v="No"/>
    <x v="4"/>
  </r>
  <r>
    <n v="112919"/>
    <n v="1262"/>
    <x v="0"/>
    <d v="2023-08-03T00:00:00"/>
    <x v="81"/>
    <n v="8"/>
    <x v="3"/>
    <x v="8"/>
    <x v="0"/>
    <s v="Michael Holz"/>
    <n v="3155"/>
    <s v="No"/>
    <x v="10"/>
  </r>
  <r>
    <n v="113132"/>
    <n v="211"/>
    <x v="3"/>
    <d v="2023-12-06T00:00:00"/>
    <x v="116"/>
    <n v="12"/>
    <x v="4"/>
    <x v="0"/>
    <x v="1"/>
    <s v="Jytte Petersen"/>
    <n v="2270"/>
    <s v="No"/>
    <x v="33"/>
  </r>
  <r>
    <n v="113406"/>
    <n v="1911"/>
    <x v="6"/>
    <d v="2023-03-02T00:00:00"/>
    <x v="46"/>
    <n v="3"/>
    <x v="3"/>
    <x v="4"/>
    <x v="0"/>
    <s v="Elizabeth Devon"/>
    <n v="2500"/>
    <s v="No"/>
    <x v="61"/>
  </r>
  <r>
    <n v="114309"/>
    <n v="139"/>
    <x v="0"/>
    <d v="2023-06-25T00:00:00"/>
    <x v="14"/>
    <n v="6"/>
    <x v="6"/>
    <x v="7"/>
    <x v="0"/>
    <s v="Maurizio Moroni"/>
    <n v="5868"/>
    <s v="No"/>
    <x v="21"/>
  </r>
  <r>
    <n v="114621"/>
    <n v="501"/>
    <x v="4"/>
    <d v="2023-12-23T00:00:00"/>
    <x v="87"/>
    <n v="12"/>
    <x v="1"/>
    <x v="0"/>
    <x v="1"/>
    <s v="Miguel Barajas"/>
    <n v="3842"/>
    <s v="No"/>
    <x v="23"/>
  </r>
  <r>
    <n v="115590"/>
    <n v="517"/>
    <x v="6"/>
    <d v="2023-02-02T00:00:00"/>
    <x v="94"/>
    <n v="2"/>
    <x v="3"/>
    <x v="5"/>
    <x v="0"/>
    <s v="Michael Holz"/>
    <n v="9953"/>
    <s v="No"/>
    <x v="55"/>
  </r>
  <r>
    <n v="116342"/>
    <n v="1210"/>
    <x v="4"/>
    <d v="2023-12-17T00:00:00"/>
    <x v="28"/>
    <n v="12"/>
    <x v="6"/>
    <x v="0"/>
    <x v="0"/>
    <s v="Roland Keitel"/>
    <n v="2323"/>
    <s v="No"/>
    <x v="51"/>
  </r>
  <r>
    <n v="118335"/>
    <n v="1715"/>
    <x v="0"/>
    <d v="2023-09-25T00:00:00"/>
    <x v="10"/>
    <n v="9"/>
    <x v="5"/>
    <x v="10"/>
    <x v="0"/>
    <s v="Henriette Pfalzheim"/>
    <n v="477"/>
    <s v="No"/>
    <x v="10"/>
  </r>
  <r>
    <n v="118716"/>
    <n v="1599"/>
    <x v="0"/>
    <d v="2023-12-15T00:00:00"/>
    <x v="107"/>
    <n v="12"/>
    <x v="0"/>
    <x v="0"/>
    <x v="0"/>
    <s v="Christina Berglund"/>
    <n v="4765"/>
    <s v="No"/>
    <x v="49"/>
  </r>
  <r>
    <n v="118960"/>
    <n v="1265"/>
    <x v="0"/>
    <d v="2023-03-19T00:00:00"/>
    <x v="108"/>
    <n v="3"/>
    <x v="6"/>
    <x v="4"/>
    <x v="2"/>
    <s v="Kwai Yu"/>
    <n v="3942"/>
    <s v="No"/>
    <x v="54"/>
  </r>
  <r>
    <n v="120228"/>
    <n v="1795"/>
    <x v="3"/>
    <d v="2023-05-03T00:00:00"/>
    <x v="117"/>
    <n v="5"/>
    <x v="4"/>
    <x v="11"/>
    <x v="1"/>
    <s v="Georg Pipps"/>
    <n v="5864"/>
    <s v="No"/>
    <x v="62"/>
  </r>
  <r>
    <n v="120567"/>
    <n v="1523"/>
    <x v="4"/>
    <d v="2023-06-30T00:00:00"/>
    <x v="62"/>
    <n v="6"/>
    <x v="0"/>
    <x v="7"/>
    <x v="1"/>
    <s v="Kalle Suominen"/>
    <n v="1876"/>
    <s v="No"/>
    <x v="63"/>
  </r>
  <r>
    <n v="122068"/>
    <n v="624"/>
    <x v="6"/>
    <d v="2023-10-01T00:00:00"/>
    <x v="118"/>
    <n v="10"/>
    <x v="6"/>
    <x v="3"/>
    <x v="0"/>
    <s v="Janine Labrune"/>
    <n v="3030"/>
    <s v="No"/>
    <x v="64"/>
  </r>
  <r>
    <n v="122492"/>
    <n v="147"/>
    <x v="0"/>
    <d v="2023-07-02T00:00:00"/>
    <x v="119"/>
    <n v="7"/>
    <x v="6"/>
    <x v="6"/>
    <x v="3"/>
    <s v="Maria Larsson"/>
    <n v="1788"/>
    <s v="No"/>
    <x v="3"/>
  </r>
  <r>
    <n v="123546"/>
    <n v="990"/>
    <x v="7"/>
    <d v="2023-05-16T00:00:00"/>
    <x v="85"/>
    <n v="5"/>
    <x v="2"/>
    <x v="11"/>
    <x v="3"/>
    <s v="Georg Pipps"/>
    <n v="9475"/>
    <s v="No"/>
    <x v="2"/>
  </r>
  <r>
    <n v="125939"/>
    <n v="213"/>
    <x v="0"/>
    <d v="2023-02-28T00:00:00"/>
    <x v="36"/>
    <n v="2"/>
    <x v="2"/>
    <x v="5"/>
    <x v="1"/>
    <s v="Jytte Petersen"/>
    <n v="6023"/>
    <s v="No"/>
    <x v="44"/>
  </r>
  <r>
    <n v="127157"/>
    <n v="532"/>
    <x v="0"/>
    <d v="2023-02-15T00:00:00"/>
    <x v="116"/>
    <n v="2"/>
    <x v="4"/>
    <x v="5"/>
    <x v="3"/>
    <s v="Eric Natividad"/>
    <n v="2367"/>
    <s v="No"/>
    <x v="58"/>
  </r>
  <r>
    <n v="127349"/>
    <n v="620"/>
    <x v="5"/>
    <d v="2023-04-11T00:00:00"/>
    <x v="120"/>
    <n v="4"/>
    <x v="2"/>
    <x v="1"/>
    <x v="1"/>
    <s v="Jeff Young"/>
    <n v="4477"/>
    <s v="No"/>
    <x v="10"/>
  </r>
  <r>
    <n v="127352"/>
    <n v="1534"/>
    <x v="0"/>
    <d v="2023-09-12T00:00:00"/>
    <x v="19"/>
    <n v="9"/>
    <x v="2"/>
    <x v="10"/>
    <x v="3"/>
    <s v="Valarie Nelson"/>
    <n v="8980"/>
    <s v="No"/>
    <x v="65"/>
  </r>
  <r>
    <n v="128831"/>
    <n v="816"/>
    <x v="1"/>
    <d v="2023-11-25T00:00:00"/>
    <x v="121"/>
    <n v="11"/>
    <x v="1"/>
    <x v="2"/>
    <x v="1"/>
    <s v="Diego Freyre"/>
    <n v="483"/>
    <s v="No"/>
    <x v="7"/>
  </r>
  <r>
    <n v="130037"/>
    <n v="765"/>
    <x v="8"/>
    <d v="2023-05-16T00:00:00"/>
    <x v="122"/>
    <n v="5"/>
    <x v="2"/>
    <x v="11"/>
    <x v="3"/>
    <s v="Eric Natividad"/>
    <n v="7380"/>
    <s v="No"/>
    <x v="7"/>
  </r>
  <r>
    <n v="130805"/>
    <n v="207"/>
    <x v="13"/>
    <d v="2023-07-11T00:00:00"/>
    <x v="123"/>
    <n v="7"/>
    <x v="2"/>
    <x v="6"/>
    <x v="3"/>
    <s v="Maurizio Moroni"/>
    <n v="9542"/>
    <s v="No"/>
    <x v="15"/>
  </r>
  <r>
    <n v="130920"/>
    <n v="1099"/>
    <x v="3"/>
    <d v="2023-04-19T00:00:00"/>
    <x v="100"/>
    <n v="4"/>
    <x v="4"/>
    <x v="1"/>
    <x v="3"/>
    <s v="Wing C Tam"/>
    <n v="5261"/>
    <s v="No"/>
    <x v="15"/>
  </r>
  <r>
    <n v="131508"/>
    <n v="140"/>
    <x v="0"/>
    <d v="2023-02-11T00:00:00"/>
    <x v="0"/>
    <n v="2"/>
    <x v="1"/>
    <x v="5"/>
    <x v="2"/>
    <s v="Leslie Murphy"/>
    <n v="2656"/>
    <s v="No"/>
    <x v="30"/>
  </r>
  <r>
    <n v="133285"/>
    <n v="516"/>
    <x v="3"/>
    <d v="2023-02-11T00:00:00"/>
    <x v="124"/>
    <n v="2"/>
    <x v="1"/>
    <x v="5"/>
    <x v="0"/>
    <s v="Mary Saveley"/>
    <n v="7837"/>
    <s v="No"/>
    <x v="66"/>
  </r>
  <r>
    <n v="133922"/>
    <n v="1441"/>
    <x v="6"/>
    <d v="2023-08-18T00:00:00"/>
    <x v="81"/>
    <n v="8"/>
    <x v="0"/>
    <x v="8"/>
    <x v="0"/>
    <s v="Dean Cassidy"/>
    <n v="4932"/>
    <s v="No"/>
    <x v="48"/>
  </r>
  <r>
    <n v="134419"/>
    <n v="628"/>
    <x v="3"/>
    <d v="2023-02-03T00:00:00"/>
    <x v="125"/>
    <n v="2"/>
    <x v="0"/>
    <x v="5"/>
    <x v="2"/>
    <s v="Jesus Fernandez"/>
    <n v="2768"/>
    <s v="No"/>
    <x v="67"/>
  </r>
  <r>
    <n v="137231"/>
    <n v="1344"/>
    <x v="4"/>
    <d v="2023-10-17T00:00:00"/>
    <x v="126"/>
    <n v="10"/>
    <x v="2"/>
    <x v="3"/>
    <x v="1"/>
    <s v="Kalle Suominen"/>
    <n v="6898"/>
    <s v="No"/>
    <x v="28"/>
  </r>
  <r>
    <n v="138329"/>
    <n v="1108"/>
    <x v="1"/>
    <d v="2023-07-31T00:00:00"/>
    <x v="7"/>
    <n v="7"/>
    <x v="5"/>
    <x v="6"/>
    <x v="3"/>
    <s v="Kyung Yu"/>
    <n v="7219"/>
    <s v="No"/>
    <x v="59"/>
  </r>
  <r>
    <n v="139357"/>
    <n v="423"/>
    <x v="5"/>
    <d v="2023-05-18T00:00:00"/>
    <x v="80"/>
    <n v="5"/>
    <x v="3"/>
    <x v="11"/>
    <x v="0"/>
    <s v="Valarie Nelson"/>
    <n v="5563"/>
    <s v="No"/>
    <x v="18"/>
  </r>
  <r>
    <n v="139611"/>
    <n v="444"/>
    <x v="4"/>
    <d v="2023-10-21T00:00:00"/>
    <x v="127"/>
    <n v="10"/>
    <x v="1"/>
    <x v="3"/>
    <x v="3"/>
    <s v="Paolo Accorti"/>
    <n v="6827"/>
    <s v="No"/>
    <x v="12"/>
  </r>
  <r>
    <n v="139755"/>
    <n v="813"/>
    <x v="5"/>
    <d v="2023-07-29T00:00:00"/>
    <x v="57"/>
    <n v="7"/>
    <x v="1"/>
    <x v="6"/>
    <x v="0"/>
    <s v="Victoria Ashworth"/>
    <n v="7305"/>
    <s v="No"/>
    <x v="66"/>
  </r>
  <r>
    <n v="140002"/>
    <n v="1848"/>
    <x v="0"/>
    <d v="2023-10-02T00:00:00"/>
    <x v="35"/>
    <n v="10"/>
    <x v="5"/>
    <x v="3"/>
    <x v="1"/>
    <s v="Palle Ibsen"/>
    <n v="3536"/>
    <s v="No"/>
    <x v="42"/>
  </r>
  <r>
    <n v="141004"/>
    <n v="1499"/>
    <x v="0"/>
    <d v="2023-05-17T00:00:00"/>
    <x v="128"/>
    <n v="5"/>
    <x v="4"/>
    <x v="11"/>
    <x v="1"/>
    <s v="Jonas Bergulfsen"/>
    <n v="9940"/>
    <s v="No"/>
    <x v="68"/>
  </r>
  <r>
    <n v="141024"/>
    <n v="1436"/>
    <x v="4"/>
    <d v="2023-03-08T00:00:00"/>
    <x v="23"/>
    <n v="3"/>
    <x v="4"/>
    <x v="4"/>
    <x v="0"/>
    <s v="Marie Bertrand"/>
    <n v="9491"/>
    <s v="No"/>
    <x v="28"/>
  </r>
  <r>
    <n v="141306"/>
    <n v="249"/>
    <x v="0"/>
    <d v="2023-01-11T00:00:00"/>
    <x v="129"/>
    <n v="1"/>
    <x v="4"/>
    <x v="9"/>
    <x v="1"/>
    <s v="Mart¡n Sommer"/>
    <n v="9751"/>
    <s v="No"/>
    <x v="30"/>
  </r>
  <r>
    <n v="142160"/>
    <n v="1976"/>
    <x v="4"/>
    <d v="2023-02-14T00:00:00"/>
    <x v="130"/>
    <n v="2"/>
    <x v="2"/>
    <x v="5"/>
    <x v="2"/>
    <s v="Paul Henriot"/>
    <n v="7114"/>
    <s v="No"/>
    <x v="38"/>
  </r>
  <r>
    <n v="145440"/>
    <n v="948"/>
    <x v="10"/>
    <d v="2023-08-19T00:00:00"/>
    <x v="95"/>
    <n v="8"/>
    <x v="1"/>
    <x v="8"/>
    <x v="1"/>
    <s v="Valarie Nelson"/>
    <n v="140"/>
    <s v="No"/>
    <x v="18"/>
  </r>
  <r>
    <n v="145667"/>
    <n v="813"/>
    <x v="5"/>
    <d v="2023-08-02T00:00:00"/>
    <x v="97"/>
    <n v="8"/>
    <x v="4"/>
    <x v="8"/>
    <x v="0"/>
    <s v="Valarie Nelson"/>
    <n v="8841"/>
    <s v="No"/>
    <x v="66"/>
  </r>
  <r>
    <n v="146599"/>
    <n v="393"/>
    <x v="1"/>
    <d v="2023-05-15T00:00:00"/>
    <x v="131"/>
    <n v="5"/>
    <x v="5"/>
    <x v="11"/>
    <x v="1"/>
    <s v="Daniel Da Cunha"/>
    <n v="7712"/>
    <s v="No"/>
    <x v="11"/>
  </r>
  <r>
    <n v="146917"/>
    <n v="183"/>
    <x v="1"/>
    <d v="2023-02-24T00:00:00"/>
    <x v="129"/>
    <n v="2"/>
    <x v="0"/>
    <x v="5"/>
    <x v="0"/>
    <s v="Julie King"/>
    <n v="2595"/>
    <s v="No"/>
    <x v="50"/>
  </r>
  <r>
    <n v="148310"/>
    <n v="625"/>
    <x v="1"/>
    <d v="2023-05-03T00:00:00"/>
    <x v="54"/>
    <n v="5"/>
    <x v="4"/>
    <x v="11"/>
    <x v="0"/>
    <s v="Jonas Bergulfsen"/>
    <n v="2291"/>
    <s v="No"/>
    <x v="26"/>
  </r>
  <r>
    <n v="148706"/>
    <n v="188"/>
    <x v="1"/>
    <d v="2023-12-09T00:00:00"/>
    <x v="27"/>
    <n v="12"/>
    <x v="1"/>
    <x v="0"/>
    <x v="3"/>
    <s v="Valarie Nelson"/>
    <n v="4301"/>
    <s v="No"/>
    <x v="54"/>
  </r>
  <r>
    <n v="149310"/>
    <n v="1734"/>
    <x v="0"/>
    <d v="2023-01-15T00:00:00"/>
    <x v="109"/>
    <n v="1"/>
    <x v="6"/>
    <x v="9"/>
    <x v="0"/>
    <s v="Mart¡n Sommer"/>
    <n v="1340"/>
    <s v="No"/>
    <x v="14"/>
  </r>
  <r>
    <n v="149497"/>
    <n v="931"/>
    <x v="0"/>
    <d v="2023-04-10T00:00:00"/>
    <x v="101"/>
    <n v="4"/>
    <x v="5"/>
    <x v="1"/>
    <x v="0"/>
    <s v="Juri Hirano"/>
    <n v="7840"/>
    <s v="No"/>
    <x v="30"/>
  </r>
  <r>
    <n v="149877"/>
    <n v="978"/>
    <x v="0"/>
    <d v="2023-01-20T00:00:00"/>
    <x v="71"/>
    <n v="1"/>
    <x v="0"/>
    <x v="9"/>
    <x v="0"/>
    <s v="Eric Natividad"/>
    <n v="5106"/>
    <s v="No"/>
    <x v="16"/>
  </r>
  <r>
    <n v="151746"/>
    <n v="718"/>
    <x v="8"/>
    <d v="2023-05-24T00:00:00"/>
    <x v="132"/>
    <n v="5"/>
    <x v="4"/>
    <x v="11"/>
    <x v="3"/>
    <s v="Roland Mendel"/>
    <n v="7817"/>
    <s v="No"/>
    <x v="55"/>
  </r>
  <r>
    <n v="151991"/>
    <n v="1361"/>
    <x v="4"/>
    <d v="2023-01-23T00:00:00"/>
    <x v="56"/>
    <n v="1"/>
    <x v="5"/>
    <x v="9"/>
    <x v="1"/>
    <s v="Tony Calaghan"/>
    <n v="1045"/>
    <s v="No"/>
    <x v="63"/>
  </r>
  <r>
    <n v="152504"/>
    <n v="280"/>
    <x v="0"/>
    <d v="2023-04-20T00:00:00"/>
    <x v="130"/>
    <n v="4"/>
    <x v="3"/>
    <x v="1"/>
    <x v="1"/>
    <s v="Francisca Cervantes"/>
    <n v="6681"/>
    <s v="No"/>
    <x v="66"/>
  </r>
  <r>
    <n v="152609"/>
    <n v="991"/>
    <x v="0"/>
    <d v="2023-08-12T00:00:00"/>
    <x v="103"/>
    <n v="8"/>
    <x v="1"/>
    <x v="8"/>
    <x v="1"/>
    <s v="Mary Saveley"/>
    <n v="7294"/>
    <s v="No"/>
    <x v="39"/>
  </r>
  <r>
    <n v="152738"/>
    <n v="1099"/>
    <x v="3"/>
    <d v="2023-07-04T00:00:00"/>
    <x v="10"/>
    <n v="7"/>
    <x v="2"/>
    <x v="6"/>
    <x v="2"/>
    <s v="Yoshi Tannamuri"/>
    <n v="177"/>
    <s v="No"/>
    <x v="15"/>
  </r>
  <r>
    <n v="152762"/>
    <n v="1015"/>
    <x v="2"/>
    <d v="2023-06-20T00:00:00"/>
    <x v="119"/>
    <n v="6"/>
    <x v="2"/>
    <x v="7"/>
    <x v="2"/>
    <s v="Daniel Tonini"/>
    <n v="9099"/>
    <s v="No"/>
    <x v="63"/>
  </r>
  <r>
    <n v="153389"/>
    <n v="1715"/>
    <x v="0"/>
    <d v="2023-10-28T00:00:00"/>
    <x v="69"/>
    <n v="10"/>
    <x v="1"/>
    <x v="3"/>
    <x v="3"/>
    <s v="Valarie Nelson"/>
    <n v="2257"/>
    <s v="No"/>
    <x v="10"/>
  </r>
  <r>
    <n v="153440"/>
    <n v="1070"/>
    <x v="5"/>
    <d v="2023-11-17T00:00:00"/>
    <x v="133"/>
    <n v="11"/>
    <x v="0"/>
    <x v="2"/>
    <x v="3"/>
    <s v="Leslie Murphy"/>
    <n v="5399"/>
    <s v="No"/>
    <x v="52"/>
  </r>
  <r>
    <n v="153648"/>
    <n v="1459"/>
    <x v="3"/>
    <d v="2023-10-10T00:00:00"/>
    <x v="44"/>
    <n v="10"/>
    <x v="2"/>
    <x v="3"/>
    <x v="2"/>
    <s v="Akiko Shimamura"/>
    <n v="7435"/>
    <s v="No"/>
    <x v="0"/>
  </r>
  <r>
    <n v="153794"/>
    <n v="887"/>
    <x v="0"/>
    <d v="2023-01-14T00:00:00"/>
    <x v="108"/>
    <n v="1"/>
    <x v="1"/>
    <x v="9"/>
    <x v="0"/>
    <s v="Adrian Huxley"/>
    <n v="3781"/>
    <s v="No"/>
    <x v="9"/>
  </r>
  <r>
    <n v="155501"/>
    <n v="1703"/>
    <x v="3"/>
    <d v="2023-03-20T00:00:00"/>
    <x v="134"/>
    <n v="3"/>
    <x v="5"/>
    <x v="4"/>
    <x v="1"/>
    <s v="Kyung Yu"/>
    <n v="2102"/>
    <s v="No"/>
    <x v="67"/>
  </r>
  <r>
    <n v="155731"/>
    <n v="1212"/>
    <x v="5"/>
    <d v="2023-11-01T00:00:00"/>
    <x v="135"/>
    <n v="11"/>
    <x v="4"/>
    <x v="2"/>
    <x v="1"/>
    <s v="Maria Larsson"/>
    <n v="8205"/>
    <s v="No"/>
    <x v="64"/>
  </r>
  <r>
    <n v="157238"/>
    <n v="1100"/>
    <x v="4"/>
    <d v="2023-03-26T00:00:00"/>
    <x v="21"/>
    <n v="3"/>
    <x v="6"/>
    <x v="4"/>
    <x v="0"/>
    <s v="Daniel Tonini"/>
    <n v="5281"/>
    <s v="No"/>
    <x v="35"/>
  </r>
  <r>
    <n v="157882"/>
    <n v="72"/>
    <x v="4"/>
    <d v="2023-11-24T00:00:00"/>
    <x v="73"/>
    <n v="11"/>
    <x v="0"/>
    <x v="2"/>
    <x v="2"/>
    <s v="Yoshi Tannamuri"/>
    <n v="8982"/>
    <s v="No"/>
    <x v="65"/>
  </r>
  <r>
    <n v="158217"/>
    <n v="698"/>
    <x v="6"/>
    <d v="2023-05-29T00:00:00"/>
    <x v="23"/>
    <n v="5"/>
    <x v="5"/>
    <x v="11"/>
    <x v="1"/>
    <s v="Valarie Young"/>
    <n v="424"/>
    <s v="No"/>
    <x v="57"/>
  </r>
  <r>
    <n v="159503"/>
    <n v="333"/>
    <x v="7"/>
    <d v="2023-05-14T00:00:00"/>
    <x v="50"/>
    <n v="5"/>
    <x v="6"/>
    <x v="11"/>
    <x v="3"/>
    <s v="Julie Murphy"/>
    <n v="5295"/>
    <s v="No"/>
    <x v="64"/>
  </r>
  <r>
    <n v="160435"/>
    <n v="737"/>
    <x v="1"/>
    <d v="2023-06-06T00:00:00"/>
    <x v="136"/>
    <n v="6"/>
    <x v="2"/>
    <x v="7"/>
    <x v="0"/>
    <s v="Peter Ferguson"/>
    <n v="2127"/>
    <s v="No"/>
    <x v="53"/>
  </r>
  <r>
    <n v="160692"/>
    <n v="532"/>
    <x v="0"/>
    <d v="2023-11-06T00:00:00"/>
    <x v="121"/>
    <n v="11"/>
    <x v="5"/>
    <x v="2"/>
    <x v="1"/>
    <s v="Valarie Nelson"/>
    <n v="679"/>
    <s v="No"/>
    <x v="58"/>
  </r>
  <r>
    <n v="162458"/>
    <n v="1515"/>
    <x v="0"/>
    <d v="2023-12-06T00:00:00"/>
    <x v="28"/>
    <n v="12"/>
    <x v="4"/>
    <x v="0"/>
    <x v="2"/>
    <s v="Anna O'Hara"/>
    <n v="3793"/>
    <s v="No"/>
    <x v="26"/>
  </r>
  <r>
    <n v="163919"/>
    <n v="1635"/>
    <x v="0"/>
    <d v="2023-06-22T00:00:00"/>
    <x v="88"/>
    <n v="6"/>
    <x v="3"/>
    <x v="7"/>
    <x v="2"/>
    <s v="Julie Brown"/>
    <n v="4116"/>
    <s v="No"/>
    <x v="10"/>
  </r>
  <r>
    <n v="164155"/>
    <n v="820"/>
    <x v="2"/>
    <d v="2023-05-21T00:00:00"/>
    <x v="35"/>
    <n v="5"/>
    <x v="6"/>
    <x v="11"/>
    <x v="0"/>
    <s v="Anna O'Hara"/>
    <n v="6498"/>
    <s v="No"/>
    <x v="3"/>
  </r>
  <r>
    <n v="165080"/>
    <n v="715"/>
    <x v="0"/>
    <d v="2023-12-23T00:00:00"/>
    <x v="137"/>
    <n v="12"/>
    <x v="1"/>
    <x v="0"/>
    <x v="2"/>
    <s v="Jean Fresnisre"/>
    <n v="3378"/>
    <s v="No"/>
    <x v="49"/>
  </r>
  <r>
    <n v="165318"/>
    <n v="1759"/>
    <x v="4"/>
    <d v="2023-02-09T00:00:00"/>
    <x v="0"/>
    <n v="2"/>
    <x v="3"/>
    <x v="5"/>
    <x v="2"/>
    <s v="Diego Freyre"/>
    <n v="3573"/>
    <s v="No"/>
    <x v="13"/>
  </r>
  <r>
    <n v="165674"/>
    <n v="614"/>
    <x v="0"/>
    <d v="2023-11-29T00:00:00"/>
    <x v="21"/>
    <n v="11"/>
    <x v="4"/>
    <x v="2"/>
    <x v="3"/>
    <s v="Kwai Yu"/>
    <n v="8831"/>
    <s v="No"/>
    <x v="40"/>
  </r>
  <r>
    <n v="165835"/>
    <n v="1191"/>
    <x v="6"/>
    <d v="2023-05-31T00:00:00"/>
    <x v="61"/>
    <n v="5"/>
    <x v="4"/>
    <x v="11"/>
    <x v="3"/>
    <s v="Paul Henriot"/>
    <n v="2282"/>
    <s v="No"/>
    <x v="68"/>
  </r>
  <r>
    <n v="166687"/>
    <n v="813"/>
    <x v="5"/>
    <d v="2023-05-21T00:00:00"/>
    <x v="67"/>
    <n v="5"/>
    <x v="6"/>
    <x v="11"/>
    <x v="2"/>
    <s v="Daniel Da Cunha"/>
    <n v="2254"/>
    <s v="No"/>
    <x v="66"/>
  </r>
  <r>
    <n v="167720"/>
    <n v="1887"/>
    <x v="4"/>
    <d v="2023-12-02T00:00:00"/>
    <x v="67"/>
    <n v="12"/>
    <x v="1"/>
    <x v="0"/>
    <x v="3"/>
    <s v="Julie Young"/>
    <n v="8941"/>
    <s v="No"/>
    <x v="20"/>
  </r>
  <r>
    <n v="169945"/>
    <n v="1325"/>
    <x v="4"/>
    <d v="2023-07-04T00:00:00"/>
    <x v="73"/>
    <n v="7"/>
    <x v="2"/>
    <x v="6"/>
    <x v="1"/>
    <s v="Julie Brown"/>
    <n v="9136"/>
    <s v="No"/>
    <x v="3"/>
  </r>
  <r>
    <n v="170046"/>
    <n v="242"/>
    <x v="0"/>
    <d v="2023-01-16T00:00:00"/>
    <x v="42"/>
    <n v="1"/>
    <x v="5"/>
    <x v="9"/>
    <x v="3"/>
    <s v="Anna O'Hara"/>
    <n v="9317"/>
    <s v="No"/>
    <x v="27"/>
  </r>
  <r>
    <n v="170058"/>
    <n v="446"/>
    <x v="0"/>
    <d v="2023-11-11T00:00:00"/>
    <x v="0"/>
    <n v="11"/>
    <x v="1"/>
    <x v="2"/>
    <x v="3"/>
    <s v="Martine Rance"/>
    <n v="8184"/>
    <s v="No"/>
    <x v="25"/>
  </r>
  <r>
    <n v="170864"/>
    <n v="1870"/>
    <x v="0"/>
    <d v="2023-05-09T00:00:00"/>
    <x v="138"/>
    <n v="5"/>
    <x v="2"/>
    <x v="11"/>
    <x v="0"/>
    <s v="Julie Young"/>
    <n v="4281"/>
    <s v="No"/>
    <x v="36"/>
  </r>
  <r>
    <n v="170991"/>
    <n v="1845"/>
    <x v="10"/>
    <d v="2023-07-02T00:00:00"/>
    <x v="38"/>
    <n v="7"/>
    <x v="6"/>
    <x v="6"/>
    <x v="1"/>
    <s v="Julie Murphy"/>
    <n v="2460"/>
    <s v="No"/>
    <x v="69"/>
  </r>
  <r>
    <n v="171269"/>
    <n v="516"/>
    <x v="3"/>
    <d v="2023-08-22T00:00:00"/>
    <x v="139"/>
    <n v="8"/>
    <x v="2"/>
    <x v="8"/>
    <x v="1"/>
    <s v="Dominique Perrier"/>
    <n v="5709"/>
    <s v="No"/>
    <x v="66"/>
  </r>
  <r>
    <n v="171420"/>
    <n v="614"/>
    <x v="0"/>
    <d v="2023-01-17T00:00:00"/>
    <x v="93"/>
    <n v="1"/>
    <x v="2"/>
    <x v="9"/>
    <x v="2"/>
    <s v="Martine Rance"/>
    <n v="8738"/>
    <s v="No"/>
    <x v="40"/>
  </r>
  <r>
    <n v="172114"/>
    <n v="264"/>
    <x v="0"/>
    <d v="2023-02-22T00:00:00"/>
    <x v="54"/>
    <n v="2"/>
    <x v="4"/>
    <x v="5"/>
    <x v="1"/>
    <s v="Michael Frick"/>
    <n v="5214"/>
    <s v="No"/>
    <x v="7"/>
  </r>
  <r>
    <n v="172649"/>
    <n v="1816"/>
    <x v="4"/>
    <d v="2023-02-24T00:00:00"/>
    <x v="44"/>
    <n v="2"/>
    <x v="0"/>
    <x v="5"/>
    <x v="1"/>
    <s v="William Brown"/>
    <n v="6377"/>
    <s v="No"/>
    <x v="21"/>
  </r>
  <r>
    <n v="174652"/>
    <n v="218"/>
    <x v="3"/>
    <d v="2023-11-24T00:00:00"/>
    <x v="134"/>
    <n v="11"/>
    <x v="0"/>
    <x v="2"/>
    <x v="1"/>
    <s v="Julie King"/>
    <n v="9736"/>
    <s v="No"/>
    <x v="6"/>
  </r>
  <r>
    <n v="174998"/>
    <n v="1303"/>
    <x v="4"/>
    <d v="2023-03-01T00:00:00"/>
    <x v="94"/>
    <n v="3"/>
    <x v="4"/>
    <x v="4"/>
    <x v="1"/>
    <s v="Miguel Barajas"/>
    <n v="5209"/>
    <s v="No"/>
    <x v="49"/>
  </r>
  <r>
    <n v="175577"/>
    <n v="515"/>
    <x v="4"/>
    <d v="2023-11-21T00:00:00"/>
    <x v="102"/>
    <n v="11"/>
    <x v="2"/>
    <x v="2"/>
    <x v="0"/>
    <s v="Marta Hernandez"/>
    <n v="5334"/>
    <s v="No"/>
    <x v="2"/>
  </r>
  <r>
    <n v="177047"/>
    <n v="1189"/>
    <x v="3"/>
    <d v="2023-08-13T00:00:00"/>
    <x v="140"/>
    <n v="8"/>
    <x v="6"/>
    <x v="8"/>
    <x v="3"/>
    <s v="Matti Karttunen"/>
    <n v="2516"/>
    <s v="No"/>
    <x v="45"/>
  </r>
  <r>
    <n v="177753"/>
    <n v="790"/>
    <x v="1"/>
    <d v="2023-08-06T00:00:00"/>
    <x v="85"/>
    <n v="8"/>
    <x v="6"/>
    <x v="8"/>
    <x v="3"/>
    <s v="Jonas Bergulfsen"/>
    <n v="5420"/>
    <s v="No"/>
    <x v="67"/>
  </r>
  <r>
    <n v="177897"/>
    <n v="1698"/>
    <x v="3"/>
    <d v="2023-08-05T00:00:00"/>
    <x v="27"/>
    <n v="8"/>
    <x v="1"/>
    <x v="8"/>
    <x v="3"/>
    <s v="Kee Kuo"/>
    <n v="8289"/>
    <s v="No"/>
    <x v="6"/>
  </r>
  <r>
    <n v="177908"/>
    <n v="1848"/>
    <x v="0"/>
    <d v="2023-04-29T00:00:00"/>
    <x v="141"/>
    <n v="4"/>
    <x v="1"/>
    <x v="1"/>
    <x v="2"/>
    <s v="Kwai Yu"/>
    <n v="1341"/>
    <s v="No"/>
    <x v="42"/>
  </r>
  <r>
    <n v="178044"/>
    <n v="1576"/>
    <x v="0"/>
    <d v="2023-02-04T00:00:00"/>
    <x v="142"/>
    <n v="2"/>
    <x v="1"/>
    <x v="5"/>
    <x v="1"/>
    <s v="Georg Pipps"/>
    <n v="8097"/>
    <s v="No"/>
    <x v="41"/>
  </r>
  <r>
    <n v="178761"/>
    <n v="1021"/>
    <x v="5"/>
    <d v="2023-02-25T00:00:00"/>
    <x v="106"/>
    <n v="2"/>
    <x v="1"/>
    <x v="5"/>
    <x v="2"/>
    <s v="Juri Hirano"/>
    <n v="2487"/>
    <s v="No"/>
    <x v="22"/>
  </r>
  <r>
    <n v="179974"/>
    <n v="1547"/>
    <x v="3"/>
    <d v="2023-05-18T00:00:00"/>
    <x v="51"/>
    <n v="5"/>
    <x v="3"/>
    <x v="11"/>
    <x v="2"/>
    <s v="Janine Labrune"/>
    <n v="5106"/>
    <s v="No"/>
    <x v="2"/>
  </r>
  <r>
    <n v="180507"/>
    <n v="1459"/>
    <x v="3"/>
    <d v="2023-05-15T00:00:00"/>
    <x v="55"/>
    <n v="5"/>
    <x v="5"/>
    <x v="11"/>
    <x v="2"/>
    <s v="Violeta Benitez"/>
    <n v="1697"/>
    <s v="No"/>
    <x v="0"/>
  </r>
  <r>
    <n v="180775"/>
    <n v="645"/>
    <x v="13"/>
    <d v="2023-03-20T00:00:00"/>
    <x v="48"/>
    <n v="3"/>
    <x v="5"/>
    <x v="4"/>
    <x v="2"/>
    <s v="Elizabeth Devon"/>
    <n v="4981"/>
    <s v="No"/>
    <x v="28"/>
  </r>
  <r>
    <n v="182197"/>
    <n v="74"/>
    <x v="0"/>
    <d v="2023-06-04T00:00:00"/>
    <x v="143"/>
    <n v="6"/>
    <x v="6"/>
    <x v="7"/>
    <x v="3"/>
    <s v="Diego Freyre"/>
    <n v="801"/>
    <s v="No"/>
    <x v="9"/>
  </r>
  <r>
    <n v="182299"/>
    <n v="570"/>
    <x v="1"/>
    <d v="2023-10-13T00:00:00"/>
    <x v="53"/>
    <n v="10"/>
    <x v="0"/>
    <x v="3"/>
    <x v="3"/>
    <s v="Diego Freyre"/>
    <n v="2238"/>
    <s v="No"/>
    <x v="50"/>
  </r>
  <r>
    <n v="182441"/>
    <n v="1694"/>
    <x v="12"/>
    <d v="2023-12-18T00:00:00"/>
    <x v="144"/>
    <n v="12"/>
    <x v="5"/>
    <x v="0"/>
    <x v="1"/>
    <s v="Eric Natividad"/>
    <n v="1072"/>
    <s v="No"/>
    <x v="69"/>
  </r>
  <r>
    <n v="183352"/>
    <n v="1682"/>
    <x v="3"/>
    <d v="2023-10-16T00:00:00"/>
    <x v="67"/>
    <n v="10"/>
    <x v="5"/>
    <x v="3"/>
    <x v="1"/>
    <s v="Jeff Young"/>
    <n v="8347"/>
    <s v="No"/>
    <x v="54"/>
  </r>
  <r>
    <n v="183380"/>
    <n v="1712"/>
    <x v="7"/>
    <d v="2023-07-06T00:00:00"/>
    <x v="72"/>
    <n v="7"/>
    <x v="3"/>
    <x v="6"/>
    <x v="1"/>
    <s v="Valarie Nelson"/>
    <n v="1046"/>
    <s v="No"/>
    <x v="43"/>
  </r>
  <r>
    <n v="183654"/>
    <n v="618"/>
    <x v="10"/>
    <d v="2023-08-14T00:00:00"/>
    <x v="114"/>
    <n v="8"/>
    <x v="5"/>
    <x v="8"/>
    <x v="0"/>
    <s v="Diego Freyre"/>
    <n v="1434"/>
    <s v="No"/>
    <x v="30"/>
  </r>
  <r>
    <n v="184958"/>
    <n v="1354"/>
    <x v="5"/>
    <d v="2023-08-12T00:00:00"/>
    <x v="28"/>
    <n v="8"/>
    <x v="1"/>
    <x v="8"/>
    <x v="0"/>
    <s v="Eric Natividad"/>
    <n v="39"/>
    <s v="No"/>
    <x v="17"/>
  </r>
  <r>
    <n v="185213"/>
    <n v="868"/>
    <x v="11"/>
    <d v="2023-04-16T00:00:00"/>
    <x v="145"/>
    <n v="4"/>
    <x v="6"/>
    <x v="1"/>
    <x v="3"/>
    <s v="Maurizio Moroni"/>
    <n v="4245"/>
    <s v="No"/>
    <x v="34"/>
  </r>
  <r>
    <n v="185809"/>
    <n v="1830"/>
    <x v="6"/>
    <d v="2023-03-08T00:00:00"/>
    <x v="131"/>
    <n v="3"/>
    <x v="4"/>
    <x v="4"/>
    <x v="1"/>
    <s v="Wing C Tam"/>
    <n v="3863"/>
    <s v="No"/>
    <x v="60"/>
  </r>
  <r>
    <n v="187527"/>
    <n v="877"/>
    <x v="1"/>
    <d v="2023-04-07T00:00:00"/>
    <x v="142"/>
    <n v="4"/>
    <x v="0"/>
    <x v="1"/>
    <x v="1"/>
    <s v="Leslie Murphy"/>
    <n v="6774"/>
    <s v="No"/>
    <x v="61"/>
  </r>
  <r>
    <n v="187746"/>
    <n v="500"/>
    <x v="0"/>
    <d v="2023-10-21T00:00:00"/>
    <x v="19"/>
    <n v="10"/>
    <x v="1"/>
    <x v="3"/>
    <x v="0"/>
    <s v="Mary Saveley"/>
    <n v="946"/>
    <s v="No"/>
    <x v="55"/>
  </r>
  <r>
    <n v="188610"/>
    <n v="1057"/>
    <x v="4"/>
    <d v="2023-02-05T00:00:00"/>
    <x v="146"/>
    <n v="2"/>
    <x v="6"/>
    <x v="5"/>
    <x v="3"/>
    <s v="Dean Cassidy"/>
    <n v="597"/>
    <s v="No"/>
    <x v="37"/>
  </r>
  <r>
    <n v="188856"/>
    <n v="1984"/>
    <x v="6"/>
    <d v="2023-11-21T00:00:00"/>
    <x v="144"/>
    <n v="11"/>
    <x v="2"/>
    <x v="2"/>
    <x v="1"/>
    <s v="Roland Keitel"/>
    <n v="4243"/>
    <s v="No"/>
    <x v="23"/>
  </r>
  <r>
    <n v="191639"/>
    <n v="1293"/>
    <x v="0"/>
    <d v="2023-04-26T00:00:00"/>
    <x v="1"/>
    <n v="4"/>
    <x v="4"/>
    <x v="1"/>
    <x v="3"/>
    <s v="Kalle Suominen"/>
    <n v="957"/>
    <s v="No"/>
    <x v="4"/>
  </r>
  <r>
    <n v="193342"/>
    <n v="1974"/>
    <x v="0"/>
    <d v="2023-03-17T00:00:00"/>
    <x v="118"/>
    <n v="3"/>
    <x v="0"/>
    <x v="4"/>
    <x v="0"/>
    <s v="Kyung Yu"/>
    <n v="242"/>
    <s v="No"/>
    <x v="8"/>
  </r>
  <r>
    <n v="194632"/>
    <n v="1962"/>
    <x v="0"/>
    <d v="2023-01-02T00:00:00"/>
    <x v="51"/>
    <n v="1"/>
    <x v="5"/>
    <x v="9"/>
    <x v="3"/>
    <s v="Valarie Nelson"/>
    <n v="8267"/>
    <s v="No"/>
    <x v="12"/>
  </r>
  <r>
    <n v="194894"/>
    <n v="1210"/>
    <x v="4"/>
    <d v="2023-11-06T00:00:00"/>
    <x v="147"/>
    <n v="11"/>
    <x v="5"/>
    <x v="2"/>
    <x v="3"/>
    <s v="Paolo Accorti"/>
    <n v="8013"/>
    <s v="No"/>
    <x v="51"/>
  </r>
  <r>
    <n v="195686"/>
    <n v="67"/>
    <x v="2"/>
    <d v="2023-09-07T00:00:00"/>
    <x v="121"/>
    <n v="9"/>
    <x v="3"/>
    <x v="10"/>
    <x v="1"/>
    <s v="Victoria Ashworth"/>
    <n v="2651"/>
    <s v="No"/>
    <x v="66"/>
  </r>
  <r>
    <n v="195704"/>
    <n v="1260"/>
    <x v="3"/>
    <d v="2023-02-16T00:00:00"/>
    <x v="148"/>
    <n v="2"/>
    <x v="3"/>
    <x v="5"/>
    <x v="1"/>
    <s v="Palle Ibsen"/>
    <n v="6946"/>
    <s v="No"/>
    <x v="25"/>
  </r>
  <r>
    <n v="196116"/>
    <n v="1831"/>
    <x v="0"/>
    <d v="2023-11-24T00:00:00"/>
    <x v="149"/>
    <n v="11"/>
    <x v="0"/>
    <x v="2"/>
    <x v="3"/>
    <s v="Michael Frick"/>
    <n v="7358"/>
    <s v="No"/>
    <x v="68"/>
  </r>
  <r>
    <n v="196148"/>
    <n v="325"/>
    <x v="3"/>
    <d v="2023-01-15T00:00:00"/>
    <x v="92"/>
    <n v="1"/>
    <x v="6"/>
    <x v="9"/>
    <x v="2"/>
    <s v="Marie Bertrand"/>
    <n v="8010"/>
    <s v="No"/>
    <x v="35"/>
  </r>
  <r>
    <n v="196872"/>
    <n v="1250"/>
    <x v="0"/>
    <d v="2023-09-25T00:00:00"/>
    <x v="32"/>
    <n v="9"/>
    <x v="5"/>
    <x v="10"/>
    <x v="3"/>
    <s v="Mart¡n Sommer"/>
    <n v="5888"/>
    <s v="No"/>
    <x v="56"/>
  </r>
  <r>
    <n v="197854"/>
    <n v="347"/>
    <x v="13"/>
    <d v="2023-08-31T00:00:00"/>
    <x v="150"/>
    <n v="8"/>
    <x v="3"/>
    <x v="8"/>
    <x v="3"/>
    <s v="Diego Freyre"/>
    <n v="1674"/>
    <s v="No"/>
    <x v="0"/>
  </r>
  <r>
    <n v="197952"/>
    <n v="1843"/>
    <x v="0"/>
    <d v="2023-02-03T00:00:00"/>
    <x v="151"/>
    <n v="2"/>
    <x v="0"/>
    <x v="5"/>
    <x v="3"/>
    <s v="Akiko Shimamura"/>
    <n v="1453"/>
    <s v="No"/>
    <x v="1"/>
  </r>
  <r>
    <n v="198251"/>
    <n v="1589"/>
    <x v="0"/>
    <d v="2023-02-12T00:00:00"/>
    <x v="85"/>
    <n v="2"/>
    <x v="6"/>
    <x v="5"/>
    <x v="2"/>
    <s v="Valarie Nelson"/>
    <n v="8821"/>
    <s v="No"/>
    <x v="1"/>
  </r>
  <r>
    <n v="198841"/>
    <n v="1735"/>
    <x v="10"/>
    <d v="2023-07-24T00:00:00"/>
    <x v="83"/>
    <n v="7"/>
    <x v="5"/>
    <x v="6"/>
    <x v="0"/>
    <s v="Julie King"/>
    <n v="4094"/>
    <s v="No"/>
    <x v="15"/>
  </r>
  <r>
    <n v="199110"/>
    <n v="104"/>
    <x v="6"/>
    <d v="2023-05-21T00:00:00"/>
    <x v="77"/>
    <n v="5"/>
    <x v="6"/>
    <x v="11"/>
    <x v="1"/>
    <s v="Arnold Cruz"/>
    <n v="717"/>
    <s v="No"/>
    <x v="7"/>
  </r>
  <r>
    <n v="200851"/>
    <n v="71"/>
    <x v="1"/>
    <d v="2023-12-03T00:00:00"/>
    <x v="27"/>
    <n v="12"/>
    <x v="6"/>
    <x v="0"/>
    <x v="3"/>
    <s v="Laurence Lebihan"/>
    <n v="8510"/>
    <s v="No"/>
    <x v="68"/>
  </r>
  <r>
    <n v="202059"/>
    <n v="712"/>
    <x v="0"/>
    <d v="2023-03-27T00:00:00"/>
    <x v="124"/>
    <n v="3"/>
    <x v="5"/>
    <x v="4"/>
    <x v="1"/>
    <s v="Valarie Nelson"/>
    <n v="7202"/>
    <s v="No"/>
    <x v="70"/>
  </r>
  <r>
    <n v="202315"/>
    <n v="1518"/>
    <x v="0"/>
    <d v="2023-01-04T00:00:00"/>
    <x v="59"/>
    <n v="1"/>
    <x v="4"/>
    <x v="9"/>
    <x v="1"/>
    <s v="Michael Chandler"/>
    <n v="6344"/>
    <s v="No"/>
    <x v="50"/>
  </r>
  <r>
    <n v="202334"/>
    <n v="358"/>
    <x v="4"/>
    <d v="2023-09-02T00:00:00"/>
    <x v="44"/>
    <n v="9"/>
    <x v="1"/>
    <x v="10"/>
    <x v="0"/>
    <s v="Allen Nelson"/>
    <n v="4560"/>
    <s v="No"/>
    <x v="63"/>
  </r>
  <r>
    <n v="202389"/>
    <n v="1641"/>
    <x v="7"/>
    <d v="2023-07-23T00:00:00"/>
    <x v="101"/>
    <n v="7"/>
    <x v="6"/>
    <x v="6"/>
    <x v="2"/>
    <s v="Roland Mendel"/>
    <n v="1709"/>
    <s v="No"/>
    <x v="67"/>
  </r>
  <r>
    <n v="205425"/>
    <n v="1760"/>
    <x v="3"/>
    <d v="2023-09-21T00:00:00"/>
    <x v="32"/>
    <n v="9"/>
    <x v="3"/>
    <x v="10"/>
    <x v="0"/>
    <s v="Veysel Oeztan"/>
    <n v="9729"/>
    <s v="No"/>
    <x v="11"/>
  </r>
  <r>
    <n v="208396"/>
    <n v="186"/>
    <x v="5"/>
    <d v="2023-04-17T00:00:00"/>
    <x v="152"/>
    <n v="4"/>
    <x v="5"/>
    <x v="1"/>
    <x v="1"/>
    <s v="Henriette Pfalzheim"/>
    <n v="9712"/>
    <s v="No"/>
    <x v="42"/>
  </r>
  <r>
    <n v="209068"/>
    <n v="1704"/>
    <x v="0"/>
    <d v="2023-04-03T00:00:00"/>
    <x v="153"/>
    <n v="4"/>
    <x v="5"/>
    <x v="1"/>
    <x v="1"/>
    <s v="Diego Freyre"/>
    <n v="119"/>
    <s v="No"/>
    <x v="25"/>
  </r>
  <r>
    <n v="209185"/>
    <n v="541"/>
    <x v="0"/>
    <d v="2023-08-28T00:00:00"/>
    <x v="61"/>
    <n v="8"/>
    <x v="5"/>
    <x v="8"/>
    <x v="3"/>
    <s v="Diego Freyre"/>
    <n v="4430"/>
    <s v="No"/>
    <x v="67"/>
  </r>
  <r>
    <n v="211600"/>
    <n v="937"/>
    <x v="7"/>
    <d v="2023-08-05T00:00:00"/>
    <x v="84"/>
    <n v="8"/>
    <x v="1"/>
    <x v="8"/>
    <x v="0"/>
    <s v="Michael Holz"/>
    <n v="8720"/>
    <s v="No"/>
    <x v="29"/>
  </r>
  <r>
    <n v="213090"/>
    <n v="10"/>
    <x v="8"/>
    <d v="2023-10-09T00:00:00"/>
    <x v="130"/>
    <n v="10"/>
    <x v="5"/>
    <x v="3"/>
    <x v="0"/>
    <s v="Jytte Petersen"/>
    <n v="9353"/>
    <s v="No"/>
    <x v="24"/>
  </r>
  <r>
    <n v="213254"/>
    <n v="1344"/>
    <x v="4"/>
    <d v="2023-07-28T00:00:00"/>
    <x v="67"/>
    <n v="7"/>
    <x v="0"/>
    <x v="6"/>
    <x v="3"/>
    <s v="Elizabeth Devon"/>
    <n v="3943"/>
    <s v="No"/>
    <x v="28"/>
  </r>
  <r>
    <n v="213804"/>
    <n v="1473"/>
    <x v="0"/>
    <d v="2023-07-08T00:00:00"/>
    <x v="35"/>
    <n v="7"/>
    <x v="1"/>
    <x v="6"/>
    <x v="3"/>
    <s v="Maurizio Moroni"/>
    <n v="7453"/>
    <s v="No"/>
    <x v="28"/>
  </r>
  <r>
    <n v="214073"/>
    <n v="336"/>
    <x v="4"/>
    <d v="2023-01-16T00:00:00"/>
    <x v="109"/>
    <n v="1"/>
    <x v="5"/>
    <x v="9"/>
    <x v="1"/>
    <s v="Miguel Barajas"/>
    <n v="730"/>
    <s v="No"/>
    <x v="47"/>
  </r>
  <r>
    <n v="214251"/>
    <n v="1952"/>
    <x v="0"/>
    <d v="2023-04-17T00:00:00"/>
    <x v="42"/>
    <n v="4"/>
    <x v="5"/>
    <x v="1"/>
    <x v="1"/>
    <s v="Michael Holz"/>
    <n v="492"/>
    <s v="No"/>
    <x v="22"/>
  </r>
  <r>
    <n v="214516"/>
    <n v="1840"/>
    <x v="0"/>
    <d v="2023-07-27T00:00:00"/>
    <x v="154"/>
    <n v="7"/>
    <x v="3"/>
    <x v="6"/>
    <x v="3"/>
    <s v="Roland Keitel"/>
    <n v="1356"/>
    <s v="No"/>
    <x v="69"/>
  </r>
  <r>
    <n v="214557"/>
    <n v="613"/>
    <x v="1"/>
    <d v="2023-06-05T00:00:00"/>
    <x v="39"/>
    <n v="6"/>
    <x v="5"/>
    <x v="7"/>
    <x v="1"/>
    <s v="Henriette Pfalzheim"/>
    <n v="5981"/>
    <s v="No"/>
    <x v="66"/>
  </r>
  <r>
    <n v="216256"/>
    <n v="1521"/>
    <x v="0"/>
    <d v="2023-01-26T00:00:00"/>
    <x v="21"/>
    <n v="1"/>
    <x v="3"/>
    <x v="9"/>
    <x v="3"/>
    <s v="Christina Berglund"/>
    <n v="3720"/>
    <s v="No"/>
    <x v="51"/>
  </r>
  <r>
    <n v="217952"/>
    <n v="1102"/>
    <x v="1"/>
    <d v="2023-09-24T00:00:00"/>
    <x v="43"/>
    <n v="9"/>
    <x v="6"/>
    <x v="10"/>
    <x v="1"/>
    <s v="Kwai Yu"/>
    <n v="3521"/>
    <s v="No"/>
    <x v="50"/>
  </r>
  <r>
    <n v="218379"/>
    <n v="831"/>
    <x v="2"/>
    <d v="2023-02-19T00:00:00"/>
    <x v="140"/>
    <n v="2"/>
    <x v="6"/>
    <x v="5"/>
    <x v="3"/>
    <s v="Georg Pipps"/>
    <n v="8241"/>
    <s v="No"/>
    <x v="45"/>
  </r>
  <r>
    <n v="219884"/>
    <n v="802"/>
    <x v="3"/>
    <d v="2023-01-19T00:00:00"/>
    <x v="155"/>
    <n v="1"/>
    <x v="3"/>
    <x v="9"/>
    <x v="1"/>
    <s v="Kalle Suominen"/>
    <n v="2233"/>
    <s v="No"/>
    <x v="20"/>
  </r>
  <r>
    <n v="220292"/>
    <n v="1785"/>
    <x v="5"/>
    <d v="2023-05-02T00:00:00"/>
    <x v="148"/>
    <n v="5"/>
    <x v="2"/>
    <x v="11"/>
    <x v="2"/>
    <s v="Leslie Young"/>
    <n v="3987"/>
    <s v="No"/>
    <x v="53"/>
  </r>
  <r>
    <n v="220733"/>
    <n v="1875"/>
    <x v="3"/>
    <d v="2023-01-05T00:00:00"/>
    <x v="10"/>
    <n v="1"/>
    <x v="3"/>
    <x v="9"/>
    <x v="0"/>
    <s v="Maria Larsson"/>
    <n v="6006"/>
    <s v="No"/>
    <x v="14"/>
  </r>
  <r>
    <n v="221857"/>
    <n v="1244"/>
    <x v="4"/>
    <d v="2023-07-17T00:00:00"/>
    <x v="156"/>
    <n v="7"/>
    <x v="5"/>
    <x v="6"/>
    <x v="0"/>
    <s v="Georg Pipps"/>
    <n v="4142"/>
    <s v="No"/>
    <x v="1"/>
  </r>
  <r>
    <n v="222114"/>
    <n v="208"/>
    <x v="0"/>
    <d v="2023-07-13T00:00:00"/>
    <x v="101"/>
    <n v="7"/>
    <x v="3"/>
    <x v="6"/>
    <x v="2"/>
    <s v="Jytte Petersen"/>
    <n v="4738"/>
    <s v="No"/>
    <x v="11"/>
  </r>
  <r>
    <n v="224155"/>
    <n v="753"/>
    <x v="0"/>
    <d v="2023-10-13T00:00:00"/>
    <x v="126"/>
    <n v="10"/>
    <x v="0"/>
    <x v="3"/>
    <x v="3"/>
    <s v="Eric Natividad"/>
    <n v="4988"/>
    <s v="No"/>
    <x v="65"/>
  </r>
  <r>
    <n v="225264"/>
    <n v="1973"/>
    <x v="0"/>
    <d v="2023-09-17T00:00:00"/>
    <x v="102"/>
    <n v="9"/>
    <x v="6"/>
    <x v="10"/>
    <x v="2"/>
    <s v="Jeff Young"/>
    <n v="5089"/>
    <s v="No"/>
    <x v="71"/>
  </r>
  <r>
    <n v="226876"/>
    <n v="150"/>
    <x v="0"/>
    <d v="2023-01-30T00:00:00"/>
    <x v="133"/>
    <n v="1"/>
    <x v="5"/>
    <x v="9"/>
    <x v="3"/>
    <s v="Valarie Nelson"/>
    <n v="17"/>
    <s v="No"/>
    <x v="34"/>
  </r>
  <r>
    <n v="228177"/>
    <n v="1272"/>
    <x v="6"/>
    <d v="2023-05-08T00:00:00"/>
    <x v="36"/>
    <n v="5"/>
    <x v="5"/>
    <x v="11"/>
    <x v="2"/>
    <s v="Diego Freyre"/>
    <n v="8567"/>
    <s v="No"/>
    <x v="36"/>
  </r>
  <r>
    <n v="228562"/>
    <n v="1812"/>
    <x v="4"/>
    <d v="2023-10-09T00:00:00"/>
    <x v="49"/>
    <n v="10"/>
    <x v="5"/>
    <x v="3"/>
    <x v="1"/>
    <s v="Eric Natividad"/>
    <n v="1733"/>
    <s v="No"/>
    <x v="22"/>
  </r>
  <r>
    <n v="229056"/>
    <n v="594"/>
    <x v="0"/>
    <d v="2023-06-06T00:00:00"/>
    <x v="157"/>
    <n v="6"/>
    <x v="2"/>
    <x v="7"/>
    <x v="0"/>
    <s v="Maurizio Moroni"/>
    <n v="4328"/>
    <s v="No"/>
    <x v="30"/>
  </r>
  <r>
    <n v="229843"/>
    <n v="1527"/>
    <x v="2"/>
    <d v="2023-03-17T00:00:00"/>
    <x v="158"/>
    <n v="3"/>
    <x v="0"/>
    <x v="4"/>
    <x v="0"/>
    <s v="Wing C Tam"/>
    <n v="4155"/>
    <s v="No"/>
    <x v="38"/>
  </r>
  <r>
    <n v="231094"/>
    <n v="680"/>
    <x v="0"/>
    <d v="2023-11-29T00:00:00"/>
    <x v="93"/>
    <n v="11"/>
    <x v="4"/>
    <x v="2"/>
    <x v="0"/>
    <s v="Leslie Murphy"/>
    <n v="7379"/>
    <s v="No"/>
    <x v="49"/>
  </r>
  <r>
    <n v="232129"/>
    <n v="67"/>
    <x v="2"/>
    <d v="2023-11-20T00:00:00"/>
    <x v="1"/>
    <n v="11"/>
    <x v="5"/>
    <x v="2"/>
    <x v="0"/>
    <s v="Mary Saveley"/>
    <n v="6264"/>
    <s v="No"/>
    <x v="66"/>
  </r>
  <r>
    <n v="232261"/>
    <n v="1269"/>
    <x v="11"/>
    <d v="2023-08-31T00:00:00"/>
    <x v="55"/>
    <n v="8"/>
    <x v="3"/>
    <x v="8"/>
    <x v="1"/>
    <s v="Dean Cassidy"/>
    <n v="434"/>
    <s v="No"/>
    <x v="68"/>
  </r>
  <r>
    <n v="232274"/>
    <n v="1647"/>
    <x v="0"/>
    <d v="2023-12-22T00:00:00"/>
    <x v="124"/>
    <n v="12"/>
    <x v="0"/>
    <x v="0"/>
    <x v="2"/>
    <s v="Jesus Fernandez"/>
    <n v="8947"/>
    <s v="No"/>
    <x v="13"/>
  </r>
  <r>
    <n v="233409"/>
    <n v="1393"/>
    <x v="2"/>
    <d v="2023-11-01T00:00:00"/>
    <x v="159"/>
    <n v="11"/>
    <x v="4"/>
    <x v="2"/>
    <x v="2"/>
    <s v="Kalle Suominen"/>
    <n v="9750"/>
    <s v="No"/>
    <x v="15"/>
  </r>
  <r>
    <n v="233843"/>
    <n v="1577"/>
    <x v="3"/>
    <d v="2023-04-23T00:00:00"/>
    <x v="28"/>
    <n v="4"/>
    <x v="6"/>
    <x v="1"/>
    <x v="2"/>
    <s v="Kyung Yu"/>
    <n v="6392"/>
    <s v="No"/>
    <x v="39"/>
  </r>
  <r>
    <n v="234705"/>
    <n v="1367"/>
    <x v="2"/>
    <d v="2023-09-15T00:00:00"/>
    <x v="63"/>
    <n v="9"/>
    <x v="0"/>
    <x v="10"/>
    <x v="0"/>
    <s v="Valarie Nelson"/>
    <n v="1662"/>
    <s v="No"/>
    <x v="5"/>
  </r>
  <r>
    <n v="235219"/>
    <n v="1829"/>
    <x v="6"/>
    <d v="2023-11-06T00:00:00"/>
    <x v="73"/>
    <n v="11"/>
    <x v="5"/>
    <x v="2"/>
    <x v="2"/>
    <s v="Paolo Accorti"/>
    <n v="4965"/>
    <s v="No"/>
    <x v="43"/>
  </r>
  <r>
    <n v="235760"/>
    <n v="1816"/>
    <x v="4"/>
    <d v="2023-11-20T00:00:00"/>
    <x v="42"/>
    <n v="11"/>
    <x v="5"/>
    <x v="2"/>
    <x v="2"/>
    <s v="Victoria Ashworth"/>
    <n v="4835"/>
    <s v="No"/>
    <x v="21"/>
  </r>
  <r>
    <n v="237369"/>
    <n v="401"/>
    <x v="1"/>
    <d v="2023-05-10T00:00:00"/>
    <x v="6"/>
    <n v="5"/>
    <x v="4"/>
    <x v="11"/>
    <x v="3"/>
    <s v="Palle Ibsen"/>
    <n v="2313"/>
    <s v="No"/>
    <x v="40"/>
  </r>
  <r>
    <n v="238602"/>
    <n v="153"/>
    <x v="0"/>
    <d v="2023-04-01T00:00:00"/>
    <x v="52"/>
    <n v="4"/>
    <x v="1"/>
    <x v="1"/>
    <x v="0"/>
    <s v="Jonas Bergulfsen"/>
    <n v="951"/>
    <s v="No"/>
    <x v="11"/>
  </r>
  <r>
    <n v="238793"/>
    <n v="1574"/>
    <x v="9"/>
    <d v="2023-04-10T00:00:00"/>
    <x v="160"/>
    <n v="4"/>
    <x v="5"/>
    <x v="1"/>
    <x v="1"/>
    <s v="Marie Bertrand"/>
    <n v="3650"/>
    <s v="No"/>
    <x v="40"/>
  </r>
  <r>
    <n v="238839"/>
    <n v="766"/>
    <x v="0"/>
    <d v="2023-06-15T00:00:00"/>
    <x v="30"/>
    <n v="6"/>
    <x v="3"/>
    <x v="7"/>
    <x v="3"/>
    <s v="Jeff Young"/>
    <n v="1367"/>
    <s v="No"/>
    <x v="20"/>
  </r>
  <r>
    <n v="241257"/>
    <n v="1374"/>
    <x v="3"/>
    <d v="2023-04-11T00:00:00"/>
    <x v="161"/>
    <n v="4"/>
    <x v="2"/>
    <x v="1"/>
    <x v="0"/>
    <s v="Paul Henriot"/>
    <n v="6819"/>
    <s v="No"/>
    <x v="16"/>
  </r>
  <r>
    <n v="241334"/>
    <n v="864"/>
    <x v="0"/>
    <d v="2023-01-13T00:00:00"/>
    <x v="11"/>
    <n v="1"/>
    <x v="0"/>
    <x v="9"/>
    <x v="1"/>
    <s v="Akiko Shimamura"/>
    <n v="3422"/>
    <s v="No"/>
    <x v="61"/>
  </r>
  <r>
    <n v="242256"/>
    <n v="504"/>
    <x v="10"/>
    <d v="2023-07-16T00:00:00"/>
    <x v="104"/>
    <n v="7"/>
    <x v="6"/>
    <x v="6"/>
    <x v="0"/>
    <s v="Valarie Nelson"/>
    <n v="3986"/>
    <s v="No"/>
    <x v="68"/>
  </r>
  <r>
    <n v="243319"/>
    <n v="818"/>
    <x v="3"/>
    <d v="2023-05-26T00:00:00"/>
    <x v="137"/>
    <n v="5"/>
    <x v="0"/>
    <x v="11"/>
    <x v="1"/>
    <s v="Valarie Nelson"/>
    <n v="2539"/>
    <s v="No"/>
    <x v="27"/>
  </r>
  <r>
    <n v="243485"/>
    <n v="633"/>
    <x v="3"/>
    <d v="2023-07-12T00:00:00"/>
    <x v="61"/>
    <n v="7"/>
    <x v="4"/>
    <x v="6"/>
    <x v="2"/>
    <s v="Julie King"/>
    <n v="6552"/>
    <s v="No"/>
    <x v="51"/>
  </r>
  <r>
    <n v="245474"/>
    <n v="40"/>
    <x v="6"/>
    <d v="2023-11-18T00:00:00"/>
    <x v="15"/>
    <n v="11"/>
    <x v="1"/>
    <x v="2"/>
    <x v="0"/>
    <s v="Arnold Cruz"/>
    <n v="3933"/>
    <s v="No"/>
    <x v="2"/>
  </r>
  <r>
    <n v="246033"/>
    <n v="1715"/>
    <x v="0"/>
    <d v="2023-12-05T00:00:00"/>
    <x v="62"/>
    <n v="12"/>
    <x v="2"/>
    <x v="0"/>
    <x v="0"/>
    <s v="Laurence Lebihan"/>
    <n v="5126"/>
    <s v="No"/>
    <x v="10"/>
  </r>
  <r>
    <n v="246834"/>
    <n v="808"/>
    <x v="0"/>
    <d v="2023-07-27T00:00:00"/>
    <x v="21"/>
    <n v="7"/>
    <x v="3"/>
    <x v="6"/>
    <x v="0"/>
    <s v="Valarie Nelson"/>
    <n v="9507"/>
    <s v="No"/>
    <x v="10"/>
  </r>
  <r>
    <n v="246988"/>
    <n v="243"/>
    <x v="0"/>
    <d v="2023-06-15T00:00:00"/>
    <x v="51"/>
    <n v="6"/>
    <x v="3"/>
    <x v="7"/>
    <x v="1"/>
    <s v="Allen Nelson"/>
    <n v="4264"/>
    <s v="No"/>
    <x v="65"/>
  </r>
  <r>
    <n v="247011"/>
    <n v="1809"/>
    <x v="0"/>
    <d v="2023-12-11T00:00:00"/>
    <x v="71"/>
    <n v="12"/>
    <x v="5"/>
    <x v="0"/>
    <x v="2"/>
    <s v="Julie Brown"/>
    <n v="4533"/>
    <s v="No"/>
    <x v="56"/>
  </r>
  <r>
    <n v="247239"/>
    <n v="1643"/>
    <x v="6"/>
    <d v="2023-03-21T00:00:00"/>
    <x v="14"/>
    <n v="3"/>
    <x v="2"/>
    <x v="4"/>
    <x v="2"/>
    <s v="Anna O'Hara"/>
    <n v="9225"/>
    <s v="No"/>
    <x v="3"/>
  </r>
  <r>
    <n v="248737"/>
    <n v="109"/>
    <x v="0"/>
    <d v="2023-03-15T00:00:00"/>
    <x v="162"/>
    <n v="3"/>
    <x v="4"/>
    <x v="4"/>
    <x v="2"/>
    <s v="Veysel Oeztan"/>
    <n v="1887"/>
    <s v="No"/>
    <x v="24"/>
  </r>
  <r>
    <n v="250181"/>
    <n v="1583"/>
    <x v="5"/>
    <d v="2023-04-20T00:00:00"/>
    <x v="19"/>
    <n v="4"/>
    <x v="3"/>
    <x v="1"/>
    <x v="0"/>
    <s v="Henriette Pfalzheim"/>
    <n v="4036"/>
    <s v="No"/>
    <x v="38"/>
  </r>
  <r>
    <n v="251278"/>
    <n v="1591"/>
    <x v="0"/>
    <d v="2023-04-02T00:00:00"/>
    <x v="159"/>
    <n v="4"/>
    <x v="6"/>
    <x v="1"/>
    <x v="0"/>
    <s v="Diego Freyre"/>
    <n v="2551"/>
    <s v="No"/>
    <x v="57"/>
  </r>
  <r>
    <n v="251865"/>
    <n v="414"/>
    <x v="1"/>
    <d v="2023-12-07T00:00:00"/>
    <x v="163"/>
    <n v="12"/>
    <x v="3"/>
    <x v="0"/>
    <x v="1"/>
    <s v="Dominique Perrier"/>
    <n v="6149"/>
    <s v="No"/>
    <x v="46"/>
  </r>
  <r>
    <n v="251999"/>
    <n v="317"/>
    <x v="3"/>
    <d v="2023-11-02T00:00:00"/>
    <x v="139"/>
    <n v="11"/>
    <x v="3"/>
    <x v="2"/>
    <x v="0"/>
    <s v="Michael Holz"/>
    <n v="8817"/>
    <s v="No"/>
    <x v="32"/>
  </r>
  <r>
    <n v="252920"/>
    <n v="298"/>
    <x v="4"/>
    <d v="2023-07-27T00:00:00"/>
    <x v="88"/>
    <n v="7"/>
    <x v="3"/>
    <x v="6"/>
    <x v="2"/>
    <s v="Jytte Petersen"/>
    <n v="5044"/>
    <s v="No"/>
    <x v="6"/>
  </r>
  <r>
    <n v="253281"/>
    <n v="1725"/>
    <x v="0"/>
    <d v="2023-08-15T00:00:00"/>
    <x v="164"/>
    <n v="8"/>
    <x v="2"/>
    <x v="8"/>
    <x v="3"/>
    <s v="Elizabeth Devon"/>
    <n v="8869"/>
    <s v="No"/>
    <x v="49"/>
  </r>
  <r>
    <n v="253341"/>
    <n v="1663"/>
    <x v="9"/>
    <d v="2023-06-01T00:00:00"/>
    <x v="152"/>
    <n v="6"/>
    <x v="3"/>
    <x v="7"/>
    <x v="2"/>
    <s v="Maurizio Moroni"/>
    <n v="6399"/>
    <s v="No"/>
    <x v="52"/>
  </r>
  <r>
    <n v="254112"/>
    <n v="1975"/>
    <x v="0"/>
    <d v="2023-09-07T00:00:00"/>
    <x v="9"/>
    <n v="9"/>
    <x v="3"/>
    <x v="10"/>
    <x v="3"/>
    <s v="Miguel Barajas"/>
    <n v="2037"/>
    <s v="No"/>
    <x v="28"/>
  </r>
  <r>
    <n v="254795"/>
    <n v="1357"/>
    <x v="12"/>
    <d v="2023-05-28T00:00:00"/>
    <x v="83"/>
    <n v="5"/>
    <x v="6"/>
    <x v="11"/>
    <x v="0"/>
    <s v="Michael Holz"/>
    <n v="7938"/>
    <s v="No"/>
    <x v="64"/>
  </r>
  <r>
    <n v="255781"/>
    <n v="847"/>
    <x v="1"/>
    <d v="2023-08-26T00:00:00"/>
    <x v="165"/>
    <n v="8"/>
    <x v="1"/>
    <x v="8"/>
    <x v="0"/>
    <s v="Roland Keitel"/>
    <n v="298"/>
    <s v="No"/>
    <x v="15"/>
  </r>
  <r>
    <n v="257849"/>
    <n v="27"/>
    <x v="0"/>
    <d v="2023-12-24T00:00:00"/>
    <x v="75"/>
    <n v="12"/>
    <x v="6"/>
    <x v="0"/>
    <x v="0"/>
    <s v="Henriette Pfalzheim"/>
    <n v="1534"/>
    <s v="No"/>
    <x v="50"/>
  </r>
  <r>
    <n v="258070"/>
    <n v="295"/>
    <x v="1"/>
    <d v="2023-11-16T00:00:00"/>
    <x v="166"/>
    <n v="11"/>
    <x v="3"/>
    <x v="2"/>
    <x v="3"/>
    <s v="Christina Berglund"/>
    <n v="3890"/>
    <s v="No"/>
    <x v="60"/>
  </r>
  <r>
    <n v="259823"/>
    <n v="1557"/>
    <x v="0"/>
    <d v="2023-09-03T00:00:00"/>
    <x v="140"/>
    <n v="9"/>
    <x v="6"/>
    <x v="10"/>
    <x v="2"/>
    <s v="Kwai Yu"/>
    <n v="5762"/>
    <s v="No"/>
    <x v="9"/>
  </r>
  <r>
    <n v="260160"/>
    <n v="1525"/>
    <x v="2"/>
    <d v="2023-11-30T00:00:00"/>
    <x v="88"/>
    <n v="11"/>
    <x v="3"/>
    <x v="2"/>
    <x v="2"/>
    <s v="Georg Pipps"/>
    <n v="586"/>
    <s v="No"/>
    <x v="27"/>
  </r>
  <r>
    <n v="260615"/>
    <n v="1539"/>
    <x v="0"/>
    <d v="2023-04-10T00:00:00"/>
    <x v="57"/>
    <n v="4"/>
    <x v="5"/>
    <x v="1"/>
    <x v="3"/>
    <s v="Kalle Suominen"/>
    <n v="3646"/>
    <s v="No"/>
    <x v="38"/>
  </r>
  <r>
    <n v="260991"/>
    <n v="1916"/>
    <x v="11"/>
    <d v="2023-02-22T00:00:00"/>
    <x v="167"/>
    <n v="2"/>
    <x v="4"/>
    <x v="5"/>
    <x v="2"/>
    <s v="Matti Karttunen"/>
    <n v="8257"/>
    <s v="No"/>
    <x v="6"/>
  </r>
  <r>
    <n v="261671"/>
    <n v="1566"/>
    <x v="0"/>
    <d v="2023-08-21T00:00:00"/>
    <x v="91"/>
    <n v="8"/>
    <x v="5"/>
    <x v="8"/>
    <x v="3"/>
    <s v="Maria Larsson"/>
    <n v="7957"/>
    <s v="No"/>
    <x v="71"/>
  </r>
  <r>
    <n v="262192"/>
    <n v="418"/>
    <x v="5"/>
    <d v="2023-08-26T00:00:00"/>
    <x v="105"/>
    <n v="8"/>
    <x v="1"/>
    <x v="8"/>
    <x v="1"/>
    <s v="Georg Pipps"/>
    <n v="6532"/>
    <s v="No"/>
    <x v="13"/>
  </r>
  <r>
    <n v="262661"/>
    <n v="1604"/>
    <x v="4"/>
    <d v="2023-06-17T00:00:00"/>
    <x v="87"/>
    <n v="6"/>
    <x v="1"/>
    <x v="7"/>
    <x v="2"/>
    <s v="Diego Freyre"/>
    <n v="2871"/>
    <s v="No"/>
    <x v="15"/>
  </r>
  <r>
    <n v="262946"/>
    <n v="1835"/>
    <x v="10"/>
    <d v="2023-08-28T00:00:00"/>
    <x v="141"/>
    <n v="8"/>
    <x v="5"/>
    <x v="8"/>
    <x v="1"/>
    <s v="Maria Hernandez"/>
    <n v="934"/>
    <s v="No"/>
    <x v="64"/>
  </r>
  <r>
    <n v="264917"/>
    <n v="1281"/>
    <x v="4"/>
    <d v="2023-07-23T00:00:00"/>
    <x v="123"/>
    <n v="7"/>
    <x v="6"/>
    <x v="6"/>
    <x v="2"/>
    <s v="Jeff Young"/>
    <n v="1214"/>
    <s v="No"/>
    <x v="57"/>
  </r>
  <r>
    <n v="265772"/>
    <n v="396"/>
    <x v="4"/>
    <d v="2023-12-11T00:00:00"/>
    <x v="30"/>
    <n v="12"/>
    <x v="5"/>
    <x v="0"/>
    <x v="3"/>
    <s v="Kalle Suominen"/>
    <n v="553"/>
    <s v="No"/>
    <x v="62"/>
  </r>
  <r>
    <n v="267881"/>
    <n v="1284"/>
    <x v="4"/>
    <d v="2023-10-23T00:00:00"/>
    <x v="20"/>
    <n v="10"/>
    <x v="5"/>
    <x v="3"/>
    <x v="1"/>
    <s v="Pirkko Koskitalo"/>
    <n v="395"/>
    <s v="No"/>
    <x v="38"/>
  </r>
  <r>
    <n v="268063"/>
    <n v="775"/>
    <x v="5"/>
    <d v="2023-01-30T00:00:00"/>
    <x v="157"/>
    <n v="1"/>
    <x v="5"/>
    <x v="9"/>
    <x v="1"/>
    <s v="Eric Natividad"/>
    <n v="4938"/>
    <s v="No"/>
    <x v="17"/>
  </r>
  <r>
    <n v="268418"/>
    <n v="1123"/>
    <x v="3"/>
    <d v="2023-07-28T00:00:00"/>
    <x v="91"/>
    <n v="7"/>
    <x v="0"/>
    <x v="6"/>
    <x v="3"/>
    <s v="Ann Brown"/>
    <n v="8306"/>
    <s v="No"/>
    <x v="26"/>
  </r>
  <r>
    <n v="268811"/>
    <n v="519"/>
    <x v="3"/>
    <d v="2023-02-06T00:00:00"/>
    <x v="47"/>
    <n v="2"/>
    <x v="5"/>
    <x v="5"/>
    <x v="0"/>
    <s v="Jose Pedro Roel"/>
    <n v="9147"/>
    <s v="No"/>
    <x v="41"/>
  </r>
  <r>
    <n v="268861"/>
    <n v="919"/>
    <x v="13"/>
    <d v="2023-07-09T00:00:00"/>
    <x v="168"/>
    <n v="7"/>
    <x v="6"/>
    <x v="6"/>
    <x v="3"/>
    <s v="Steve Frick"/>
    <n v="4370"/>
    <s v="No"/>
    <x v="18"/>
  </r>
  <r>
    <n v="271858"/>
    <n v="1634"/>
    <x v="4"/>
    <d v="2023-12-06T00:00:00"/>
    <x v="89"/>
    <n v="12"/>
    <x v="4"/>
    <x v="0"/>
    <x v="3"/>
    <s v="Valarie Franco"/>
    <n v="1755"/>
    <s v="No"/>
    <x v="6"/>
  </r>
  <r>
    <n v="272165"/>
    <n v="1133"/>
    <x v="1"/>
    <d v="2023-04-04T00:00:00"/>
    <x v="84"/>
    <n v="4"/>
    <x v="2"/>
    <x v="1"/>
    <x v="0"/>
    <s v="Sue Taylor"/>
    <n v="6204"/>
    <s v="No"/>
    <x v="0"/>
  </r>
  <r>
    <n v="272174"/>
    <n v="105"/>
    <x v="0"/>
    <d v="2023-06-20T00:00:00"/>
    <x v="37"/>
    <n v="6"/>
    <x v="2"/>
    <x v="7"/>
    <x v="1"/>
    <s v="Valarie Nelson"/>
    <n v="5045"/>
    <s v="No"/>
    <x v="16"/>
  </r>
  <r>
    <n v="272255"/>
    <n v="187"/>
    <x v="3"/>
    <d v="2023-05-15T00:00:00"/>
    <x v="100"/>
    <n v="5"/>
    <x v="5"/>
    <x v="11"/>
    <x v="1"/>
    <s v="Diego Freyre"/>
    <n v="1181"/>
    <s v="No"/>
    <x v="17"/>
  </r>
  <r>
    <n v="273538"/>
    <n v="1944"/>
    <x v="4"/>
    <d v="2023-02-18T00:00:00"/>
    <x v="169"/>
    <n v="2"/>
    <x v="1"/>
    <x v="5"/>
    <x v="0"/>
    <s v="Wendy Victorino"/>
    <n v="5193"/>
    <s v="No"/>
    <x v="43"/>
  </r>
  <r>
    <n v="273817"/>
    <n v="530"/>
    <x v="6"/>
    <d v="2023-05-05T00:00:00"/>
    <x v="128"/>
    <n v="5"/>
    <x v="0"/>
    <x v="11"/>
    <x v="2"/>
    <s v="Valarie Nelson"/>
    <n v="4051"/>
    <s v="No"/>
    <x v="12"/>
  </r>
  <r>
    <n v="273923"/>
    <n v="1911"/>
    <x v="6"/>
    <d v="2023-01-31T00:00:00"/>
    <x v="28"/>
    <n v="1"/>
    <x v="2"/>
    <x v="9"/>
    <x v="2"/>
    <s v="Kyung Yu"/>
    <n v="4736"/>
    <s v="No"/>
    <x v="61"/>
  </r>
  <r>
    <n v="275855"/>
    <n v="869"/>
    <x v="9"/>
    <d v="2023-08-24T00:00:00"/>
    <x v="87"/>
    <n v="8"/>
    <x v="3"/>
    <x v="8"/>
    <x v="3"/>
    <s v="Kwai Yu"/>
    <n v="7700"/>
    <s v="No"/>
    <x v="72"/>
  </r>
  <r>
    <n v="275961"/>
    <n v="679"/>
    <x v="5"/>
    <d v="2023-11-18T00:00:00"/>
    <x v="96"/>
    <n v="11"/>
    <x v="1"/>
    <x v="2"/>
    <x v="2"/>
    <s v="Marta Hernandez"/>
    <n v="2936"/>
    <s v="No"/>
    <x v="6"/>
  </r>
  <r>
    <n v="276276"/>
    <n v="1442"/>
    <x v="0"/>
    <d v="2023-09-05T00:00:00"/>
    <x v="103"/>
    <n v="9"/>
    <x v="2"/>
    <x v="10"/>
    <x v="2"/>
    <s v="Palle Ibsen"/>
    <n v="5165"/>
    <s v="No"/>
    <x v="43"/>
  </r>
  <r>
    <n v="276403"/>
    <n v="1356"/>
    <x v="14"/>
    <d v="2023-09-14T00:00:00"/>
    <x v="96"/>
    <n v="9"/>
    <x v="3"/>
    <x v="10"/>
    <x v="2"/>
    <s v="Michael Frick"/>
    <n v="8633"/>
    <s v="No"/>
    <x v="47"/>
  </r>
  <r>
    <n v="276698"/>
    <n v="43"/>
    <x v="5"/>
    <d v="2023-05-11T00:00:00"/>
    <x v="12"/>
    <n v="5"/>
    <x v="3"/>
    <x v="11"/>
    <x v="0"/>
    <s v="Marie Bertrand"/>
    <n v="9942"/>
    <s v="No"/>
    <x v="39"/>
  </r>
  <r>
    <n v="277038"/>
    <n v="1677"/>
    <x v="2"/>
    <d v="2023-08-01T00:00:00"/>
    <x v="170"/>
    <n v="8"/>
    <x v="2"/>
    <x v="8"/>
    <x v="2"/>
    <s v="Jeff Young"/>
    <n v="2455"/>
    <s v="No"/>
    <x v="66"/>
  </r>
  <r>
    <n v="279106"/>
    <n v="104"/>
    <x v="6"/>
    <d v="2023-01-14T00:00:00"/>
    <x v="73"/>
    <n v="1"/>
    <x v="1"/>
    <x v="9"/>
    <x v="2"/>
    <s v="Diego Freyre"/>
    <n v="4768"/>
    <s v="No"/>
    <x v="7"/>
  </r>
  <r>
    <n v="279515"/>
    <n v="713"/>
    <x v="10"/>
    <d v="2023-09-15T00:00:00"/>
    <x v="171"/>
    <n v="9"/>
    <x v="0"/>
    <x v="10"/>
    <x v="3"/>
    <s v="Valarie Nelson"/>
    <n v="4633"/>
    <s v="No"/>
    <x v="20"/>
  </r>
  <r>
    <n v="279963"/>
    <n v="1775"/>
    <x v="0"/>
    <d v="2023-10-27T00:00:00"/>
    <x v="64"/>
    <n v="10"/>
    <x v="0"/>
    <x v="3"/>
    <x v="3"/>
    <s v="Valarie Nelson"/>
    <n v="7812"/>
    <s v="No"/>
    <x v="53"/>
  </r>
  <r>
    <n v="280459"/>
    <n v="457"/>
    <x v="13"/>
    <d v="2023-09-26T00:00:00"/>
    <x v="38"/>
    <n v="9"/>
    <x v="2"/>
    <x v="10"/>
    <x v="1"/>
    <s v="Diego Freyre"/>
    <n v="3197"/>
    <s v="No"/>
    <x v="26"/>
  </r>
  <r>
    <n v="280739"/>
    <n v="138"/>
    <x v="0"/>
    <d v="2023-07-06T00:00:00"/>
    <x v="78"/>
    <n v="7"/>
    <x v="3"/>
    <x v="6"/>
    <x v="1"/>
    <s v="Janine Labrune"/>
    <n v="2453"/>
    <s v="No"/>
    <x v="18"/>
  </r>
  <r>
    <n v="281193"/>
    <n v="1522"/>
    <x v="0"/>
    <d v="2023-03-17T00:00:00"/>
    <x v="172"/>
    <n v="3"/>
    <x v="0"/>
    <x v="4"/>
    <x v="2"/>
    <s v="Arnold Cruz"/>
    <n v="6173"/>
    <s v="No"/>
    <x v="49"/>
  </r>
  <r>
    <n v="281454"/>
    <n v="1413"/>
    <x v="4"/>
    <d v="2023-09-17T00:00:00"/>
    <x v="87"/>
    <n v="9"/>
    <x v="6"/>
    <x v="10"/>
    <x v="0"/>
    <s v="Laurence Lebihan"/>
    <n v="5802"/>
    <s v="No"/>
    <x v="47"/>
  </r>
  <r>
    <n v="281813"/>
    <n v="331"/>
    <x v="5"/>
    <d v="2023-06-21T00:00:00"/>
    <x v="157"/>
    <n v="6"/>
    <x v="4"/>
    <x v="7"/>
    <x v="3"/>
    <s v="Valarie Nelson"/>
    <n v="5117"/>
    <s v="No"/>
    <x v="32"/>
  </r>
  <r>
    <n v="283066"/>
    <n v="956"/>
    <x v="3"/>
    <d v="2023-02-06T00:00:00"/>
    <x v="102"/>
    <n v="2"/>
    <x v="5"/>
    <x v="5"/>
    <x v="3"/>
    <s v="Allen Nelson"/>
    <n v="5819"/>
    <s v="No"/>
    <x v="18"/>
  </r>
  <r>
    <n v="283068"/>
    <n v="1967"/>
    <x v="4"/>
    <d v="2023-11-29T00:00:00"/>
    <x v="19"/>
    <n v="11"/>
    <x v="4"/>
    <x v="2"/>
    <x v="0"/>
    <s v="Michael Chandler"/>
    <n v="3805"/>
    <s v="No"/>
    <x v="20"/>
  </r>
  <r>
    <n v="283610"/>
    <n v="1401"/>
    <x v="10"/>
    <d v="2023-01-30T00:00:00"/>
    <x v="94"/>
    <n v="1"/>
    <x v="5"/>
    <x v="9"/>
    <x v="1"/>
    <s v="Roland Mendel"/>
    <n v="3862"/>
    <s v="No"/>
    <x v="62"/>
  </r>
  <r>
    <n v="284363"/>
    <n v="100"/>
    <x v="12"/>
    <d v="2023-03-21T00:00:00"/>
    <x v="134"/>
    <n v="3"/>
    <x v="2"/>
    <x v="4"/>
    <x v="2"/>
    <s v="Veysel Oeztan"/>
    <n v="3844"/>
    <s v="No"/>
    <x v="67"/>
  </r>
  <r>
    <n v="284974"/>
    <n v="1218"/>
    <x v="0"/>
    <d v="2023-09-11T00:00:00"/>
    <x v="173"/>
    <n v="9"/>
    <x v="5"/>
    <x v="10"/>
    <x v="2"/>
    <s v="Valarie Young"/>
    <n v="5755"/>
    <s v="No"/>
    <x v="17"/>
  </r>
  <r>
    <n v="286598"/>
    <n v="1903"/>
    <x v="6"/>
    <d v="2023-03-12T00:00:00"/>
    <x v="73"/>
    <n v="3"/>
    <x v="6"/>
    <x v="4"/>
    <x v="1"/>
    <s v="Diego Freyre"/>
    <n v="8252"/>
    <s v="No"/>
    <x v="37"/>
  </r>
  <r>
    <n v="287761"/>
    <n v="91"/>
    <x v="4"/>
    <d v="2023-05-07T00:00:00"/>
    <x v="95"/>
    <n v="5"/>
    <x v="6"/>
    <x v="11"/>
    <x v="3"/>
    <s v="Diego Freyre"/>
    <n v="3891"/>
    <s v="No"/>
    <x v="57"/>
  </r>
  <r>
    <n v="288186"/>
    <n v="415"/>
    <x v="1"/>
    <d v="2023-05-30T00:00:00"/>
    <x v="116"/>
    <n v="5"/>
    <x v="2"/>
    <x v="11"/>
    <x v="1"/>
    <s v="Michael Holz"/>
    <n v="4166"/>
    <s v="No"/>
    <x v="52"/>
  </r>
  <r>
    <n v="288332"/>
    <n v="1069"/>
    <x v="6"/>
    <d v="2023-01-16T00:00:00"/>
    <x v="6"/>
    <n v="1"/>
    <x v="5"/>
    <x v="9"/>
    <x v="2"/>
    <s v="Pirkko Koskitalo"/>
    <n v="610"/>
    <s v="No"/>
    <x v="16"/>
  </r>
  <r>
    <n v="288335"/>
    <n v="1703"/>
    <x v="3"/>
    <d v="2023-07-15T00:00:00"/>
    <x v="77"/>
    <n v="7"/>
    <x v="1"/>
    <x v="6"/>
    <x v="0"/>
    <s v="Elizabeth Devon"/>
    <n v="362"/>
    <s v="No"/>
    <x v="67"/>
  </r>
  <r>
    <n v="289882"/>
    <n v="1177"/>
    <x v="13"/>
    <d v="2023-11-04T00:00:00"/>
    <x v="121"/>
    <n v="11"/>
    <x v="1"/>
    <x v="2"/>
    <x v="1"/>
    <s v="Maurizio Moroni"/>
    <n v="4569"/>
    <s v="No"/>
    <x v="70"/>
  </r>
  <r>
    <n v="289906"/>
    <n v="1349"/>
    <x v="6"/>
    <d v="2023-04-15T00:00:00"/>
    <x v="174"/>
    <n v="4"/>
    <x v="1"/>
    <x v="1"/>
    <x v="0"/>
    <s v="Eric Natividad"/>
    <n v="2771"/>
    <s v="No"/>
    <x v="50"/>
  </r>
  <r>
    <n v="290270"/>
    <n v="1955"/>
    <x v="4"/>
    <d v="2023-02-03T00:00:00"/>
    <x v="143"/>
    <n v="2"/>
    <x v="0"/>
    <x v="5"/>
    <x v="3"/>
    <s v="Michael Holz"/>
    <n v="2355"/>
    <s v="No"/>
    <x v="17"/>
  </r>
  <r>
    <n v="292907"/>
    <n v="1829"/>
    <x v="6"/>
    <d v="2023-04-22T00:00:00"/>
    <x v="48"/>
    <n v="4"/>
    <x v="1"/>
    <x v="1"/>
    <x v="2"/>
    <s v="Roland Keitel"/>
    <n v="4040"/>
    <s v="No"/>
    <x v="43"/>
  </r>
  <r>
    <n v="294015"/>
    <n v="669"/>
    <x v="0"/>
    <d v="2023-09-03T00:00:00"/>
    <x v="79"/>
    <n v="9"/>
    <x v="6"/>
    <x v="10"/>
    <x v="3"/>
    <s v="Henriette Pfalzheim"/>
    <n v="9046"/>
    <s v="No"/>
    <x v="19"/>
  </r>
  <r>
    <n v="295823"/>
    <n v="1085"/>
    <x v="4"/>
    <d v="2023-01-18T00:00:00"/>
    <x v="10"/>
    <n v="1"/>
    <x v="4"/>
    <x v="9"/>
    <x v="0"/>
    <s v="Violeta Benitez"/>
    <n v="2562"/>
    <s v="No"/>
    <x v="61"/>
  </r>
  <r>
    <n v="296042"/>
    <n v="722"/>
    <x v="0"/>
    <d v="2023-08-29T00:00:00"/>
    <x v="88"/>
    <n v="8"/>
    <x v="2"/>
    <x v="8"/>
    <x v="1"/>
    <s v="Kwai Yu"/>
    <n v="3962"/>
    <s v="No"/>
    <x v="18"/>
  </r>
  <r>
    <n v="296324"/>
    <n v="167"/>
    <x v="6"/>
    <d v="2023-05-13T00:00:00"/>
    <x v="175"/>
    <n v="5"/>
    <x v="1"/>
    <x v="11"/>
    <x v="1"/>
    <s v="Georg Pipps"/>
    <n v="5732"/>
    <s v="No"/>
    <x v="18"/>
  </r>
  <r>
    <n v="298715"/>
    <n v="1706"/>
    <x v="0"/>
    <d v="2023-04-01T00:00:00"/>
    <x v="94"/>
    <n v="4"/>
    <x v="1"/>
    <x v="1"/>
    <x v="0"/>
    <s v="Kalle Suominen"/>
    <n v="5256"/>
    <s v="No"/>
    <x v="59"/>
  </r>
  <r>
    <n v="299065"/>
    <n v="177"/>
    <x v="1"/>
    <d v="2023-04-11T00:00:00"/>
    <x v="165"/>
    <n v="4"/>
    <x v="2"/>
    <x v="1"/>
    <x v="0"/>
    <s v="Matti Karttunen"/>
    <n v="7292"/>
    <s v="No"/>
    <x v="21"/>
  </r>
  <r>
    <n v="299700"/>
    <n v="533"/>
    <x v="0"/>
    <d v="2023-10-09T00:00:00"/>
    <x v="117"/>
    <n v="10"/>
    <x v="5"/>
    <x v="3"/>
    <x v="1"/>
    <s v="Maria Larsson"/>
    <n v="7166"/>
    <s v="No"/>
    <x v="39"/>
  </r>
  <r>
    <n v="300907"/>
    <n v="383"/>
    <x v="3"/>
    <d v="2023-11-12T00:00:00"/>
    <x v="171"/>
    <n v="11"/>
    <x v="6"/>
    <x v="2"/>
    <x v="1"/>
    <s v="Frederique Citeaux"/>
    <n v="346"/>
    <s v="No"/>
    <x v="56"/>
  </r>
  <r>
    <n v="302110"/>
    <n v="1357"/>
    <x v="12"/>
    <d v="2023-10-15T00:00:00"/>
    <x v="65"/>
    <n v="10"/>
    <x v="6"/>
    <x v="3"/>
    <x v="3"/>
    <s v="Georg Pipps"/>
    <n v="4576"/>
    <s v="No"/>
    <x v="64"/>
  </r>
  <r>
    <n v="303207"/>
    <n v="1052"/>
    <x v="7"/>
    <d v="2023-11-19T00:00:00"/>
    <x v="174"/>
    <n v="11"/>
    <x v="6"/>
    <x v="2"/>
    <x v="3"/>
    <s v="Jonas Bergulfsen"/>
    <n v="1054"/>
    <s v="No"/>
    <x v="50"/>
  </r>
  <r>
    <n v="303923"/>
    <n v="691"/>
    <x v="8"/>
    <d v="2023-05-30T00:00:00"/>
    <x v="114"/>
    <n v="5"/>
    <x v="2"/>
    <x v="11"/>
    <x v="2"/>
    <s v="Valarie Nelson"/>
    <n v="5642"/>
    <s v="No"/>
    <x v="19"/>
  </r>
  <r>
    <n v="304668"/>
    <n v="835"/>
    <x v="6"/>
    <d v="2023-02-12T00:00:00"/>
    <x v="85"/>
    <n v="2"/>
    <x v="6"/>
    <x v="5"/>
    <x v="3"/>
    <s v="Mart¡n Sommer"/>
    <n v="3450"/>
    <s v="No"/>
    <x v="63"/>
  </r>
  <r>
    <n v="305175"/>
    <n v="766"/>
    <x v="0"/>
    <d v="2023-08-06T00:00:00"/>
    <x v="20"/>
    <n v="8"/>
    <x v="6"/>
    <x v="8"/>
    <x v="1"/>
    <s v="Juri Hirano"/>
    <n v="1876"/>
    <s v="No"/>
    <x v="20"/>
  </r>
  <r>
    <n v="305282"/>
    <n v="1594"/>
    <x v="6"/>
    <d v="2023-03-11T00:00:00"/>
    <x v="68"/>
    <n v="3"/>
    <x v="1"/>
    <x v="4"/>
    <x v="3"/>
    <s v="Eric Natividad"/>
    <n v="2529"/>
    <s v="No"/>
    <x v="18"/>
  </r>
  <r>
    <n v="305291"/>
    <n v="1519"/>
    <x v="4"/>
    <d v="2023-08-22T00:00:00"/>
    <x v="176"/>
    <n v="8"/>
    <x v="2"/>
    <x v="8"/>
    <x v="1"/>
    <s v="Roland Mendel"/>
    <n v="3778"/>
    <s v="No"/>
    <x v="1"/>
  </r>
  <r>
    <n v="305510"/>
    <n v="935"/>
    <x v="3"/>
    <d v="2023-11-21T00:00:00"/>
    <x v="23"/>
    <n v="11"/>
    <x v="2"/>
    <x v="2"/>
    <x v="2"/>
    <s v="Tony Calaghan"/>
    <n v="6989"/>
    <s v="No"/>
    <x v="4"/>
  </r>
  <r>
    <n v="306677"/>
    <n v="1145"/>
    <x v="0"/>
    <d v="2023-08-20T00:00:00"/>
    <x v="164"/>
    <n v="8"/>
    <x v="6"/>
    <x v="8"/>
    <x v="0"/>
    <s v="Francisca Cervantes"/>
    <n v="6771"/>
    <s v="No"/>
    <x v="63"/>
  </r>
  <r>
    <n v="306798"/>
    <n v="132"/>
    <x v="4"/>
    <d v="2023-01-14T00:00:00"/>
    <x v="50"/>
    <n v="1"/>
    <x v="1"/>
    <x v="9"/>
    <x v="1"/>
    <s v="Mary Saveley"/>
    <n v="291"/>
    <s v="No"/>
    <x v="63"/>
  </r>
  <r>
    <n v="306831"/>
    <n v="1135"/>
    <x v="1"/>
    <d v="2023-06-13T00:00:00"/>
    <x v="67"/>
    <n v="6"/>
    <x v="2"/>
    <x v="7"/>
    <x v="1"/>
    <s v="Yoshi Tannamuri"/>
    <n v="4730"/>
    <s v="No"/>
    <x v="8"/>
  </r>
  <r>
    <n v="307999"/>
    <n v="1476"/>
    <x v="2"/>
    <d v="2023-07-04T00:00:00"/>
    <x v="62"/>
    <n v="7"/>
    <x v="2"/>
    <x v="6"/>
    <x v="0"/>
    <s v="Steve Thompson"/>
    <n v="5434"/>
    <s v="No"/>
    <x v="12"/>
  </r>
  <r>
    <n v="308888"/>
    <n v="731"/>
    <x v="3"/>
    <d v="2023-04-06T00:00:00"/>
    <x v="92"/>
    <n v="4"/>
    <x v="3"/>
    <x v="1"/>
    <x v="2"/>
    <s v="Kyung Tseng"/>
    <n v="5383"/>
    <s v="No"/>
    <x v="61"/>
  </r>
  <r>
    <n v="309642"/>
    <n v="1222"/>
    <x v="4"/>
    <d v="2023-09-16T00:00:00"/>
    <x v="21"/>
    <n v="9"/>
    <x v="1"/>
    <x v="10"/>
    <x v="0"/>
    <s v="Leslie Murphy"/>
    <n v="2898"/>
    <s v="No"/>
    <x v="30"/>
  </r>
  <r>
    <n v="310236"/>
    <n v="839"/>
    <x v="1"/>
    <d v="2023-04-18T00:00:00"/>
    <x v="64"/>
    <n v="4"/>
    <x v="2"/>
    <x v="1"/>
    <x v="2"/>
    <s v="Akiko Shimamura"/>
    <n v="221"/>
    <s v="No"/>
    <x v="40"/>
  </r>
  <r>
    <n v="310303"/>
    <n v="42"/>
    <x v="4"/>
    <d v="2023-07-28T00:00:00"/>
    <x v="39"/>
    <n v="7"/>
    <x v="0"/>
    <x v="6"/>
    <x v="0"/>
    <s v="Adrian Huxley"/>
    <n v="369"/>
    <s v="No"/>
    <x v="64"/>
  </r>
  <r>
    <n v="311285"/>
    <n v="511"/>
    <x v="0"/>
    <d v="2023-10-14T00:00:00"/>
    <x v="100"/>
    <n v="10"/>
    <x v="1"/>
    <x v="3"/>
    <x v="2"/>
    <s v="Paolo Accorti"/>
    <n v="3345"/>
    <s v="No"/>
    <x v="52"/>
  </r>
  <r>
    <n v="312250"/>
    <n v="343"/>
    <x v="1"/>
    <d v="2023-11-18T00:00:00"/>
    <x v="39"/>
    <n v="11"/>
    <x v="1"/>
    <x v="2"/>
    <x v="2"/>
    <s v="Maria Larsson"/>
    <n v="8056"/>
    <s v="No"/>
    <x v="51"/>
  </r>
  <r>
    <n v="312391"/>
    <n v="780"/>
    <x v="1"/>
    <d v="2023-12-16T00:00:00"/>
    <x v="159"/>
    <n v="12"/>
    <x v="1"/>
    <x v="0"/>
    <x v="2"/>
    <s v="Daniel Tonini"/>
    <n v="3848"/>
    <s v="No"/>
    <x v="64"/>
  </r>
  <r>
    <n v="312413"/>
    <n v="1696"/>
    <x v="0"/>
    <d v="2023-09-16T00:00:00"/>
    <x v="20"/>
    <n v="9"/>
    <x v="1"/>
    <x v="10"/>
    <x v="3"/>
    <s v="Valarie Nelson"/>
    <n v="7605"/>
    <s v="No"/>
    <x v="17"/>
  </r>
  <r>
    <n v="312581"/>
    <n v="624"/>
    <x v="6"/>
    <d v="2023-08-07T00:00:00"/>
    <x v="88"/>
    <n v="8"/>
    <x v="5"/>
    <x v="8"/>
    <x v="1"/>
    <s v="Valarie Young"/>
    <n v="5721"/>
    <s v="No"/>
    <x v="64"/>
  </r>
  <r>
    <n v="313294"/>
    <n v="1513"/>
    <x v="0"/>
    <d v="2023-06-24T00:00:00"/>
    <x v="81"/>
    <n v="6"/>
    <x v="1"/>
    <x v="7"/>
    <x v="3"/>
    <s v="Julie Murphy"/>
    <n v="3975"/>
    <s v="No"/>
    <x v="15"/>
  </r>
  <r>
    <n v="313756"/>
    <n v="1032"/>
    <x v="3"/>
    <d v="2023-12-28T00:00:00"/>
    <x v="177"/>
    <n v="12"/>
    <x v="3"/>
    <x v="0"/>
    <x v="3"/>
    <s v="Peter Ferguson"/>
    <n v="1340"/>
    <s v="No"/>
    <x v="29"/>
  </r>
  <r>
    <n v="314254"/>
    <n v="224"/>
    <x v="1"/>
    <d v="2023-07-26T00:00:00"/>
    <x v="68"/>
    <n v="7"/>
    <x v="4"/>
    <x v="6"/>
    <x v="0"/>
    <s v="Valarie Nelson"/>
    <n v="2043"/>
    <s v="No"/>
    <x v="71"/>
  </r>
  <r>
    <n v="314530"/>
    <n v="967"/>
    <x v="6"/>
    <d v="2023-11-11T00:00:00"/>
    <x v="0"/>
    <n v="11"/>
    <x v="1"/>
    <x v="2"/>
    <x v="1"/>
    <s v="Anna O'Hara"/>
    <n v="4214"/>
    <s v="No"/>
    <x v="26"/>
  </r>
  <r>
    <n v="315549"/>
    <n v="108"/>
    <x v="4"/>
    <d v="2023-03-19T00:00:00"/>
    <x v="101"/>
    <n v="3"/>
    <x v="6"/>
    <x v="4"/>
    <x v="1"/>
    <s v="Julie Brown"/>
    <n v="7653"/>
    <s v="No"/>
    <x v="42"/>
  </r>
  <r>
    <n v="315899"/>
    <n v="1934"/>
    <x v="4"/>
    <d v="2023-10-09T00:00:00"/>
    <x v="150"/>
    <n v="10"/>
    <x v="5"/>
    <x v="3"/>
    <x v="1"/>
    <s v="Anna O'Hara"/>
    <n v="6965"/>
    <s v="No"/>
    <x v="5"/>
  </r>
  <r>
    <n v="315977"/>
    <n v="1837"/>
    <x v="11"/>
    <d v="2023-09-03T00:00:00"/>
    <x v="63"/>
    <n v="9"/>
    <x v="6"/>
    <x v="10"/>
    <x v="2"/>
    <s v="Jean Fresnisre"/>
    <n v="8432"/>
    <s v="No"/>
    <x v="27"/>
  </r>
  <r>
    <n v="316324"/>
    <n v="1564"/>
    <x v="5"/>
    <d v="2023-03-07T00:00:00"/>
    <x v="68"/>
    <n v="3"/>
    <x v="2"/>
    <x v="4"/>
    <x v="1"/>
    <s v="Diego Freyre"/>
    <n v="1285"/>
    <s v="No"/>
    <x v="20"/>
  </r>
  <r>
    <n v="316364"/>
    <n v="486"/>
    <x v="9"/>
    <d v="2023-11-09T00:00:00"/>
    <x v="167"/>
    <n v="11"/>
    <x v="3"/>
    <x v="2"/>
    <x v="2"/>
    <s v="Rosa Hernandez"/>
    <n v="1699"/>
    <s v="No"/>
    <x v="50"/>
  </r>
  <r>
    <n v="316858"/>
    <n v="1140"/>
    <x v="10"/>
    <d v="2023-03-18T00:00:00"/>
    <x v="11"/>
    <n v="3"/>
    <x v="1"/>
    <x v="4"/>
    <x v="0"/>
    <s v="Laurence Lebihan"/>
    <n v="3160"/>
    <s v="No"/>
    <x v="45"/>
  </r>
  <r>
    <n v="318630"/>
    <n v="137"/>
    <x v="1"/>
    <d v="2023-04-13T00:00:00"/>
    <x v="137"/>
    <n v="4"/>
    <x v="3"/>
    <x v="1"/>
    <x v="1"/>
    <s v="Annette Roulet"/>
    <n v="9655"/>
    <s v="No"/>
    <x v="5"/>
  </r>
  <r>
    <n v="318961"/>
    <n v="821"/>
    <x v="2"/>
    <d v="2023-05-09T00:00:00"/>
    <x v="156"/>
    <n v="5"/>
    <x v="2"/>
    <x v="11"/>
    <x v="2"/>
    <s v="Anna O'Hara"/>
    <n v="7028"/>
    <s v="No"/>
    <x v="62"/>
  </r>
  <r>
    <n v="319587"/>
    <n v="1505"/>
    <x v="0"/>
    <d v="2023-09-30T00:00:00"/>
    <x v="64"/>
    <n v="9"/>
    <x v="1"/>
    <x v="10"/>
    <x v="0"/>
    <s v="Palle Ibsen"/>
    <n v="1648"/>
    <s v="No"/>
    <x v="68"/>
  </r>
  <r>
    <n v="320251"/>
    <n v="648"/>
    <x v="9"/>
    <d v="2023-11-11T00:00:00"/>
    <x v="76"/>
    <n v="11"/>
    <x v="1"/>
    <x v="2"/>
    <x v="3"/>
    <s v="Jean Fresnisre"/>
    <n v="8979"/>
    <s v="No"/>
    <x v="6"/>
  </r>
  <r>
    <n v="320353"/>
    <n v="173"/>
    <x v="1"/>
    <d v="2023-05-25T00:00:00"/>
    <x v="60"/>
    <n v="5"/>
    <x v="3"/>
    <x v="11"/>
    <x v="3"/>
    <s v="Veysel Oeztan"/>
    <n v="7229"/>
    <s v="No"/>
    <x v="0"/>
  </r>
  <r>
    <n v="322784"/>
    <n v="132"/>
    <x v="4"/>
    <d v="2023-01-02T00:00:00"/>
    <x v="69"/>
    <n v="1"/>
    <x v="5"/>
    <x v="9"/>
    <x v="1"/>
    <s v="Valarie Young"/>
    <n v="5201"/>
    <s v="No"/>
    <x v="63"/>
  </r>
  <r>
    <n v="323100"/>
    <n v="867"/>
    <x v="0"/>
    <d v="2023-05-29T00:00:00"/>
    <x v="123"/>
    <n v="5"/>
    <x v="5"/>
    <x v="11"/>
    <x v="0"/>
    <s v="Jeff Young"/>
    <n v="6684"/>
    <s v="No"/>
    <x v="15"/>
  </r>
  <r>
    <n v="325850"/>
    <n v="166"/>
    <x v="3"/>
    <d v="2023-05-09T00:00:00"/>
    <x v="75"/>
    <n v="5"/>
    <x v="2"/>
    <x v="11"/>
    <x v="1"/>
    <s v="Diego Freyre"/>
    <n v="7311"/>
    <s v="No"/>
    <x v="18"/>
  </r>
  <r>
    <n v="325939"/>
    <n v="1285"/>
    <x v="4"/>
    <d v="2023-12-24T00:00:00"/>
    <x v="178"/>
    <n v="12"/>
    <x v="6"/>
    <x v="0"/>
    <x v="1"/>
    <s v="Michael Holz"/>
    <n v="4569"/>
    <s v="No"/>
    <x v="72"/>
  </r>
  <r>
    <n v="327243"/>
    <n v="595"/>
    <x v="0"/>
    <d v="2023-05-08T00:00:00"/>
    <x v="73"/>
    <n v="5"/>
    <x v="5"/>
    <x v="11"/>
    <x v="0"/>
    <s v="Mory Kentary"/>
    <n v="8969"/>
    <s v="No"/>
    <x v="70"/>
  </r>
  <r>
    <n v="327268"/>
    <n v="1038"/>
    <x v="3"/>
    <d v="2023-11-06T00:00:00"/>
    <x v="156"/>
    <n v="11"/>
    <x v="5"/>
    <x v="2"/>
    <x v="2"/>
    <s v="Elizabeth Devon"/>
    <n v="6977"/>
    <s v="No"/>
    <x v="24"/>
  </r>
  <r>
    <n v="328597"/>
    <n v="221"/>
    <x v="6"/>
    <d v="2023-10-06T00:00:00"/>
    <x v="129"/>
    <n v="10"/>
    <x v="0"/>
    <x v="3"/>
    <x v="1"/>
    <s v="Maurizio Moroni"/>
    <n v="5537"/>
    <s v="No"/>
    <x v="71"/>
  </r>
  <r>
    <n v="329474"/>
    <n v="1133"/>
    <x v="1"/>
    <d v="2023-12-08T00:00:00"/>
    <x v="58"/>
    <n v="12"/>
    <x v="0"/>
    <x v="0"/>
    <x v="2"/>
    <s v="Sue King"/>
    <n v="7243"/>
    <s v="No"/>
    <x v="0"/>
  </r>
  <r>
    <n v="331297"/>
    <n v="1595"/>
    <x v="0"/>
    <d v="2023-03-17T00:00:00"/>
    <x v="61"/>
    <n v="3"/>
    <x v="0"/>
    <x v="4"/>
    <x v="3"/>
    <s v="Michael Holz"/>
    <n v="7756"/>
    <s v="No"/>
    <x v="25"/>
  </r>
  <r>
    <n v="331797"/>
    <n v="1190"/>
    <x v="8"/>
    <d v="2023-10-15T00:00:00"/>
    <x v="129"/>
    <n v="10"/>
    <x v="6"/>
    <x v="3"/>
    <x v="1"/>
    <s v="Jan Klaeboe"/>
    <n v="5185"/>
    <s v="No"/>
    <x v="63"/>
  </r>
  <r>
    <n v="332513"/>
    <n v="164"/>
    <x v="0"/>
    <d v="2023-03-17T00:00:00"/>
    <x v="84"/>
    <n v="3"/>
    <x v="0"/>
    <x v="4"/>
    <x v="3"/>
    <s v="Henriette Pfalzheim"/>
    <n v="9265"/>
    <s v="No"/>
    <x v="40"/>
  </r>
  <r>
    <n v="333900"/>
    <n v="629"/>
    <x v="0"/>
    <d v="2023-11-12T00:00:00"/>
    <x v="37"/>
    <n v="11"/>
    <x v="6"/>
    <x v="2"/>
    <x v="0"/>
    <s v="Violeta Benitez"/>
    <n v="8694"/>
    <s v="No"/>
    <x v="43"/>
  </r>
  <r>
    <n v="334028"/>
    <n v="323"/>
    <x v="3"/>
    <d v="2023-07-07T00:00:00"/>
    <x v="128"/>
    <n v="7"/>
    <x v="0"/>
    <x v="6"/>
    <x v="3"/>
    <s v="Rosa Hernandez"/>
    <n v="9365"/>
    <s v="No"/>
    <x v="22"/>
  </r>
  <r>
    <n v="335011"/>
    <n v="1188"/>
    <x v="0"/>
    <d v="2023-11-27T00:00:00"/>
    <x v="169"/>
    <n v="11"/>
    <x v="5"/>
    <x v="2"/>
    <x v="3"/>
    <s v="Peter Ferguson"/>
    <n v="4882"/>
    <s v="No"/>
    <x v="20"/>
  </r>
  <r>
    <n v="336670"/>
    <n v="1963"/>
    <x v="6"/>
    <d v="2023-07-09T00:00:00"/>
    <x v="8"/>
    <n v="7"/>
    <x v="6"/>
    <x v="6"/>
    <x v="2"/>
    <s v="Daniel Da Cunha"/>
    <n v="7178"/>
    <s v="No"/>
    <x v="5"/>
  </r>
  <r>
    <n v="337678"/>
    <n v="231"/>
    <x v="0"/>
    <d v="2023-06-25T00:00:00"/>
    <x v="10"/>
    <n v="6"/>
    <x v="6"/>
    <x v="7"/>
    <x v="2"/>
    <s v="Wing C Tam"/>
    <n v="6888"/>
    <s v="No"/>
    <x v="10"/>
  </r>
  <r>
    <n v="338433"/>
    <n v="1583"/>
    <x v="5"/>
    <d v="2023-05-20T00:00:00"/>
    <x v="57"/>
    <n v="5"/>
    <x v="1"/>
    <x v="11"/>
    <x v="1"/>
    <s v="Matti Karttunen"/>
    <n v="2588"/>
    <s v="No"/>
    <x v="38"/>
  </r>
  <r>
    <n v="338722"/>
    <n v="1401"/>
    <x v="10"/>
    <d v="2023-07-02T00:00:00"/>
    <x v="121"/>
    <n v="7"/>
    <x v="6"/>
    <x v="6"/>
    <x v="0"/>
    <s v="Valarie Nelson"/>
    <n v="8554"/>
    <s v="No"/>
    <x v="62"/>
  </r>
  <r>
    <n v="339088"/>
    <n v="904"/>
    <x v="1"/>
    <d v="2023-07-31T00:00:00"/>
    <x v="35"/>
    <n v="7"/>
    <x v="5"/>
    <x v="6"/>
    <x v="3"/>
    <s v="Jytte Petersen"/>
    <n v="4909"/>
    <s v="No"/>
    <x v="6"/>
  </r>
  <r>
    <n v="340986"/>
    <n v="1570"/>
    <x v="0"/>
    <d v="2023-09-22T00:00:00"/>
    <x v="135"/>
    <n v="9"/>
    <x v="0"/>
    <x v="10"/>
    <x v="1"/>
    <s v="Georg Pipps"/>
    <n v="3502"/>
    <s v="No"/>
    <x v="7"/>
  </r>
  <r>
    <n v="341171"/>
    <n v="1438"/>
    <x v="5"/>
    <d v="2023-11-01T00:00:00"/>
    <x v="179"/>
    <n v="11"/>
    <x v="4"/>
    <x v="2"/>
    <x v="3"/>
    <s v="Michael Frick"/>
    <n v="1596"/>
    <s v="No"/>
    <x v="31"/>
  </r>
  <r>
    <n v="341522"/>
    <n v="1268"/>
    <x v="0"/>
    <d v="2023-08-12T00:00:00"/>
    <x v="21"/>
    <n v="8"/>
    <x v="1"/>
    <x v="8"/>
    <x v="1"/>
    <s v="Julie Murphy"/>
    <n v="1649"/>
    <s v="No"/>
    <x v="68"/>
  </r>
  <r>
    <n v="341838"/>
    <n v="1367"/>
    <x v="2"/>
    <d v="2023-11-18T00:00:00"/>
    <x v="109"/>
    <n v="11"/>
    <x v="1"/>
    <x v="2"/>
    <x v="2"/>
    <s v="Peter Ferguson"/>
    <n v="7477"/>
    <s v="No"/>
    <x v="5"/>
  </r>
  <r>
    <n v="341843"/>
    <n v="1121"/>
    <x v="1"/>
    <d v="2023-05-29T00:00:00"/>
    <x v="149"/>
    <n v="5"/>
    <x v="5"/>
    <x v="11"/>
    <x v="0"/>
    <s v="Adrian Huxley"/>
    <n v="863"/>
    <s v="No"/>
    <x v="66"/>
  </r>
  <r>
    <n v="342057"/>
    <n v="1152"/>
    <x v="4"/>
    <d v="2023-06-04T00:00:00"/>
    <x v="36"/>
    <n v="6"/>
    <x v="6"/>
    <x v="7"/>
    <x v="0"/>
    <s v="Sue Taylor"/>
    <n v="9941"/>
    <s v="No"/>
    <x v="25"/>
  </r>
  <r>
    <n v="342826"/>
    <n v="1486"/>
    <x v="0"/>
    <d v="2023-06-20T00:00:00"/>
    <x v="17"/>
    <n v="6"/>
    <x v="2"/>
    <x v="7"/>
    <x v="0"/>
    <s v="Julie Brown"/>
    <n v="3861"/>
    <s v="No"/>
    <x v="35"/>
  </r>
  <r>
    <n v="343003"/>
    <n v="1880"/>
    <x v="4"/>
    <d v="2023-02-19T00:00:00"/>
    <x v="84"/>
    <n v="2"/>
    <x v="6"/>
    <x v="5"/>
    <x v="2"/>
    <s v="Giovanni Rovelli"/>
    <n v="7628"/>
    <s v="No"/>
    <x v="38"/>
  </r>
  <r>
    <n v="344182"/>
    <n v="519"/>
    <x v="3"/>
    <d v="2023-07-20T00:00:00"/>
    <x v="92"/>
    <n v="7"/>
    <x v="3"/>
    <x v="6"/>
    <x v="0"/>
    <s v="Valarie Nelson"/>
    <n v="9637"/>
    <s v="No"/>
    <x v="41"/>
  </r>
  <r>
    <n v="347036"/>
    <n v="1424"/>
    <x v="4"/>
    <d v="2023-02-14T00:00:00"/>
    <x v="165"/>
    <n v="2"/>
    <x v="2"/>
    <x v="5"/>
    <x v="2"/>
    <s v="Sean Connery"/>
    <n v="1632"/>
    <s v="No"/>
    <x v="36"/>
  </r>
  <r>
    <n v="347243"/>
    <n v="470"/>
    <x v="0"/>
    <d v="2023-06-02T00:00:00"/>
    <x v="100"/>
    <n v="6"/>
    <x v="0"/>
    <x v="7"/>
    <x v="2"/>
    <s v="Diego Freyre"/>
    <n v="5127"/>
    <s v="No"/>
    <x v="24"/>
  </r>
  <r>
    <n v="347273"/>
    <n v="654"/>
    <x v="3"/>
    <d v="2023-06-08T00:00:00"/>
    <x v="139"/>
    <n v="6"/>
    <x v="3"/>
    <x v="7"/>
    <x v="0"/>
    <s v="Steve Thompson"/>
    <n v="9105"/>
    <s v="No"/>
    <x v="66"/>
  </r>
  <r>
    <n v="347302"/>
    <n v="1997"/>
    <x v="4"/>
    <d v="2023-02-05T00:00:00"/>
    <x v="19"/>
    <n v="2"/>
    <x v="6"/>
    <x v="5"/>
    <x v="1"/>
    <s v="Mary Saveley"/>
    <n v="4850"/>
    <s v="No"/>
    <x v="33"/>
  </r>
  <r>
    <n v="347767"/>
    <n v="299"/>
    <x v="1"/>
    <d v="2023-09-13T00:00:00"/>
    <x v="155"/>
    <n v="9"/>
    <x v="4"/>
    <x v="10"/>
    <x v="3"/>
    <s v="Diego Freyre"/>
    <n v="6931"/>
    <s v="No"/>
    <x v="30"/>
  </r>
  <r>
    <n v="348694"/>
    <n v="1726"/>
    <x v="4"/>
    <d v="2023-05-25T00:00:00"/>
    <x v="180"/>
    <n v="5"/>
    <x v="3"/>
    <x v="11"/>
    <x v="1"/>
    <s v="Jytte Petersen"/>
    <n v="4572"/>
    <s v="No"/>
    <x v="40"/>
  </r>
  <r>
    <n v="349131"/>
    <n v="1664"/>
    <x v="0"/>
    <d v="2023-07-08T00:00:00"/>
    <x v="116"/>
    <n v="7"/>
    <x v="1"/>
    <x v="6"/>
    <x v="0"/>
    <s v="Paolo Accorti"/>
    <n v="7000"/>
    <s v="No"/>
    <x v="18"/>
  </r>
  <r>
    <n v="350253"/>
    <n v="1752"/>
    <x v="6"/>
    <d v="2023-08-18T00:00:00"/>
    <x v="125"/>
    <n v="8"/>
    <x v="0"/>
    <x v="8"/>
    <x v="0"/>
    <s v="Veysel Oeztan"/>
    <n v="9824"/>
    <s v="No"/>
    <x v="63"/>
  </r>
  <r>
    <n v="352076"/>
    <n v="393"/>
    <x v="1"/>
    <d v="2023-03-26T00:00:00"/>
    <x v="138"/>
    <n v="3"/>
    <x v="6"/>
    <x v="4"/>
    <x v="3"/>
    <s v="Daniel Tonini"/>
    <n v="4290"/>
    <s v="No"/>
    <x v="11"/>
  </r>
  <r>
    <n v="353096"/>
    <n v="1590"/>
    <x v="5"/>
    <d v="2023-07-17T00:00:00"/>
    <x v="77"/>
    <n v="7"/>
    <x v="5"/>
    <x v="6"/>
    <x v="2"/>
    <s v="Valarie Nelson"/>
    <n v="8163"/>
    <s v="No"/>
    <x v="45"/>
  </r>
  <r>
    <n v="353572"/>
    <n v="1346"/>
    <x v="0"/>
    <d v="2023-02-24T00:00:00"/>
    <x v="135"/>
    <n v="2"/>
    <x v="0"/>
    <x v="5"/>
    <x v="1"/>
    <s v="Valarie Young"/>
    <n v="4976"/>
    <s v="No"/>
    <x v="49"/>
  </r>
  <r>
    <n v="353582"/>
    <n v="1948"/>
    <x v="0"/>
    <d v="2023-12-09T00:00:00"/>
    <x v="181"/>
    <n v="12"/>
    <x v="1"/>
    <x v="0"/>
    <x v="0"/>
    <s v="Victoria Ashworth"/>
    <n v="5138"/>
    <s v="No"/>
    <x v="33"/>
  </r>
  <r>
    <n v="354439"/>
    <n v="1014"/>
    <x v="1"/>
    <d v="2023-01-04T00:00:00"/>
    <x v="50"/>
    <n v="1"/>
    <x v="4"/>
    <x v="9"/>
    <x v="0"/>
    <s v="Sue King"/>
    <n v="2885"/>
    <s v="No"/>
    <x v="45"/>
  </r>
  <r>
    <n v="354532"/>
    <n v="419"/>
    <x v="3"/>
    <d v="2023-11-21T00:00:00"/>
    <x v="168"/>
    <n v="11"/>
    <x v="2"/>
    <x v="2"/>
    <x v="3"/>
    <s v="Daniel Da Cunha"/>
    <n v="1673"/>
    <s v="No"/>
    <x v="50"/>
  </r>
  <r>
    <n v="356612"/>
    <n v="1636"/>
    <x v="9"/>
    <d v="2023-11-30T00:00:00"/>
    <x v="115"/>
    <n v="11"/>
    <x v="3"/>
    <x v="2"/>
    <x v="1"/>
    <s v="Allen Nelson"/>
    <n v="4576"/>
    <s v="No"/>
    <x v="1"/>
  </r>
  <r>
    <n v="360154"/>
    <n v="638"/>
    <x v="3"/>
    <d v="2023-05-24T00:00:00"/>
    <x v="0"/>
    <n v="5"/>
    <x v="4"/>
    <x v="11"/>
    <x v="0"/>
    <s v="Diego Freyre"/>
    <n v="9618"/>
    <s v="No"/>
    <x v="48"/>
  </r>
  <r>
    <n v="361590"/>
    <n v="1452"/>
    <x v="3"/>
    <d v="2023-10-24T00:00:00"/>
    <x v="24"/>
    <n v="10"/>
    <x v="2"/>
    <x v="3"/>
    <x v="1"/>
    <s v="Anna O'Hara"/>
    <n v="2425"/>
    <s v="No"/>
    <x v="13"/>
  </r>
  <r>
    <n v="361964"/>
    <n v="147"/>
    <x v="0"/>
    <d v="2023-02-20T00:00:00"/>
    <x v="120"/>
    <n v="2"/>
    <x v="5"/>
    <x v="5"/>
    <x v="3"/>
    <s v="Kyung Yu"/>
    <n v="2602"/>
    <s v="No"/>
    <x v="3"/>
  </r>
  <r>
    <n v="362049"/>
    <n v="1594"/>
    <x v="6"/>
    <d v="2023-02-26T00:00:00"/>
    <x v="103"/>
    <n v="2"/>
    <x v="6"/>
    <x v="5"/>
    <x v="0"/>
    <s v="Michael Frick"/>
    <n v="4382"/>
    <s v="No"/>
    <x v="18"/>
  </r>
  <r>
    <n v="363155"/>
    <n v="416"/>
    <x v="1"/>
    <d v="2023-01-19T00:00:00"/>
    <x v="150"/>
    <n v="1"/>
    <x v="3"/>
    <x v="9"/>
    <x v="1"/>
    <s v="Julie Murphy"/>
    <n v="3033"/>
    <s v="No"/>
    <x v="71"/>
  </r>
  <r>
    <n v="363439"/>
    <n v="1150"/>
    <x v="0"/>
    <d v="2023-07-13T00:00:00"/>
    <x v="153"/>
    <n v="7"/>
    <x v="3"/>
    <x v="6"/>
    <x v="2"/>
    <s v="Mart¡n Sommer"/>
    <n v="8067"/>
    <s v="No"/>
    <x v="55"/>
  </r>
  <r>
    <n v="363764"/>
    <n v="927"/>
    <x v="1"/>
    <d v="2023-06-20T00:00:00"/>
    <x v="6"/>
    <n v="6"/>
    <x v="2"/>
    <x v="7"/>
    <x v="2"/>
    <s v="Adrian Huxley"/>
    <n v="6014"/>
    <s v="No"/>
    <x v="55"/>
  </r>
  <r>
    <n v="364332"/>
    <n v="1169"/>
    <x v="3"/>
    <d v="2023-02-24T00:00:00"/>
    <x v="168"/>
    <n v="2"/>
    <x v="0"/>
    <x v="5"/>
    <x v="0"/>
    <s v="Sue Taylor"/>
    <n v="6539"/>
    <s v="No"/>
    <x v="47"/>
  </r>
  <r>
    <n v="365101"/>
    <n v="1475"/>
    <x v="4"/>
    <d v="2023-02-14T00:00:00"/>
    <x v="182"/>
    <n v="2"/>
    <x v="2"/>
    <x v="5"/>
    <x v="3"/>
    <s v="Julie Brown"/>
    <n v="433"/>
    <s v="No"/>
    <x v="5"/>
  </r>
  <r>
    <n v="365117"/>
    <n v="1415"/>
    <x v="3"/>
    <d v="2023-05-17T00:00:00"/>
    <x v="91"/>
    <n v="5"/>
    <x v="4"/>
    <x v="11"/>
    <x v="3"/>
    <s v="Giovanni Rovelli"/>
    <n v="5905"/>
    <s v="No"/>
    <x v="37"/>
  </r>
  <r>
    <n v="365718"/>
    <n v="1080"/>
    <x v="1"/>
    <d v="2023-09-28T00:00:00"/>
    <x v="165"/>
    <n v="9"/>
    <x v="3"/>
    <x v="10"/>
    <x v="2"/>
    <s v="Valarie Nelson"/>
    <n v="5697"/>
    <s v="No"/>
    <x v="61"/>
  </r>
  <r>
    <n v="366083"/>
    <n v="1680"/>
    <x v="0"/>
    <d v="2023-02-15T00:00:00"/>
    <x v="52"/>
    <n v="2"/>
    <x v="4"/>
    <x v="5"/>
    <x v="0"/>
    <s v="Sean Connery"/>
    <n v="8672"/>
    <s v="No"/>
    <x v="10"/>
  </r>
  <r>
    <n v="366394"/>
    <n v="1048"/>
    <x v="1"/>
    <d v="2023-09-01T00:00:00"/>
    <x v="29"/>
    <n v="9"/>
    <x v="0"/>
    <x v="10"/>
    <x v="0"/>
    <s v="Diego Freyre"/>
    <n v="3380"/>
    <s v="No"/>
    <x v="47"/>
  </r>
  <r>
    <n v="366719"/>
    <n v="1505"/>
    <x v="0"/>
    <d v="2023-03-04T00:00:00"/>
    <x v="183"/>
    <n v="3"/>
    <x v="1"/>
    <x v="4"/>
    <x v="0"/>
    <s v="Steve Thompson"/>
    <n v="7878"/>
    <s v="No"/>
    <x v="68"/>
  </r>
  <r>
    <n v="367308"/>
    <n v="1355"/>
    <x v="4"/>
    <d v="2023-01-15T00:00:00"/>
    <x v="41"/>
    <n v="1"/>
    <x v="6"/>
    <x v="9"/>
    <x v="0"/>
    <s v="Mary Saveley"/>
    <n v="6648"/>
    <s v="No"/>
    <x v="69"/>
  </r>
  <r>
    <n v="368229"/>
    <n v="1318"/>
    <x v="0"/>
    <d v="2023-11-19T00:00:00"/>
    <x v="78"/>
    <n v="11"/>
    <x v="6"/>
    <x v="2"/>
    <x v="3"/>
    <s v="Diego Freyre"/>
    <n v="4702"/>
    <s v="No"/>
    <x v="32"/>
  </r>
  <r>
    <n v="368675"/>
    <n v="1109"/>
    <x v="1"/>
    <d v="2023-10-17T00:00:00"/>
    <x v="146"/>
    <n v="10"/>
    <x v="2"/>
    <x v="3"/>
    <x v="2"/>
    <s v="Jytte Petersen"/>
    <n v="6922"/>
    <s v="No"/>
    <x v="46"/>
  </r>
  <r>
    <n v="369020"/>
    <n v="1740"/>
    <x v="0"/>
    <d v="2023-09-20T00:00:00"/>
    <x v="130"/>
    <n v="9"/>
    <x v="4"/>
    <x v="10"/>
    <x v="2"/>
    <s v="Paolo Accorti"/>
    <n v="8651"/>
    <s v="No"/>
    <x v="5"/>
  </r>
  <r>
    <n v="369311"/>
    <n v="1985"/>
    <x v="3"/>
    <d v="2023-11-29T00:00:00"/>
    <x v="128"/>
    <n v="11"/>
    <x v="4"/>
    <x v="2"/>
    <x v="1"/>
    <s v="Veysel Oeztan"/>
    <n v="5332"/>
    <s v="No"/>
    <x v="22"/>
  </r>
  <r>
    <n v="370729"/>
    <n v="1170"/>
    <x v="7"/>
    <d v="2023-02-25T00:00:00"/>
    <x v="23"/>
    <n v="2"/>
    <x v="1"/>
    <x v="5"/>
    <x v="3"/>
    <s v="Daniel Tonini"/>
    <n v="2725"/>
    <s v="No"/>
    <x v="48"/>
  </r>
  <r>
    <n v="372217"/>
    <n v="43"/>
    <x v="5"/>
    <d v="2023-09-19T00:00:00"/>
    <x v="24"/>
    <n v="9"/>
    <x v="2"/>
    <x v="10"/>
    <x v="0"/>
    <s v="Valarie Nelson"/>
    <n v="6713"/>
    <s v="No"/>
    <x v="39"/>
  </r>
  <r>
    <n v="373284"/>
    <n v="879"/>
    <x v="0"/>
    <d v="2023-01-24T00:00:00"/>
    <x v="184"/>
    <n v="1"/>
    <x v="2"/>
    <x v="9"/>
    <x v="2"/>
    <s v="Valarie Young"/>
    <n v="4368"/>
    <s v="No"/>
    <x v="41"/>
  </r>
  <r>
    <n v="373452"/>
    <n v="1209"/>
    <x v="10"/>
    <d v="2023-07-28T00:00:00"/>
    <x v="185"/>
    <n v="7"/>
    <x v="0"/>
    <x v="6"/>
    <x v="0"/>
    <s v="Victoria Ashworth"/>
    <n v="8190"/>
    <s v="No"/>
    <x v="4"/>
  </r>
  <r>
    <n v="373612"/>
    <n v="1567"/>
    <x v="0"/>
    <d v="2023-05-20T00:00:00"/>
    <x v="99"/>
    <n v="5"/>
    <x v="1"/>
    <x v="11"/>
    <x v="3"/>
    <s v="Peter Ferguson"/>
    <n v="9653"/>
    <s v="No"/>
    <x v="5"/>
  </r>
  <r>
    <n v="374946"/>
    <n v="931"/>
    <x v="0"/>
    <d v="2023-09-17T00:00:00"/>
    <x v="162"/>
    <n v="9"/>
    <x v="6"/>
    <x v="10"/>
    <x v="1"/>
    <s v="Daniel Da Cunha"/>
    <n v="8553"/>
    <s v="No"/>
    <x v="30"/>
  </r>
  <r>
    <n v="375276"/>
    <n v="1524"/>
    <x v="3"/>
    <d v="2023-04-21T00:00:00"/>
    <x v="84"/>
    <n v="4"/>
    <x v="0"/>
    <x v="1"/>
    <x v="3"/>
    <s v="Allen Nelson"/>
    <n v="4766"/>
    <s v="No"/>
    <x v="21"/>
  </r>
  <r>
    <n v="375561"/>
    <n v="599"/>
    <x v="6"/>
    <d v="2023-12-29T00:00:00"/>
    <x v="115"/>
    <n v="12"/>
    <x v="0"/>
    <x v="0"/>
    <x v="3"/>
    <s v="Julie Brown"/>
    <n v="3609"/>
    <s v="No"/>
    <x v="24"/>
  </r>
  <r>
    <n v="376848"/>
    <n v="1893"/>
    <x v="6"/>
    <d v="2023-06-21T00:00:00"/>
    <x v="85"/>
    <n v="6"/>
    <x v="4"/>
    <x v="7"/>
    <x v="1"/>
    <s v="Anna O'Hara"/>
    <n v="2298"/>
    <s v="No"/>
    <x v="59"/>
  </r>
  <r>
    <n v="378945"/>
    <n v="1964"/>
    <x v="4"/>
    <d v="2023-08-01T00:00:00"/>
    <x v="101"/>
    <n v="8"/>
    <x v="2"/>
    <x v="8"/>
    <x v="0"/>
    <s v="Kyung Yu"/>
    <n v="2444"/>
    <s v="No"/>
    <x v="24"/>
  </r>
  <r>
    <n v="379416"/>
    <n v="1873"/>
    <x v="6"/>
    <d v="2023-05-27T00:00:00"/>
    <x v="148"/>
    <n v="5"/>
    <x v="1"/>
    <x v="11"/>
    <x v="0"/>
    <s v="Victoria Ashworth"/>
    <n v="7996"/>
    <s v="No"/>
    <x v="1"/>
  </r>
  <r>
    <n v="380866"/>
    <n v="202"/>
    <x v="0"/>
    <d v="2023-12-31T00:00:00"/>
    <x v="186"/>
    <n v="12"/>
    <x v="6"/>
    <x v="0"/>
    <x v="0"/>
    <s v="Carine Schmitt"/>
    <n v="526"/>
    <s v="No"/>
    <x v="46"/>
  </r>
  <r>
    <n v="381897"/>
    <n v="1314"/>
    <x v="0"/>
    <d v="2023-07-13T00:00:00"/>
    <x v="187"/>
    <n v="7"/>
    <x v="3"/>
    <x v="6"/>
    <x v="1"/>
    <s v="Paul Henriot"/>
    <n v="3916"/>
    <s v="No"/>
    <x v="46"/>
  </r>
  <r>
    <n v="382563"/>
    <n v="1070"/>
    <x v="5"/>
    <d v="2023-10-16T00:00:00"/>
    <x v="142"/>
    <n v="10"/>
    <x v="5"/>
    <x v="3"/>
    <x v="2"/>
    <s v="Anna O'Hara"/>
    <n v="471"/>
    <s v="No"/>
    <x v="52"/>
  </r>
  <r>
    <n v="382755"/>
    <n v="777"/>
    <x v="0"/>
    <d v="2023-07-31T00:00:00"/>
    <x v="70"/>
    <n v="7"/>
    <x v="5"/>
    <x v="6"/>
    <x v="3"/>
    <s v="Palle Ibsen"/>
    <n v="1008"/>
    <s v="No"/>
    <x v="62"/>
  </r>
  <r>
    <n v="383194"/>
    <n v="1167"/>
    <x v="0"/>
    <d v="2023-05-29T00:00:00"/>
    <x v="188"/>
    <n v="5"/>
    <x v="5"/>
    <x v="11"/>
    <x v="1"/>
    <s v="Julie King"/>
    <n v="6812"/>
    <s v="No"/>
    <x v="61"/>
  </r>
  <r>
    <n v="383311"/>
    <n v="1257"/>
    <x v="0"/>
    <d v="2023-08-16T00:00:00"/>
    <x v="187"/>
    <n v="8"/>
    <x v="4"/>
    <x v="8"/>
    <x v="1"/>
    <s v="Veysel Oeztan"/>
    <n v="362"/>
    <s v="No"/>
    <x v="45"/>
  </r>
  <r>
    <n v="383781"/>
    <n v="333"/>
    <x v="7"/>
    <d v="2023-12-14T00:00:00"/>
    <x v="83"/>
    <n v="12"/>
    <x v="3"/>
    <x v="0"/>
    <x v="2"/>
    <s v="Valarie Young"/>
    <n v="75"/>
    <s v="No"/>
    <x v="64"/>
  </r>
  <r>
    <n v="384942"/>
    <n v="1938"/>
    <x v="0"/>
    <d v="2023-10-05T00:00:00"/>
    <x v="27"/>
    <n v="10"/>
    <x v="3"/>
    <x v="3"/>
    <x v="0"/>
    <s v="Jeff Young"/>
    <n v="5617"/>
    <s v="No"/>
    <x v="41"/>
  </r>
  <r>
    <n v="385164"/>
    <n v="1569"/>
    <x v="4"/>
    <d v="2023-05-24T00:00:00"/>
    <x v="53"/>
    <n v="5"/>
    <x v="4"/>
    <x v="11"/>
    <x v="0"/>
    <s v="Diego Freyre"/>
    <n v="6376"/>
    <s v="No"/>
    <x v="1"/>
  </r>
  <r>
    <n v="385361"/>
    <n v="565"/>
    <x v="3"/>
    <d v="2023-11-19T00:00:00"/>
    <x v="56"/>
    <n v="11"/>
    <x v="6"/>
    <x v="2"/>
    <x v="3"/>
    <s v="Valarie Thompson"/>
    <n v="9005"/>
    <s v="No"/>
    <x v="14"/>
  </r>
  <r>
    <n v="386283"/>
    <n v="190"/>
    <x v="3"/>
    <d v="2023-02-06T00:00:00"/>
    <x v="164"/>
    <n v="2"/>
    <x v="5"/>
    <x v="5"/>
    <x v="3"/>
    <s v="Frederique Citeaux"/>
    <n v="8183"/>
    <s v="No"/>
    <x v="37"/>
  </r>
  <r>
    <n v="386673"/>
    <n v="302"/>
    <x v="7"/>
    <d v="2023-05-31T00:00:00"/>
    <x v="157"/>
    <n v="5"/>
    <x v="4"/>
    <x v="11"/>
    <x v="3"/>
    <s v="Elizabeth Devon"/>
    <n v="1947"/>
    <s v="No"/>
    <x v="3"/>
  </r>
  <r>
    <n v="386885"/>
    <n v="1647"/>
    <x v="0"/>
    <d v="2023-03-06T00:00:00"/>
    <x v="50"/>
    <n v="3"/>
    <x v="5"/>
    <x v="4"/>
    <x v="3"/>
    <s v="Maurizio Moroni"/>
    <n v="9165"/>
    <s v="No"/>
    <x v="13"/>
  </r>
  <r>
    <n v="387103"/>
    <n v="762"/>
    <x v="13"/>
    <d v="2023-05-31T00:00:00"/>
    <x v="148"/>
    <n v="5"/>
    <x v="4"/>
    <x v="11"/>
    <x v="2"/>
    <s v="Sue King"/>
    <n v="1379"/>
    <s v="No"/>
    <x v="29"/>
  </r>
  <r>
    <n v="388268"/>
    <n v="217"/>
    <x v="0"/>
    <d v="2023-10-21T00:00:00"/>
    <x v="88"/>
    <n v="10"/>
    <x v="1"/>
    <x v="3"/>
    <x v="3"/>
    <s v="Wendy Victorino"/>
    <n v="1780"/>
    <s v="No"/>
    <x v="52"/>
  </r>
  <r>
    <n v="389519"/>
    <n v="336"/>
    <x v="4"/>
    <d v="2023-11-19T00:00:00"/>
    <x v="179"/>
    <n v="11"/>
    <x v="6"/>
    <x v="2"/>
    <x v="3"/>
    <s v="Jan Klaeboe"/>
    <n v="5243"/>
    <s v="No"/>
    <x v="47"/>
  </r>
  <r>
    <n v="389648"/>
    <n v="1360"/>
    <x v="4"/>
    <d v="2023-01-14T00:00:00"/>
    <x v="20"/>
    <n v="1"/>
    <x v="1"/>
    <x v="9"/>
    <x v="3"/>
    <s v="Diego Freyre"/>
    <n v="6153"/>
    <s v="No"/>
    <x v="28"/>
  </r>
  <r>
    <n v="389725"/>
    <n v="487"/>
    <x v="6"/>
    <d v="2023-11-07T00:00:00"/>
    <x v="189"/>
    <n v="11"/>
    <x v="2"/>
    <x v="2"/>
    <x v="1"/>
    <s v="Violeta Benitez"/>
    <n v="206"/>
    <s v="No"/>
    <x v="49"/>
  </r>
  <r>
    <n v="390345"/>
    <n v="245"/>
    <x v="1"/>
    <d v="2023-07-13T00:00:00"/>
    <x v="151"/>
    <n v="7"/>
    <x v="3"/>
    <x v="6"/>
    <x v="1"/>
    <s v="Rosa Hernandez"/>
    <n v="4767"/>
    <s v="No"/>
    <x v="42"/>
  </r>
  <r>
    <n v="390509"/>
    <n v="11"/>
    <x v="0"/>
    <d v="2023-08-09T00:00:00"/>
    <x v="28"/>
    <n v="8"/>
    <x v="4"/>
    <x v="8"/>
    <x v="0"/>
    <s v="Paul Henriot"/>
    <n v="2754"/>
    <s v="No"/>
    <x v="43"/>
  </r>
  <r>
    <n v="390821"/>
    <n v="291"/>
    <x v="1"/>
    <d v="2023-05-10T00:00:00"/>
    <x v="121"/>
    <n v="5"/>
    <x v="4"/>
    <x v="11"/>
    <x v="2"/>
    <s v="Julie Young"/>
    <n v="2140"/>
    <s v="No"/>
    <x v="60"/>
  </r>
  <r>
    <n v="391564"/>
    <n v="926"/>
    <x v="0"/>
    <d v="2023-05-03T00:00:00"/>
    <x v="91"/>
    <n v="5"/>
    <x v="4"/>
    <x v="11"/>
    <x v="0"/>
    <s v="Diego Freyre"/>
    <n v="3051"/>
    <s v="No"/>
    <x v="11"/>
  </r>
  <r>
    <n v="391706"/>
    <n v="1840"/>
    <x v="0"/>
    <d v="2023-02-14T00:00:00"/>
    <x v="183"/>
    <n v="2"/>
    <x v="2"/>
    <x v="5"/>
    <x v="3"/>
    <s v="Sue Frick"/>
    <n v="5396"/>
    <s v="No"/>
    <x v="69"/>
  </r>
  <r>
    <n v="391963"/>
    <n v="1885"/>
    <x v="9"/>
    <d v="2023-11-10T00:00:00"/>
    <x v="190"/>
    <n v="11"/>
    <x v="0"/>
    <x v="2"/>
    <x v="2"/>
    <s v="Georg Pipps"/>
    <n v="856"/>
    <s v="No"/>
    <x v="18"/>
  </r>
  <r>
    <n v="393726"/>
    <n v="1676"/>
    <x v="9"/>
    <d v="2023-03-29T00:00:00"/>
    <x v="138"/>
    <n v="3"/>
    <x v="4"/>
    <x v="4"/>
    <x v="2"/>
    <s v="Giovanni Rovelli"/>
    <n v="2852"/>
    <s v="No"/>
    <x v="5"/>
  </r>
  <r>
    <n v="393917"/>
    <n v="359"/>
    <x v="3"/>
    <d v="2023-06-28T00:00:00"/>
    <x v="0"/>
    <n v="6"/>
    <x v="4"/>
    <x v="7"/>
    <x v="3"/>
    <s v="Georg Pipps"/>
    <n v="2533"/>
    <s v="No"/>
    <x v="2"/>
  </r>
  <r>
    <n v="394768"/>
    <n v="224"/>
    <x v="1"/>
    <d v="2023-12-29T00:00:00"/>
    <x v="191"/>
    <n v="12"/>
    <x v="0"/>
    <x v="0"/>
    <x v="1"/>
    <s v="Dan Lewis"/>
    <n v="3458"/>
    <s v="No"/>
    <x v="71"/>
  </r>
  <r>
    <n v="394773"/>
    <n v="1474"/>
    <x v="0"/>
    <d v="2023-11-01T00:00:00"/>
    <x v="85"/>
    <n v="11"/>
    <x v="4"/>
    <x v="2"/>
    <x v="1"/>
    <s v="Wing C Tam"/>
    <n v="9148"/>
    <s v="No"/>
    <x v="5"/>
  </r>
  <r>
    <n v="394904"/>
    <n v="1620"/>
    <x v="0"/>
    <d v="2023-10-07T00:00:00"/>
    <x v="14"/>
    <n v="10"/>
    <x v="1"/>
    <x v="3"/>
    <x v="3"/>
    <s v="Matti Karttunen"/>
    <n v="3234"/>
    <s v="No"/>
    <x v="57"/>
  </r>
  <r>
    <n v="394940"/>
    <n v="1815"/>
    <x v="9"/>
    <d v="2023-10-31T00:00:00"/>
    <x v="192"/>
    <n v="10"/>
    <x v="2"/>
    <x v="3"/>
    <x v="1"/>
    <s v="Maria Larsson"/>
    <n v="4437"/>
    <s v="No"/>
    <x v="64"/>
  </r>
  <r>
    <n v="395235"/>
    <n v="869"/>
    <x v="9"/>
    <d v="2023-10-06T00:00:00"/>
    <x v="126"/>
    <n v="10"/>
    <x v="0"/>
    <x v="3"/>
    <x v="0"/>
    <s v="Annette Roulet"/>
    <n v="6921"/>
    <s v="No"/>
    <x v="72"/>
  </r>
  <r>
    <n v="396045"/>
    <n v="892"/>
    <x v="0"/>
    <d v="2023-05-13T00:00:00"/>
    <x v="85"/>
    <n v="5"/>
    <x v="1"/>
    <x v="11"/>
    <x v="1"/>
    <s v="Thomas Hardy"/>
    <n v="4913"/>
    <s v="No"/>
    <x v="6"/>
  </r>
  <r>
    <n v="396103"/>
    <n v="1588"/>
    <x v="3"/>
    <d v="2023-12-15T00:00:00"/>
    <x v="83"/>
    <n v="12"/>
    <x v="0"/>
    <x v="0"/>
    <x v="2"/>
    <s v="Arnold Cruz"/>
    <n v="3558"/>
    <s v="No"/>
    <x v="8"/>
  </r>
  <r>
    <n v="396352"/>
    <n v="965"/>
    <x v="6"/>
    <d v="2023-06-13T00:00:00"/>
    <x v="129"/>
    <n v="6"/>
    <x v="2"/>
    <x v="7"/>
    <x v="3"/>
    <s v="Mory Kentary"/>
    <n v="6855"/>
    <s v="No"/>
    <x v="63"/>
  </r>
  <r>
    <n v="396721"/>
    <n v="410"/>
    <x v="1"/>
    <d v="2023-09-23T00:00:00"/>
    <x v="193"/>
    <n v="9"/>
    <x v="1"/>
    <x v="10"/>
    <x v="3"/>
    <s v="Valarie Thompson"/>
    <n v="3567"/>
    <s v="No"/>
    <x v="36"/>
  </r>
  <r>
    <n v="397428"/>
    <n v="576"/>
    <x v="0"/>
    <d v="2023-05-10T00:00:00"/>
    <x v="182"/>
    <n v="5"/>
    <x v="4"/>
    <x v="11"/>
    <x v="3"/>
    <s v="Sue Frick"/>
    <n v="1426"/>
    <s v="No"/>
    <x v="59"/>
  </r>
  <r>
    <n v="397931"/>
    <n v="1062"/>
    <x v="1"/>
    <d v="2023-07-24T00:00:00"/>
    <x v="6"/>
    <n v="7"/>
    <x v="5"/>
    <x v="6"/>
    <x v="3"/>
    <s v="Diego Freyre"/>
    <n v="8407"/>
    <s v="No"/>
    <x v="17"/>
  </r>
  <r>
    <n v="400062"/>
    <n v="1054"/>
    <x v="1"/>
    <d v="2023-09-03T00:00:00"/>
    <x v="190"/>
    <n v="9"/>
    <x v="6"/>
    <x v="10"/>
    <x v="0"/>
    <s v="Allen Nelson"/>
    <n v="1436"/>
    <s v="No"/>
    <x v="46"/>
  </r>
  <r>
    <n v="400313"/>
    <n v="899"/>
    <x v="0"/>
    <d v="2023-04-18T00:00:00"/>
    <x v="112"/>
    <n v="4"/>
    <x v="2"/>
    <x v="1"/>
    <x v="1"/>
    <s v="Jan Klaeboe"/>
    <n v="6891"/>
    <s v="No"/>
    <x v="21"/>
  </r>
  <r>
    <n v="400957"/>
    <n v="1746"/>
    <x v="2"/>
    <d v="2023-09-01T00:00:00"/>
    <x v="91"/>
    <n v="9"/>
    <x v="0"/>
    <x v="10"/>
    <x v="0"/>
    <s v="Michael Donnermeyer"/>
    <n v="382"/>
    <s v="No"/>
    <x v="50"/>
  </r>
  <r>
    <n v="401745"/>
    <n v="327"/>
    <x v="1"/>
    <d v="2023-06-25T00:00:00"/>
    <x v="125"/>
    <n v="6"/>
    <x v="6"/>
    <x v="7"/>
    <x v="1"/>
    <s v="Francisca Cervantes"/>
    <n v="166"/>
    <s v="No"/>
    <x v="24"/>
  </r>
  <r>
    <n v="401879"/>
    <n v="126"/>
    <x v="0"/>
    <d v="2023-05-06T00:00:00"/>
    <x v="99"/>
    <n v="5"/>
    <x v="1"/>
    <x v="11"/>
    <x v="1"/>
    <s v="Helen Bennett"/>
    <n v="1022"/>
    <s v="No"/>
    <x v="25"/>
  </r>
  <r>
    <n v="401887"/>
    <n v="376"/>
    <x v="1"/>
    <d v="2023-02-03T00:00:00"/>
    <x v="52"/>
    <n v="2"/>
    <x v="0"/>
    <x v="5"/>
    <x v="1"/>
    <s v="Jytte Petersen"/>
    <n v="9941"/>
    <s v="No"/>
    <x v="20"/>
  </r>
  <r>
    <n v="402186"/>
    <n v="651"/>
    <x v="0"/>
    <d v="2023-08-05T00:00:00"/>
    <x v="72"/>
    <n v="8"/>
    <x v="1"/>
    <x v="8"/>
    <x v="2"/>
    <s v="Pascale Cartrain"/>
    <n v="8800"/>
    <s v="No"/>
    <x v="57"/>
  </r>
  <r>
    <n v="402508"/>
    <n v="155"/>
    <x v="1"/>
    <d v="2023-10-20T00:00:00"/>
    <x v="76"/>
    <n v="10"/>
    <x v="0"/>
    <x v="3"/>
    <x v="2"/>
    <s v="Ann Brown"/>
    <n v="8064"/>
    <s v="No"/>
    <x v="72"/>
  </r>
  <r>
    <n v="403651"/>
    <n v="1700"/>
    <x v="0"/>
    <d v="2023-07-17T00:00:00"/>
    <x v="162"/>
    <n v="7"/>
    <x v="5"/>
    <x v="6"/>
    <x v="0"/>
    <s v="Pirkko Koskitalo"/>
    <n v="8812"/>
    <s v="No"/>
    <x v="2"/>
  </r>
  <r>
    <n v="404150"/>
    <n v="1902"/>
    <x v="9"/>
    <d v="2023-03-30T00:00:00"/>
    <x v="50"/>
    <n v="3"/>
    <x v="3"/>
    <x v="4"/>
    <x v="2"/>
    <s v="Diego Freyre"/>
    <n v="5798"/>
    <s v="No"/>
    <x v="7"/>
  </r>
  <r>
    <n v="404700"/>
    <n v="1182"/>
    <x v="0"/>
    <d v="2023-11-26T00:00:00"/>
    <x v="25"/>
    <n v="11"/>
    <x v="6"/>
    <x v="2"/>
    <x v="0"/>
    <s v="Paul Henriot"/>
    <n v="2761"/>
    <s v="No"/>
    <x v="40"/>
  </r>
  <r>
    <n v="405184"/>
    <n v="1848"/>
    <x v="0"/>
    <d v="2023-03-08T00:00:00"/>
    <x v="159"/>
    <n v="3"/>
    <x v="4"/>
    <x v="4"/>
    <x v="0"/>
    <s v="Sue Frick"/>
    <n v="7111"/>
    <s v="No"/>
    <x v="42"/>
  </r>
  <r>
    <n v="406996"/>
    <n v="1083"/>
    <x v="4"/>
    <d v="2023-04-24T00:00:00"/>
    <x v="171"/>
    <n v="4"/>
    <x v="5"/>
    <x v="1"/>
    <x v="3"/>
    <s v="Maurizio Moroni"/>
    <n v="9682"/>
    <s v="No"/>
    <x v="5"/>
  </r>
  <r>
    <n v="408798"/>
    <n v="1293"/>
    <x v="0"/>
    <d v="2023-01-31T00:00:00"/>
    <x v="117"/>
    <n v="1"/>
    <x v="2"/>
    <x v="9"/>
    <x v="1"/>
    <s v="Valarie Young"/>
    <n v="9889"/>
    <s v="No"/>
    <x v="4"/>
  </r>
  <r>
    <n v="408889"/>
    <n v="751"/>
    <x v="1"/>
    <d v="2023-02-20T00:00:00"/>
    <x v="63"/>
    <n v="2"/>
    <x v="5"/>
    <x v="5"/>
    <x v="3"/>
    <s v="Victoria Ashworth"/>
    <n v="8398"/>
    <s v="No"/>
    <x v="43"/>
  </r>
  <r>
    <n v="410734"/>
    <n v="555"/>
    <x v="0"/>
    <d v="2023-05-06T00:00:00"/>
    <x v="32"/>
    <n v="5"/>
    <x v="1"/>
    <x v="11"/>
    <x v="2"/>
    <s v="Sue King"/>
    <n v="3175"/>
    <s v="No"/>
    <x v="70"/>
  </r>
  <r>
    <n v="411108"/>
    <n v="258"/>
    <x v="1"/>
    <d v="2023-04-01T00:00:00"/>
    <x v="116"/>
    <n v="4"/>
    <x v="1"/>
    <x v="1"/>
    <x v="0"/>
    <s v="Sue Taylor"/>
    <n v="4801"/>
    <s v="No"/>
    <x v="28"/>
  </r>
  <r>
    <n v="411162"/>
    <n v="433"/>
    <x v="1"/>
    <d v="2023-08-06T00:00:00"/>
    <x v="151"/>
    <n v="8"/>
    <x v="6"/>
    <x v="8"/>
    <x v="3"/>
    <s v="Julie Brown"/>
    <n v="2485"/>
    <s v="No"/>
    <x v="39"/>
  </r>
  <r>
    <n v="411449"/>
    <n v="609"/>
    <x v="0"/>
    <d v="2023-05-01T00:00:00"/>
    <x v="107"/>
    <n v="5"/>
    <x v="5"/>
    <x v="11"/>
    <x v="1"/>
    <s v="Giovanni Rovelli"/>
    <n v="4109"/>
    <s v="No"/>
    <x v="27"/>
  </r>
  <r>
    <n v="411916"/>
    <n v="967"/>
    <x v="6"/>
    <d v="2023-07-29T00:00:00"/>
    <x v="107"/>
    <n v="7"/>
    <x v="1"/>
    <x v="6"/>
    <x v="1"/>
    <s v="Valarie Nelson"/>
    <n v="2961"/>
    <s v="No"/>
    <x v="26"/>
  </r>
  <r>
    <n v="412386"/>
    <n v="1997"/>
    <x v="4"/>
    <d v="2023-07-28T00:00:00"/>
    <x v="132"/>
    <n v="7"/>
    <x v="0"/>
    <x v="6"/>
    <x v="3"/>
    <s v="Sean Connery"/>
    <n v="2004"/>
    <s v="No"/>
    <x v="33"/>
  </r>
  <r>
    <n v="412431"/>
    <n v="1620"/>
    <x v="0"/>
    <d v="2023-10-26T00:00:00"/>
    <x v="71"/>
    <n v="10"/>
    <x v="3"/>
    <x v="3"/>
    <x v="3"/>
    <s v="Jeff Young"/>
    <n v="4390"/>
    <s v="No"/>
    <x v="57"/>
  </r>
  <r>
    <n v="413305"/>
    <n v="294"/>
    <x v="3"/>
    <d v="2023-01-17T00:00:00"/>
    <x v="126"/>
    <n v="1"/>
    <x v="2"/>
    <x v="9"/>
    <x v="0"/>
    <s v="Mart¡n Sommer"/>
    <n v="39"/>
    <s v="No"/>
    <x v="35"/>
  </r>
  <r>
    <n v="413694"/>
    <n v="1551"/>
    <x v="0"/>
    <d v="2023-05-03T00:00:00"/>
    <x v="84"/>
    <n v="5"/>
    <x v="4"/>
    <x v="11"/>
    <x v="0"/>
    <s v="Mary Saveley"/>
    <n v="4835"/>
    <s v="No"/>
    <x v="29"/>
  </r>
  <r>
    <n v="414161"/>
    <n v="1675"/>
    <x v="0"/>
    <d v="2023-12-27T00:00:00"/>
    <x v="43"/>
    <n v="12"/>
    <x v="4"/>
    <x v="0"/>
    <x v="1"/>
    <s v="Frederique Citeaux"/>
    <n v="3894"/>
    <s v="No"/>
    <x v="56"/>
  </r>
  <r>
    <n v="414191"/>
    <n v="350"/>
    <x v="7"/>
    <d v="2023-01-10T00:00:00"/>
    <x v="171"/>
    <n v="1"/>
    <x v="2"/>
    <x v="9"/>
    <x v="0"/>
    <s v="Paolo Accorti"/>
    <n v="6814"/>
    <s v="No"/>
    <x v="36"/>
  </r>
  <r>
    <n v="416161"/>
    <n v="1030"/>
    <x v="1"/>
    <d v="2023-02-16T00:00:00"/>
    <x v="32"/>
    <n v="2"/>
    <x v="3"/>
    <x v="5"/>
    <x v="2"/>
    <s v="Wendy Victorino"/>
    <n v="5555"/>
    <s v="No"/>
    <x v="17"/>
  </r>
  <r>
    <n v="417613"/>
    <n v="1547"/>
    <x v="3"/>
    <d v="2023-03-26T00:00:00"/>
    <x v="83"/>
    <n v="3"/>
    <x v="6"/>
    <x v="4"/>
    <x v="2"/>
    <s v="Elizabeth Devon"/>
    <n v="8023"/>
    <s v="No"/>
    <x v="2"/>
  </r>
  <r>
    <n v="417779"/>
    <n v="1473"/>
    <x v="0"/>
    <d v="2023-01-31T00:00:00"/>
    <x v="51"/>
    <n v="1"/>
    <x v="2"/>
    <x v="9"/>
    <x v="0"/>
    <s v="Valarie Nelson"/>
    <n v="9335"/>
    <s v="No"/>
    <x v="28"/>
  </r>
  <r>
    <n v="419211"/>
    <n v="1044"/>
    <x v="1"/>
    <d v="2023-03-24T00:00:00"/>
    <x v="194"/>
    <n v="3"/>
    <x v="0"/>
    <x v="4"/>
    <x v="0"/>
    <s v="Rosa Hernandez"/>
    <n v="4918"/>
    <s v="No"/>
    <x v="47"/>
  </r>
  <r>
    <n v="419676"/>
    <n v="1259"/>
    <x v="0"/>
    <d v="2023-05-14T00:00:00"/>
    <x v="76"/>
    <n v="5"/>
    <x v="6"/>
    <x v="11"/>
    <x v="1"/>
    <s v="Laurence Lebihan"/>
    <n v="7702"/>
    <s v="No"/>
    <x v="23"/>
  </r>
  <r>
    <n v="421069"/>
    <n v="440"/>
    <x v="7"/>
    <d v="2023-04-30T00:00:00"/>
    <x v="176"/>
    <n v="4"/>
    <x v="6"/>
    <x v="1"/>
    <x v="3"/>
    <s v="Julie Young"/>
    <n v="1791"/>
    <s v="No"/>
    <x v="69"/>
  </r>
  <r>
    <n v="421505"/>
    <n v="1088"/>
    <x v="1"/>
    <d v="2023-03-28T00:00:00"/>
    <x v="65"/>
    <n v="3"/>
    <x v="2"/>
    <x v="4"/>
    <x v="0"/>
    <s v="Diego Freyre"/>
    <n v="6441"/>
    <s v="No"/>
    <x v="54"/>
  </r>
  <r>
    <n v="422786"/>
    <n v="1530"/>
    <x v="9"/>
    <d v="2023-09-26T00:00:00"/>
    <x v="16"/>
    <n v="9"/>
    <x v="2"/>
    <x v="10"/>
    <x v="3"/>
    <s v="Sue Frick"/>
    <n v="642"/>
    <s v="No"/>
    <x v="33"/>
  </r>
  <r>
    <n v="423114"/>
    <n v="1201"/>
    <x v="3"/>
    <d v="2023-02-26T00:00:00"/>
    <x v="194"/>
    <n v="2"/>
    <x v="6"/>
    <x v="5"/>
    <x v="2"/>
    <s v="Adrian Huxley"/>
    <n v="6057"/>
    <s v="No"/>
    <x v="20"/>
  </r>
  <r>
    <n v="423933"/>
    <n v="703"/>
    <x v="0"/>
    <d v="2023-03-22T00:00:00"/>
    <x v="177"/>
    <n v="3"/>
    <x v="4"/>
    <x v="4"/>
    <x v="1"/>
    <s v="Arnold Cruz"/>
    <n v="4027"/>
    <s v="No"/>
    <x v="58"/>
  </r>
  <r>
    <n v="424079"/>
    <n v="1816"/>
    <x v="4"/>
    <d v="2023-12-03T00:00:00"/>
    <x v="81"/>
    <n v="12"/>
    <x v="6"/>
    <x v="0"/>
    <x v="3"/>
    <s v="Laurence Lebihan"/>
    <n v="9152"/>
    <s v="No"/>
    <x v="21"/>
  </r>
  <r>
    <n v="424517"/>
    <n v="870"/>
    <x v="1"/>
    <d v="2023-01-08T00:00:00"/>
    <x v="162"/>
    <n v="1"/>
    <x v="6"/>
    <x v="9"/>
    <x v="3"/>
    <s v="Valarie Nelson"/>
    <n v="2515"/>
    <s v="No"/>
    <x v="48"/>
  </r>
  <r>
    <n v="425030"/>
    <n v="1231"/>
    <x v="9"/>
    <d v="2023-02-27T00:00:00"/>
    <x v="124"/>
    <n v="2"/>
    <x v="5"/>
    <x v="5"/>
    <x v="1"/>
    <s v="Allen Nelson"/>
    <n v="5268"/>
    <s v="No"/>
    <x v="69"/>
  </r>
  <r>
    <n v="425321"/>
    <n v="117"/>
    <x v="1"/>
    <d v="2023-08-13T00:00:00"/>
    <x v="195"/>
    <n v="8"/>
    <x v="6"/>
    <x v="8"/>
    <x v="0"/>
    <s v="Michael Chandler"/>
    <n v="4727"/>
    <s v="No"/>
    <x v="9"/>
  </r>
  <r>
    <n v="425554"/>
    <n v="1363"/>
    <x v="3"/>
    <d v="2023-09-02T00:00:00"/>
    <x v="79"/>
    <n v="9"/>
    <x v="1"/>
    <x v="10"/>
    <x v="2"/>
    <s v="Roland Mendel"/>
    <n v="6327"/>
    <s v="No"/>
    <x v="49"/>
  </r>
  <r>
    <n v="425673"/>
    <n v="1058"/>
    <x v="1"/>
    <d v="2023-09-27T00:00:00"/>
    <x v="85"/>
    <n v="9"/>
    <x v="4"/>
    <x v="10"/>
    <x v="2"/>
    <s v="Veysel Oeztan"/>
    <n v="491"/>
    <s v="No"/>
    <x v="8"/>
  </r>
  <r>
    <n v="426056"/>
    <n v="1138"/>
    <x v="6"/>
    <d v="2023-04-18T00:00:00"/>
    <x v="146"/>
    <n v="4"/>
    <x v="2"/>
    <x v="1"/>
    <x v="3"/>
    <s v="Valarie Young"/>
    <n v="3481"/>
    <s v="No"/>
    <x v="69"/>
  </r>
  <r>
    <n v="426461"/>
    <n v="254"/>
    <x v="3"/>
    <d v="2023-02-02T00:00:00"/>
    <x v="45"/>
    <n v="2"/>
    <x v="3"/>
    <x v="5"/>
    <x v="1"/>
    <s v="Diego Freyre"/>
    <n v="6998"/>
    <s v="No"/>
    <x v="51"/>
  </r>
  <r>
    <n v="426515"/>
    <n v="971"/>
    <x v="3"/>
    <d v="2023-10-20T00:00:00"/>
    <x v="36"/>
    <n v="10"/>
    <x v="0"/>
    <x v="3"/>
    <x v="1"/>
    <s v="Diego Freyre"/>
    <n v="6753"/>
    <s v="No"/>
    <x v="13"/>
  </r>
  <r>
    <n v="427737"/>
    <n v="780"/>
    <x v="1"/>
    <d v="2023-12-28T00:00:00"/>
    <x v="28"/>
    <n v="12"/>
    <x v="3"/>
    <x v="0"/>
    <x v="1"/>
    <s v="Michael Holz"/>
    <n v="4456"/>
    <s v="No"/>
    <x v="64"/>
  </r>
  <r>
    <n v="429796"/>
    <n v="771"/>
    <x v="13"/>
    <d v="2023-09-02T00:00:00"/>
    <x v="85"/>
    <n v="9"/>
    <x v="1"/>
    <x v="10"/>
    <x v="2"/>
    <s v="Pirkko Koskitalo"/>
    <n v="9994"/>
    <s v="No"/>
    <x v="43"/>
  </r>
  <r>
    <n v="430092"/>
    <n v="1814"/>
    <x v="0"/>
    <d v="2023-10-30T00:00:00"/>
    <x v="142"/>
    <n v="10"/>
    <x v="5"/>
    <x v="3"/>
    <x v="2"/>
    <s v="Elizabeth Devon"/>
    <n v="5251"/>
    <s v="No"/>
    <x v="46"/>
  </r>
  <r>
    <n v="431955"/>
    <n v="997"/>
    <x v="1"/>
    <d v="2023-03-12T00:00:00"/>
    <x v="16"/>
    <n v="3"/>
    <x v="6"/>
    <x v="4"/>
    <x v="1"/>
    <s v="Maurizio Moroni"/>
    <n v="9387"/>
    <s v="No"/>
    <x v="30"/>
  </r>
  <r>
    <n v="432167"/>
    <n v="1543"/>
    <x v="0"/>
    <d v="2023-02-12T00:00:00"/>
    <x v="60"/>
    <n v="2"/>
    <x v="6"/>
    <x v="5"/>
    <x v="2"/>
    <s v="Sue King"/>
    <n v="3319"/>
    <s v="No"/>
    <x v="17"/>
  </r>
  <r>
    <n v="432633"/>
    <n v="1738"/>
    <x v="3"/>
    <d v="2023-02-11T00:00:00"/>
    <x v="122"/>
    <n v="2"/>
    <x v="1"/>
    <x v="5"/>
    <x v="2"/>
    <s v="Michael Holz"/>
    <n v="9557"/>
    <s v="No"/>
    <x v="18"/>
  </r>
  <r>
    <n v="434591"/>
    <n v="1450"/>
    <x v="3"/>
    <d v="2023-02-27T00:00:00"/>
    <x v="168"/>
    <n v="2"/>
    <x v="5"/>
    <x v="5"/>
    <x v="0"/>
    <s v="Roland Keitel"/>
    <n v="4060"/>
    <s v="No"/>
    <x v="18"/>
  </r>
  <r>
    <n v="435768"/>
    <n v="74"/>
    <x v="0"/>
    <d v="2023-02-13T00:00:00"/>
    <x v="58"/>
    <n v="2"/>
    <x v="5"/>
    <x v="5"/>
    <x v="1"/>
    <s v="Henriette Pfalzheim"/>
    <n v="5262"/>
    <s v="No"/>
    <x v="9"/>
  </r>
  <r>
    <n v="438673"/>
    <n v="1769"/>
    <x v="4"/>
    <d v="2023-12-24T00:00:00"/>
    <x v="196"/>
    <n v="12"/>
    <x v="6"/>
    <x v="0"/>
    <x v="3"/>
    <s v="Violeta Benitez"/>
    <n v="6941"/>
    <s v="No"/>
    <x v="18"/>
  </r>
  <r>
    <n v="439833"/>
    <n v="1472"/>
    <x v="0"/>
    <d v="2023-06-04T00:00:00"/>
    <x v="197"/>
    <n v="6"/>
    <x v="6"/>
    <x v="7"/>
    <x v="2"/>
    <s v="Kwai Yu"/>
    <n v="3338"/>
    <s v="No"/>
    <x v="69"/>
  </r>
  <r>
    <n v="439986"/>
    <n v="1256"/>
    <x v="4"/>
    <d v="2023-07-22T00:00:00"/>
    <x v="36"/>
    <n v="7"/>
    <x v="1"/>
    <x v="6"/>
    <x v="3"/>
    <s v="Peter Ferguson"/>
    <n v="6038"/>
    <s v="No"/>
    <x v="3"/>
  </r>
  <r>
    <n v="440925"/>
    <n v="419"/>
    <x v="3"/>
    <d v="2023-01-17T00:00:00"/>
    <x v="167"/>
    <n v="1"/>
    <x v="2"/>
    <x v="9"/>
    <x v="0"/>
    <s v="Kalle Suominen"/>
    <n v="8432"/>
    <s v="No"/>
    <x v="50"/>
  </r>
  <r>
    <n v="441275"/>
    <n v="685"/>
    <x v="6"/>
    <d v="2023-01-18T00:00:00"/>
    <x v="135"/>
    <n v="1"/>
    <x v="4"/>
    <x v="9"/>
    <x v="0"/>
    <s v="Matti Karttunen"/>
    <n v="7319"/>
    <s v="No"/>
    <x v="63"/>
  </r>
  <r>
    <n v="441310"/>
    <n v="880"/>
    <x v="1"/>
    <d v="2023-11-28T00:00:00"/>
    <x v="71"/>
    <n v="11"/>
    <x v="2"/>
    <x v="2"/>
    <x v="2"/>
    <s v="Maria Larsson"/>
    <n v="3544"/>
    <s v="No"/>
    <x v="60"/>
  </r>
  <r>
    <n v="442615"/>
    <n v="1196"/>
    <x v="0"/>
    <d v="2023-11-25T00:00:00"/>
    <x v="106"/>
    <n v="11"/>
    <x v="1"/>
    <x v="2"/>
    <x v="3"/>
    <s v="Frederique Citeaux"/>
    <n v="6526"/>
    <s v="No"/>
    <x v="43"/>
  </r>
  <r>
    <n v="442842"/>
    <n v="226"/>
    <x v="0"/>
    <d v="2023-03-15T00:00:00"/>
    <x v="133"/>
    <n v="3"/>
    <x v="4"/>
    <x v="4"/>
    <x v="3"/>
    <s v="Georg Pipps"/>
    <n v="4064"/>
    <s v="No"/>
    <x v="34"/>
  </r>
  <r>
    <n v="443374"/>
    <n v="47"/>
    <x v="4"/>
    <d v="2023-05-15T00:00:00"/>
    <x v="198"/>
    <n v="5"/>
    <x v="5"/>
    <x v="11"/>
    <x v="2"/>
    <s v="Rosa Hernandez"/>
    <n v="768"/>
    <s v="No"/>
    <x v="5"/>
  </r>
  <r>
    <n v="443577"/>
    <n v="507"/>
    <x v="0"/>
    <d v="2023-09-17T00:00:00"/>
    <x v="161"/>
    <n v="9"/>
    <x v="6"/>
    <x v="10"/>
    <x v="3"/>
    <s v="Laurence Lebihan"/>
    <n v="7940"/>
    <s v="No"/>
    <x v="31"/>
  </r>
  <r>
    <n v="443968"/>
    <n v="1179"/>
    <x v="4"/>
    <d v="2023-10-12T00:00:00"/>
    <x v="11"/>
    <n v="10"/>
    <x v="3"/>
    <x v="3"/>
    <x v="3"/>
    <s v="Annette Roulet"/>
    <n v="7784"/>
    <s v="No"/>
    <x v="22"/>
  </r>
  <r>
    <n v="444540"/>
    <n v="112"/>
    <x v="0"/>
    <d v="2023-09-05T00:00:00"/>
    <x v="115"/>
    <n v="9"/>
    <x v="2"/>
    <x v="10"/>
    <x v="2"/>
    <s v="Anna O'Hara"/>
    <n v="8547"/>
    <s v="No"/>
    <x v="41"/>
  </r>
  <r>
    <n v="445200"/>
    <n v="465"/>
    <x v="0"/>
    <d v="2023-06-16T00:00:00"/>
    <x v="199"/>
    <n v="6"/>
    <x v="0"/>
    <x v="7"/>
    <x v="2"/>
    <s v="Palle Ibsen"/>
    <n v="2670"/>
    <s v="No"/>
    <x v="22"/>
  </r>
  <r>
    <n v="445784"/>
    <n v="899"/>
    <x v="0"/>
    <d v="2023-07-20T00:00:00"/>
    <x v="186"/>
    <n v="7"/>
    <x v="3"/>
    <x v="6"/>
    <x v="1"/>
    <s v="Jean Fresnisre"/>
    <n v="7646"/>
    <s v="No"/>
    <x v="21"/>
  </r>
  <r>
    <n v="446644"/>
    <n v="1728"/>
    <x v="3"/>
    <d v="2023-01-22T00:00:00"/>
    <x v="123"/>
    <n v="1"/>
    <x v="6"/>
    <x v="9"/>
    <x v="3"/>
    <s v="Veysel Oeztan"/>
    <n v="8854"/>
    <s v="No"/>
    <x v="18"/>
  </r>
  <r>
    <n v="447240"/>
    <n v="1318"/>
    <x v="0"/>
    <d v="2023-11-16T00:00:00"/>
    <x v="66"/>
    <n v="11"/>
    <x v="3"/>
    <x v="2"/>
    <x v="0"/>
    <s v="Valarie Young"/>
    <n v="6512"/>
    <s v="No"/>
    <x v="32"/>
  </r>
  <r>
    <n v="447917"/>
    <n v="359"/>
    <x v="3"/>
    <d v="2023-03-18T00:00:00"/>
    <x v="9"/>
    <n v="3"/>
    <x v="1"/>
    <x v="4"/>
    <x v="2"/>
    <s v="Jeff Young"/>
    <n v="9321"/>
    <s v="No"/>
    <x v="2"/>
  </r>
  <r>
    <n v="447970"/>
    <n v="1464"/>
    <x v="3"/>
    <d v="2023-09-12T00:00:00"/>
    <x v="52"/>
    <n v="9"/>
    <x v="2"/>
    <x v="10"/>
    <x v="0"/>
    <s v="Diego Freyre"/>
    <n v="2974"/>
    <s v="No"/>
    <x v="38"/>
  </r>
  <r>
    <n v="448027"/>
    <n v="1046"/>
    <x v="1"/>
    <d v="2023-07-09T00:00:00"/>
    <x v="28"/>
    <n v="7"/>
    <x v="6"/>
    <x v="6"/>
    <x v="2"/>
    <s v="Valarie Thompson"/>
    <n v="532"/>
    <s v="No"/>
    <x v="44"/>
  </r>
  <r>
    <n v="448164"/>
    <n v="1502"/>
    <x v="4"/>
    <d v="2023-02-04T00:00:00"/>
    <x v="200"/>
    <n v="2"/>
    <x v="1"/>
    <x v="5"/>
    <x v="0"/>
    <s v="Mory Kentary"/>
    <n v="3869"/>
    <s v="No"/>
    <x v="19"/>
  </r>
  <r>
    <n v="448776"/>
    <n v="1173"/>
    <x v="0"/>
    <d v="2023-12-13T00:00:00"/>
    <x v="34"/>
    <n v="12"/>
    <x v="4"/>
    <x v="0"/>
    <x v="1"/>
    <s v="Elizabeth Devon"/>
    <n v="4703"/>
    <s v="No"/>
    <x v="58"/>
  </r>
  <r>
    <n v="449457"/>
    <n v="494"/>
    <x v="3"/>
    <d v="2023-11-02T00:00:00"/>
    <x v="7"/>
    <n v="11"/>
    <x v="3"/>
    <x v="2"/>
    <x v="3"/>
    <s v="Maurizio Moroni"/>
    <n v="3426"/>
    <s v="No"/>
    <x v="11"/>
  </r>
  <r>
    <n v="451541"/>
    <n v="116"/>
    <x v="13"/>
    <d v="2023-06-29T00:00:00"/>
    <x v="177"/>
    <n v="6"/>
    <x v="3"/>
    <x v="7"/>
    <x v="2"/>
    <s v="Sue King"/>
    <n v="2490"/>
    <s v="No"/>
    <x v="51"/>
  </r>
  <r>
    <n v="451694"/>
    <n v="1031"/>
    <x v="6"/>
    <d v="2023-05-27T00:00:00"/>
    <x v="99"/>
    <n v="5"/>
    <x v="1"/>
    <x v="11"/>
    <x v="1"/>
    <s v="Michael Holz"/>
    <n v="3713"/>
    <s v="No"/>
    <x v="28"/>
  </r>
  <r>
    <n v="452070"/>
    <n v="1693"/>
    <x v="3"/>
    <d v="2023-05-06T00:00:00"/>
    <x v="54"/>
    <n v="5"/>
    <x v="1"/>
    <x v="11"/>
    <x v="0"/>
    <s v="Jan Klaeboe"/>
    <n v="9332"/>
    <s v="No"/>
    <x v="42"/>
  </r>
  <r>
    <n v="452684"/>
    <n v="374"/>
    <x v="13"/>
    <d v="2023-08-08T00:00:00"/>
    <x v="157"/>
    <n v="8"/>
    <x v="2"/>
    <x v="8"/>
    <x v="2"/>
    <s v="Henriette Pfalzheim"/>
    <n v="9309"/>
    <s v="No"/>
    <x v="37"/>
  </r>
  <r>
    <n v="453466"/>
    <n v="637"/>
    <x v="0"/>
    <d v="2023-03-11T00:00:00"/>
    <x v="83"/>
    <n v="3"/>
    <x v="1"/>
    <x v="4"/>
    <x v="0"/>
    <s v="Violeta Benitez"/>
    <n v="6625"/>
    <s v="No"/>
    <x v="4"/>
  </r>
  <r>
    <n v="453732"/>
    <n v="1623"/>
    <x v="4"/>
    <d v="2023-06-14T00:00:00"/>
    <x v="175"/>
    <n v="6"/>
    <x v="4"/>
    <x v="7"/>
    <x v="3"/>
    <s v="Rosa Hernandez"/>
    <n v="8537"/>
    <s v="No"/>
    <x v="7"/>
  </r>
  <r>
    <n v="454137"/>
    <n v="1687"/>
    <x v="6"/>
    <d v="2023-01-15T00:00:00"/>
    <x v="68"/>
    <n v="1"/>
    <x v="6"/>
    <x v="9"/>
    <x v="1"/>
    <s v="Peter Ferguson"/>
    <n v="2431"/>
    <s v="No"/>
    <x v="4"/>
  </r>
  <r>
    <n v="455153"/>
    <n v="1431"/>
    <x v="0"/>
    <d v="2023-05-26T00:00:00"/>
    <x v="201"/>
    <n v="5"/>
    <x v="0"/>
    <x v="11"/>
    <x v="1"/>
    <s v="Daniel Da Cunha"/>
    <n v="4088"/>
    <s v="No"/>
    <x v="42"/>
  </r>
  <r>
    <n v="456612"/>
    <n v="1240"/>
    <x v="7"/>
    <d v="2023-02-28T00:00:00"/>
    <x v="53"/>
    <n v="2"/>
    <x v="2"/>
    <x v="5"/>
    <x v="1"/>
    <s v="Pascale Cartrain"/>
    <n v="1900"/>
    <s v="No"/>
    <x v="32"/>
  </r>
  <r>
    <n v="457087"/>
    <n v="66"/>
    <x v="6"/>
    <d v="2023-02-22T00:00:00"/>
    <x v="140"/>
    <n v="2"/>
    <x v="4"/>
    <x v="5"/>
    <x v="2"/>
    <s v="Matti Karttunen"/>
    <n v="1838"/>
    <s v="No"/>
    <x v="35"/>
  </r>
  <r>
    <n v="457874"/>
    <n v="1467"/>
    <x v="0"/>
    <d v="2023-02-16T00:00:00"/>
    <x v="121"/>
    <n v="2"/>
    <x v="3"/>
    <x v="5"/>
    <x v="1"/>
    <s v="Valarie Nelson"/>
    <n v="3337"/>
    <s v="No"/>
    <x v="65"/>
  </r>
  <r>
    <n v="457958"/>
    <n v="690"/>
    <x v="7"/>
    <d v="2023-01-03T00:00:00"/>
    <x v="85"/>
    <n v="1"/>
    <x v="2"/>
    <x v="9"/>
    <x v="0"/>
    <s v="Jytte Petersen"/>
    <n v="2923"/>
    <s v="No"/>
    <x v="2"/>
  </r>
  <r>
    <n v="458560"/>
    <n v="210"/>
    <x v="0"/>
    <d v="2023-08-31T00:00:00"/>
    <x v="126"/>
    <n v="8"/>
    <x v="3"/>
    <x v="8"/>
    <x v="0"/>
    <s v="Georg Pipps"/>
    <n v="9234"/>
    <s v="No"/>
    <x v="0"/>
  </r>
  <r>
    <n v="459426"/>
    <n v="1783"/>
    <x v="0"/>
    <d v="2023-11-04T00:00:00"/>
    <x v="28"/>
    <n v="11"/>
    <x v="1"/>
    <x v="2"/>
    <x v="0"/>
    <s v="Diego Freyre"/>
    <n v="936"/>
    <s v="No"/>
    <x v="18"/>
  </r>
  <r>
    <n v="461110"/>
    <n v="1549"/>
    <x v="0"/>
    <d v="2023-08-08T00:00:00"/>
    <x v="202"/>
    <n v="8"/>
    <x v="2"/>
    <x v="8"/>
    <x v="0"/>
    <s v="Maria Hernandez"/>
    <n v="4341"/>
    <s v="No"/>
    <x v="41"/>
  </r>
  <r>
    <n v="461537"/>
    <n v="1833"/>
    <x v="5"/>
    <d v="2023-02-17T00:00:00"/>
    <x v="203"/>
    <n v="2"/>
    <x v="0"/>
    <x v="5"/>
    <x v="1"/>
    <s v="Jeff Young"/>
    <n v="8344"/>
    <s v="No"/>
    <x v="3"/>
  </r>
  <r>
    <n v="461731"/>
    <n v="685"/>
    <x v="6"/>
    <d v="2023-11-09T00:00:00"/>
    <x v="152"/>
    <n v="11"/>
    <x v="3"/>
    <x v="2"/>
    <x v="2"/>
    <s v="Kalle Suominen"/>
    <n v="5092"/>
    <s v="No"/>
    <x v="63"/>
  </r>
  <r>
    <n v="462593"/>
    <n v="1971"/>
    <x v="4"/>
    <d v="2023-08-05T00:00:00"/>
    <x v="103"/>
    <n v="8"/>
    <x v="1"/>
    <x v="8"/>
    <x v="3"/>
    <s v="Pirkko Koskitalo"/>
    <n v="5397"/>
    <s v="No"/>
    <x v="60"/>
  </r>
  <r>
    <n v="463922"/>
    <n v="172"/>
    <x v="0"/>
    <d v="2023-09-23T00:00:00"/>
    <x v="12"/>
    <n v="9"/>
    <x v="1"/>
    <x v="10"/>
    <x v="2"/>
    <s v="Eric Natividad"/>
    <n v="484"/>
    <s v="No"/>
    <x v="40"/>
  </r>
  <r>
    <n v="464531"/>
    <n v="1153"/>
    <x v="2"/>
    <d v="2023-02-14T00:00:00"/>
    <x v="111"/>
    <n v="2"/>
    <x v="2"/>
    <x v="5"/>
    <x v="0"/>
    <s v="Maurizio Moroni"/>
    <n v="4951"/>
    <s v="No"/>
    <x v="36"/>
  </r>
  <r>
    <n v="464722"/>
    <n v="1215"/>
    <x v="0"/>
    <d v="2023-01-03T00:00:00"/>
    <x v="16"/>
    <n v="1"/>
    <x v="2"/>
    <x v="9"/>
    <x v="1"/>
    <s v="Jose Pedro Roel"/>
    <n v="7137"/>
    <s v="No"/>
    <x v="19"/>
  </r>
  <r>
    <n v="464859"/>
    <n v="683"/>
    <x v="6"/>
    <d v="2023-01-14T00:00:00"/>
    <x v="80"/>
    <n v="1"/>
    <x v="1"/>
    <x v="9"/>
    <x v="0"/>
    <s v="Steve Frick"/>
    <n v="6431"/>
    <s v="No"/>
    <x v="59"/>
  </r>
  <r>
    <n v="466869"/>
    <n v="1984"/>
    <x v="6"/>
    <d v="2023-02-14T00:00:00"/>
    <x v="204"/>
    <n v="2"/>
    <x v="2"/>
    <x v="5"/>
    <x v="0"/>
    <s v="Valarie Franco"/>
    <n v="660"/>
    <s v="No"/>
    <x v="23"/>
  </r>
  <r>
    <n v="467965"/>
    <n v="550"/>
    <x v="0"/>
    <d v="2023-10-02T00:00:00"/>
    <x v="169"/>
    <n v="10"/>
    <x v="5"/>
    <x v="3"/>
    <x v="1"/>
    <s v="Sue Taylor"/>
    <n v="8296"/>
    <s v="No"/>
    <x v="34"/>
  </r>
  <r>
    <n v="468652"/>
    <n v="106"/>
    <x v="6"/>
    <d v="2023-07-01T00:00:00"/>
    <x v="108"/>
    <n v="7"/>
    <x v="1"/>
    <x v="6"/>
    <x v="1"/>
    <s v="Roland Keitel"/>
    <n v="1982"/>
    <s v="No"/>
    <x v="28"/>
  </r>
  <r>
    <n v="471520"/>
    <n v="188"/>
    <x v="1"/>
    <d v="2023-09-13T00:00:00"/>
    <x v="11"/>
    <n v="9"/>
    <x v="4"/>
    <x v="10"/>
    <x v="2"/>
    <s v="Diego Freyre"/>
    <n v="8652"/>
    <s v="No"/>
    <x v="54"/>
  </r>
  <r>
    <n v="471691"/>
    <n v="1279"/>
    <x v="0"/>
    <d v="2023-04-10T00:00:00"/>
    <x v="59"/>
    <n v="4"/>
    <x v="5"/>
    <x v="1"/>
    <x v="2"/>
    <s v="Wendy Victorino"/>
    <n v="1314"/>
    <s v="No"/>
    <x v="44"/>
  </r>
  <r>
    <n v="471801"/>
    <n v="878"/>
    <x v="1"/>
    <d v="2023-01-19T00:00:00"/>
    <x v="65"/>
    <n v="1"/>
    <x v="3"/>
    <x v="9"/>
    <x v="2"/>
    <s v="Valarie Nelson"/>
    <n v="1740"/>
    <s v="No"/>
    <x v="23"/>
  </r>
  <r>
    <n v="471886"/>
    <n v="1583"/>
    <x v="5"/>
    <d v="2023-01-02T00:00:00"/>
    <x v="1"/>
    <n v="1"/>
    <x v="5"/>
    <x v="9"/>
    <x v="1"/>
    <s v="Valarie Nelson"/>
    <n v="4072"/>
    <s v="No"/>
    <x v="38"/>
  </r>
  <r>
    <n v="472645"/>
    <n v="1290"/>
    <x v="0"/>
    <d v="2023-11-13T00:00:00"/>
    <x v="124"/>
    <n v="11"/>
    <x v="5"/>
    <x v="2"/>
    <x v="0"/>
    <s v="Kwai Yu"/>
    <n v="3018"/>
    <s v="No"/>
    <x v="34"/>
  </r>
  <r>
    <n v="473503"/>
    <n v="1682"/>
    <x v="3"/>
    <d v="2023-08-08T00:00:00"/>
    <x v="191"/>
    <n v="8"/>
    <x v="2"/>
    <x v="8"/>
    <x v="1"/>
    <s v="Marta Hernandez"/>
    <n v="1565"/>
    <s v="No"/>
    <x v="54"/>
  </r>
  <r>
    <n v="474022"/>
    <n v="1063"/>
    <x v="1"/>
    <d v="2023-03-08T00:00:00"/>
    <x v="5"/>
    <n v="3"/>
    <x v="4"/>
    <x v="4"/>
    <x v="0"/>
    <s v="Palle Ibsen"/>
    <n v="2476"/>
    <s v="No"/>
    <x v="43"/>
  </r>
  <r>
    <n v="474847"/>
    <n v="1316"/>
    <x v="6"/>
    <d v="2023-10-03T00:00:00"/>
    <x v="148"/>
    <n v="10"/>
    <x v="2"/>
    <x v="3"/>
    <x v="2"/>
    <s v="Michael Frick"/>
    <n v="4155"/>
    <s v="No"/>
    <x v="41"/>
  </r>
  <r>
    <n v="476585"/>
    <n v="645"/>
    <x v="13"/>
    <d v="2023-04-21T00:00:00"/>
    <x v="111"/>
    <n v="4"/>
    <x v="0"/>
    <x v="1"/>
    <x v="3"/>
    <s v="Marie Bertrand"/>
    <n v="7949"/>
    <s v="No"/>
    <x v="28"/>
  </r>
  <r>
    <n v="477068"/>
    <n v="396"/>
    <x v="4"/>
    <d v="2023-09-19T00:00:00"/>
    <x v="52"/>
    <n v="9"/>
    <x v="2"/>
    <x v="10"/>
    <x v="3"/>
    <s v="Jeff Young"/>
    <n v="6110"/>
    <s v="No"/>
    <x v="62"/>
  </r>
  <r>
    <n v="477337"/>
    <n v="178"/>
    <x v="1"/>
    <d v="2023-01-24T00:00:00"/>
    <x v="125"/>
    <n v="1"/>
    <x v="2"/>
    <x v="9"/>
    <x v="3"/>
    <s v="Diego Freyre"/>
    <n v="8277"/>
    <s v="No"/>
    <x v="32"/>
  </r>
  <r>
    <n v="477809"/>
    <n v="292"/>
    <x v="1"/>
    <d v="2023-08-12T00:00:00"/>
    <x v="135"/>
    <n v="8"/>
    <x v="1"/>
    <x v="8"/>
    <x v="3"/>
    <s v="Valarie Nelson"/>
    <n v="802"/>
    <s v="No"/>
    <x v="50"/>
  </r>
  <r>
    <n v="477915"/>
    <n v="965"/>
    <x v="6"/>
    <d v="2023-05-21T00:00:00"/>
    <x v="108"/>
    <n v="5"/>
    <x v="6"/>
    <x v="11"/>
    <x v="3"/>
    <s v="Valarie Nelson"/>
    <n v="5391"/>
    <s v="No"/>
    <x v="63"/>
  </r>
  <r>
    <n v="478198"/>
    <n v="214"/>
    <x v="0"/>
    <d v="2023-10-21T00:00:00"/>
    <x v="150"/>
    <n v="10"/>
    <x v="1"/>
    <x v="3"/>
    <x v="0"/>
    <s v="Diego Freyre"/>
    <n v="9837"/>
    <s v="No"/>
    <x v="65"/>
  </r>
  <r>
    <n v="479363"/>
    <n v="1343"/>
    <x v="0"/>
    <d v="2023-07-08T00:00:00"/>
    <x v="89"/>
    <n v="7"/>
    <x v="1"/>
    <x v="6"/>
    <x v="0"/>
    <s v="Janine Labrune"/>
    <n v="1941"/>
    <s v="No"/>
    <x v="24"/>
  </r>
  <r>
    <n v="479407"/>
    <n v="1399"/>
    <x v="6"/>
    <d v="2023-12-03T00:00:00"/>
    <x v="90"/>
    <n v="12"/>
    <x v="6"/>
    <x v="0"/>
    <x v="3"/>
    <s v="Valarie Young"/>
    <n v="1351"/>
    <s v="No"/>
    <x v="32"/>
  </r>
  <r>
    <n v="479589"/>
    <n v="180"/>
    <x v="0"/>
    <d v="2023-03-26T00:00:00"/>
    <x v="153"/>
    <n v="3"/>
    <x v="6"/>
    <x v="4"/>
    <x v="0"/>
    <s v="Victoria Ashworth"/>
    <n v="9486"/>
    <s v="No"/>
    <x v="49"/>
  </r>
  <r>
    <n v="480827"/>
    <n v="1498"/>
    <x v="7"/>
    <d v="2023-01-14T00:00:00"/>
    <x v="22"/>
    <n v="1"/>
    <x v="1"/>
    <x v="9"/>
    <x v="2"/>
    <s v="Sue King"/>
    <n v="3032"/>
    <s v="No"/>
    <x v="21"/>
  </r>
  <r>
    <n v="480878"/>
    <n v="1229"/>
    <x v="6"/>
    <d v="2023-05-26T00:00:00"/>
    <x v="109"/>
    <n v="5"/>
    <x v="0"/>
    <x v="11"/>
    <x v="1"/>
    <s v="Sue Taylor"/>
    <n v="9502"/>
    <s v="No"/>
    <x v="25"/>
  </r>
  <r>
    <n v="482210"/>
    <n v="1507"/>
    <x v="0"/>
    <d v="2023-09-15T00:00:00"/>
    <x v="195"/>
    <n v="9"/>
    <x v="0"/>
    <x v="10"/>
    <x v="0"/>
    <s v="Julie Brown"/>
    <n v="4514"/>
    <s v="No"/>
    <x v="61"/>
  </r>
  <r>
    <n v="482277"/>
    <n v="1808"/>
    <x v="2"/>
    <d v="2023-11-27T00:00:00"/>
    <x v="66"/>
    <n v="11"/>
    <x v="5"/>
    <x v="2"/>
    <x v="2"/>
    <s v="Giovanni Rovelli"/>
    <n v="5415"/>
    <s v="No"/>
    <x v="9"/>
  </r>
  <r>
    <n v="482282"/>
    <n v="852"/>
    <x v="0"/>
    <d v="2023-08-16T00:00:00"/>
    <x v="186"/>
    <n v="8"/>
    <x v="4"/>
    <x v="8"/>
    <x v="0"/>
    <s v="Valarie Nelson"/>
    <n v="348"/>
    <s v="No"/>
    <x v="58"/>
  </r>
  <r>
    <n v="482555"/>
    <n v="506"/>
    <x v="0"/>
    <d v="2023-01-25T00:00:00"/>
    <x v="205"/>
    <n v="1"/>
    <x v="4"/>
    <x v="9"/>
    <x v="3"/>
    <s v="Sean Connery"/>
    <n v="6355"/>
    <s v="No"/>
    <x v="23"/>
  </r>
  <r>
    <n v="483229"/>
    <n v="577"/>
    <x v="3"/>
    <d v="2023-02-13T00:00:00"/>
    <x v="31"/>
    <n v="2"/>
    <x v="5"/>
    <x v="5"/>
    <x v="3"/>
    <s v="Jeff Young"/>
    <n v="1958"/>
    <s v="No"/>
    <x v="8"/>
  </r>
  <r>
    <n v="484489"/>
    <n v="439"/>
    <x v="4"/>
    <d v="2023-11-26T00:00:00"/>
    <x v="115"/>
    <n v="11"/>
    <x v="6"/>
    <x v="2"/>
    <x v="1"/>
    <s v="Mart¡n Sommer"/>
    <n v="6346"/>
    <s v="No"/>
    <x v="8"/>
  </r>
  <r>
    <n v="484525"/>
    <n v="961"/>
    <x v="0"/>
    <d v="2023-12-10T00:00:00"/>
    <x v="166"/>
    <n v="12"/>
    <x v="6"/>
    <x v="0"/>
    <x v="1"/>
    <s v="Mary Saveley"/>
    <n v="3218"/>
    <s v="No"/>
    <x v="43"/>
  </r>
  <r>
    <n v="484688"/>
    <n v="841"/>
    <x v="0"/>
    <d v="2023-05-22T00:00:00"/>
    <x v="149"/>
    <n v="5"/>
    <x v="5"/>
    <x v="11"/>
    <x v="3"/>
    <s v="Frederique Citeaux"/>
    <n v="5991"/>
    <s v="No"/>
    <x v="53"/>
  </r>
  <r>
    <n v="485583"/>
    <n v="399"/>
    <x v="1"/>
    <d v="2023-03-15T00:00:00"/>
    <x v="47"/>
    <n v="3"/>
    <x v="4"/>
    <x v="4"/>
    <x v="2"/>
    <s v="Paolo Accorti"/>
    <n v="5485"/>
    <s v="No"/>
    <x v="69"/>
  </r>
  <r>
    <n v="485658"/>
    <n v="1222"/>
    <x v="4"/>
    <d v="2023-03-03T00:00:00"/>
    <x v="64"/>
    <n v="3"/>
    <x v="0"/>
    <x v="4"/>
    <x v="1"/>
    <s v="Wendy Victorino"/>
    <n v="6370"/>
    <s v="No"/>
    <x v="30"/>
  </r>
  <r>
    <n v="487191"/>
    <n v="404"/>
    <x v="7"/>
    <d v="2023-02-07T00:00:00"/>
    <x v="28"/>
    <n v="2"/>
    <x v="2"/>
    <x v="5"/>
    <x v="1"/>
    <s v="Jose Pedro Roel"/>
    <n v="4492"/>
    <s v="No"/>
    <x v="47"/>
  </r>
  <r>
    <n v="488698"/>
    <n v="1714"/>
    <x v="4"/>
    <d v="2023-03-11T00:00:00"/>
    <x v="127"/>
    <n v="3"/>
    <x v="1"/>
    <x v="4"/>
    <x v="2"/>
    <s v="Valarie Nelson"/>
    <n v="5107"/>
    <s v="No"/>
    <x v="19"/>
  </r>
  <r>
    <n v="489692"/>
    <n v="1249"/>
    <x v="0"/>
    <d v="2023-09-23T00:00:00"/>
    <x v="6"/>
    <n v="9"/>
    <x v="1"/>
    <x v="10"/>
    <x v="1"/>
    <s v="Victoria Ashworth"/>
    <n v="9580"/>
    <s v="No"/>
    <x v="15"/>
  </r>
  <r>
    <n v="489835"/>
    <n v="974"/>
    <x v="3"/>
    <d v="2023-10-09T00:00:00"/>
    <x v="65"/>
    <n v="10"/>
    <x v="5"/>
    <x v="3"/>
    <x v="0"/>
    <s v="Laurence Lebihan"/>
    <n v="6589"/>
    <s v="No"/>
    <x v="52"/>
  </r>
  <r>
    <n v="490691"/>
    <n v="1658"/>
    <x v="0"/>
    <d v="2023-12-30T00:00:00"/>
    <x v="84"/>
    <n v="12"/>
    <x v="1"/>
    <x v="0"/>
    <x v="3"/>
    <s v="Julie Young"/>
    <n v="6947"/>
    <s v="No"/>
    <x v="10"/>
  </r>
  <r>
    <n v="491960"/>
    <n v="564"/>
    <x v="0"/>
    <d v="2023-07-10T00:00:00"/>
    <x v="149"/>
    <n v="7"/>
    <x v="5"/>
    <x v="6"/>
    <x v="0"/>
    <s v="Diego Freyre"/>
    <n v="1650"/>
    <s v="No"/>
    <x v="69"/>
  </r>
  <r>
    <n v="492855"/>
    <n v="1294"/>
    <x v="3"/>
    <d v="2023-12-25T00:00:00"/>
    <x v="114"/>
    <n v="12"/>
    <x v="5"/>
    <x v="0"/>
    <x v="3"/>
    <s v="Sue Frick"/>
    <n v="9532"/>
    <s v="No"/>
    <x v="26"/>
  </r>
  <r>
    <n v="492948"/>
    <n v="1109"/>
    <x v="1"/>
    <d v="2023-08-22T00:00:00"/>
    <x v="36"/>
    <n v="8"/>
    <x v="2"/>
    <x v="8"/>
    <x v="2"/>
    <s v="Adrian Huxley"/>
    <n v="709"/>
    <s v="No"/>
    <x v="46"/>
  </r>
  <r>
    <n v="493043"/>
    <n v="1357"/>
    <x v="12"/>
    <d v="2023-09-12T00:00:00"/>
    <x v="125"/>
    <n v="9"/>
    <x v="2"/>
    <x v="10"/>
    <x v="0"/>
    <s v="Diego Freyre"/>
    <n v="852"/>
    <s v="No"/>
    <x v="64"/>
  </r>
  <r>
    <n v="493111"/>
    <n v="1962"/>
    <x v="0"/>
    <d v="2023-01-09T00:00:00"/>
    <x v="66"/>
    <n v="1"/>
    <x v="5"/>
    <x v="9"/>
    <x v="3"/>
    <s v="Marie Bertrand"/>
    <n v="6279"/>
    <s v="No"/>
    <x v="12"/>
  </r>
  <r>
    <n v="493809"/>
    <n v="799"/>
    <x v="0"/>
    <d v="2023-02-12T00:00:00"/>
    <x v="23"/>
    <n v="2"/>
    <x v="6"/>
    <x v="5"/>
    <x v="1"/>
    <s v="Jeff Young"/>
    <n v="8809"/>
    <s v="No"/>
    <x v="0"/>
  </r>
  <r>
    <n v="493810"/>
    <n v="1040"/>
    <x v="1"/>
    <d v="2023-07-15T00:00:00"/>
    <x v="171"/>
    <n v="7"/>
    <x v="1"/>
    <x v="6"/>
    <x v="3"/>
    <s v="Kalle Suominen"/>
    <n v="1550"/>
    <s v="No"/>
    <x v="42"/>
  </r>
  <r>
    <n v="495154"/>
    <n v="1911"/>
    <x v="6"/>
    <d v="2023-03-06T00:00:00"/>
    <x v="166"/>
    <n v="3"/>
    <x v="5"/>
    <x v="4"/>
    <x v="3"/>
    <s v="Pirkko Koskitalo"/>
    <n v="5800"/>
    <s v="No"/>
    <x v="61"/>
  </r>
  <r>
    <n v="495680"/>
    <n v="276"/>
    <x v="1"/>
    <d v="2023-06-26T00:00:00"/>
    <x v="35"/>
    <n v="6"/>
    <x v="5"/>
    <x v="7"/>
    <x v="3"/>
    <s v="Eric Natividad"/>
    <n v="2665"/>
    <s v="No"/>
    <x v="0"/>
  </r>
  <r>
    <n v="497302"/>
    <n v="1539"/>
    <x v="0"/>
    <d v="2023-09-08T00:00:00"/>
    <x v="71"/>
    <n v="9"/>
    <x v="0"/>
    <x v="10"/>
    <x v="2"/>
    <s v="Ann Brown"/>
    <n v="7579"/>
    <s v="No"/>
    <x v="38"/>
  </r>
  <r>
    <n v="497663"/>
    <n v="596"/>
    <x v="10"/>
    <d v="2023-11-06T00:00:00"/>
    <x v="72"/>
    <n v="11"/>
    <x v="5"/>
    <x v="2"/>
    <x v="0"/>
    <s v="Jose Pedro Roel"/>
    <n v="6580"/>
    <s v="No"/>
    <x v="50"/>
  </r>
  <r>
    <n v="498278"/>
    <n v="540"/>
    <x v="6"/>
    <d v="2023-06-13T00:00:00"/>
    <x v="31"/>
    <n v="6"/>
    <x v="2"/>
    <x v="7"/>
    <x v="0"/>
    <s v="Steve Frick"/>
    <n v="4974"/>
    <s v="No"/>
    <x v="18"/>
  </r>
  <r>
    <n v="498746"/>
    <n v="1475"/>
    <x v="4"/>
    <d v="2023-06-03T00:00:00"/>
    <x v="81"/>
    <n v="6"/>
    <x v="1"/>
    <x v="7"/>
    <x v="3"/>
    <s v="Valarie Franco"/>
    <n v="6335"/>
    <s v="No"/>
    <x v="5"/>
  </r>
  <r>
    <n v="499145"/>
    <n v="61"/>
    <x v="4"/>
    <d v="2023-08-30T00:00:00"/>
    <x v="105"/>
    <n v="8"/>
    <x v="4"/>
    <x v="8"/>
    <x v="2"/>
    <s v="Valarie Nelson"/>
    <n v="165"/>
    <s v="No"/>
    <x v="59"/>
  </r>
  <r>
    <n v="499301"/>
    <n v="125"/>
    <x v="4"/>
    <d v="2023-10-16T00:00:00"/>
    <x v="49"/>
    <n v="10"/>
    <x v="5"/>
    <x v="3"/>
    <x v="2"/>
    <s v="Diego Freyre"/>
    <n v="8557"/>
    <s v="No"/>
    <x v="30"/>
  </r>
  <r>
    <n v="499444"/>
    <n v="122"/>
    <x v="4"/>
    <d v="2023-07-24T00:00:00"/>
    <x v="72"/>
    <n v="7"/>
    <x v="5"/>
    <x v="6"/>
    <x v="2"/>
    <s v="Wendy Victorino"/>
    <n v="9615"/>
    <s v="No"/>
    <x v="10"/>
  </r>
  <r>
    <n v="500116"/>
    <n v="1317"/>
    <x v="3"/>
    <d v="2023-05-26T00:00:00"/>
    <x v="121"/>
    <n v="5"/>
    <x v="0"/>
    <x v="11"/>
    <x v="0"/>
    <s v="Valarie Nelson"/>
    <n v="4269"/>
    <s v="No"/>
    <x v="26"/>
  </r>
  <r>
    <n v="500630"/>
    <n v="548"/>
    <x v="0"/>
    <d v="2023-06-14T00:00:00"/>
    <x v="50"/>
    <n v="6"/>
    <x v="4"/>
    <x v="7"/>
    <x v="0"/>
    <s v="Kyung Yu"/>
    <n v="3906"/>
    <s v="No"/>
    <x v="68"/>
  </r>
  <r>
    <n v="501314"/>
    <n v="319"/>
    <x v="1"/>
    <d v="2023-02-06T00:00:00"/>
    <x v="206"/>
    <n v="2"/>
    <x v="5"/>
    <x v="5"/>
    <x v="2"/>
    <s v="Kwai Yu"/>
    <n v="2512"/>
    <s v="No"/>
    <x v="36"/>
  </r>
  <r>
    <n v="502404"/>
    <n v="62"/>
    <x v="0"/>
    <d v="2023-02-16T00:00:00"/>
    <x v="87"/>
    <n v="2"/>
    <x v="3"/>
    <x v="5"/>
    <x v="3"/>
    <s v="Marta Hernandez"/>
    <n v="3368"/>
    <s v="No"/>
    <x v="53"/>
  </r>
  <r>
    <n v="503957"/>
    <n v="1442"/>
    <x v="0"/>
    <d v="2023-09-18T00:00:00"/>
    <x v="207"/>
    <n v="9"/>
    <x v="5"/>
    <x v="10"/>
    <x v="3"/>
    <s v="Yoshi Tannamuri"/>
    <n v="2938"/>
    <s v="No"/>
    <x v="43"/>
  </r>
  <r>
    <n v="504071"/>
    <n v="1811"/>
    <x v="0"/>
    <d v="2023-08-14T00:00:00"/>
    <x v="58"/>
    <n v="8"/>
    <x v="5"/>
    <x v="8"/>
    <x v="1"/>
    <s v="Michael Frick"/>
    <n v="2261"/>
    <s v="No"/>
    <x v="33"/>
  </r>
  <r>
    <n v="504938"/>
    <n v="84"/>
    <x v="0"/>
    <d v="2023-07-10T00:00:00"/>
    <x v="135"/>
    <n v="7"/>
    <x v="5"/>
    <x v="6"/>
    <x v="0"/>
    <s v="Christina Berglund"/>
    <n v="6541"/>
    <s v="No"/>
    <x v="67"/>
  </r>
  <r>
    <n v="505298"/>
    <n v="1854"/>
    <x v="0"/>
    <d v="2023-07-04T00:00:00"/>
    <x v="21"/>
    <n v="7"/>
    <x v="2"/>
    <x v="6"/>
    <x v="0"/>
    <s v="Jeff Young"/>
    <n v="7393"/>
    <s v="No"/>
    <x v="27"/>
  </r>
  <r>
    <n v="506188"/>
    <n v="515"/>
    <x v="4"/>
    <d v="2023-02-13T00:00:00"/>
    <x v="120"/>
    <n v="2"/>
    <x v="5"/>
    <x v="5"/>
    <x v="0"/>
    <s v="Diego Freyre"/>
    <n v="2177"/>
    <s v="No"/>
    <x v="2"/>
  </r>
  <r>
    <n v="506560"/>
    <n v="301"/>
    <x v="1"/>
    <d v="2023-01-26T00:00:00"/>
    <x v="68"/>
    <n v="1"/>
    <x v="3"/>
    <x v="9"/>
    <x v="3"/>
    <s v="Anna O'Hara"/>
    <n v="2071"/>
    <s v="No"/>
    <x v="7"/>
  </r>
  <r>
    <n v="506882"/>
    <n v="197"/>
    <x v="0"/>
    <d v="2023-11-02T00:00:00"/>
    <x v="65"/>
    <n v="11"/>
    <x v="3"/>
    <x v="2"/>
    <x v="2"/>
    <s v="Diego Freyre"/>
    <n v="3087"/>
    <s v="No"/>
    <x v="4"/>
  </r>
  <r>
    <n v="507043"/>
    <n v="933"/>
    <x v="0"/>
    <d v="2023-07-19T00:00:00"/>
    <x v="129"/>
    <n v="7"/>
    <x v="4"/>
    <x v="6"/>
    <x v="1"/>
    <s v="Diego Freyre"/>
    <n v="6796"/>
    <s v="No"/>
    <x v="32"/>
  </r>
  <r>
    <n v="508458"/>
    <n v="864"/>
    <x v="0"/>
    <d v="2023-06-09T00:00:00"/>
    <x v="83"/>
    <n v="6"/>
    <x v="0"/>
    <x v="7"/>
    <x v="2"/>
    <s v="Janine Labrune"/>
    <n v="1522"/>
    <s v="No"/>
    <x v="61"/>
  </r>
  <r>
    <n v="508989"/>
    <n v="1307"/>
    <x v="3"/>
    <d v="2023-03-03T00:00:00"/>
    <x v="207"/>
    <n v="3"/>
    <x v="0"/>
    <x v="4"/>
    <x v="0"/>
    <s v="Roland Keitel"/>
    <n v="3733"/>
    <s v="No"/>
    <x v="61"/>
  </r>
  <r>
    <n v="509663"/>
    <n v="1437"/>
    <x v="0"/>
    <d v="2023-06-25T00:00:00"/>
    <x v="72"/>
    <n v="6"/>
    <x v="6"/>
    <x v="7"/>
    <x v="3"/>
    <s v="Victoria Ashworth"/>
    <n v="6211"/>
    <s v="No"/>
    <x v="16"/>
  </r>
  <r>
    <n v="510478"/>
    <n v="12"/>
    <x v="4"/>
    <d v="2023-03-13T00:00:00"/>
    <x v="70"/>
    <n v="3"/>
    <x v="5"/>
    <x v="4"/>
    <x v="3"/>
    <s v="Sue King"/>
    <n v="4788"/>
    <s v="No"/>
    <x v="48"/>
  </r>
  <r>
    <n v="510541"/>
    <n v="1007"/>
    <x v="0"/>
    <d v="2023-03-03T00:00:00"/>
    <x v="10"/>
    <n v="3"/>
    <x v="0"/>
    <x v="4"/>
    <x v="1"/>
    <s v="Sue Taylor"/>
    <n v="8601"/>
    <s v="No"/>
    <x v="14"/>
  </r>
  <r>
    <n v="510910"/>
    <n v="1461"/>
    <x v="0"/>
    <d v="2023-01-03T00:00:00"/>
    <x v="99"/>
    <n v="1"/>
    <x v="2"/>
    <x v="9"/>
    <x v="1"/>
    <s v="Julie Brown"/>
    <n v="1323"/>
    <s v="No"/>
    <x v="55"/>
  </r>
  <r>
    <n v="510973"/>
    <n v="679"/>
    <x v="5"/>
    <d v="2023-02-19T00:00:00"/>
    <x v="121"/>
    <n v="2"/>
    <x v="6"/>
    <x v="5"/>
    <x v="0"/>
    <s v="Giovanni Rovelli"/>
    <n v="7192"/>
    <s v="No"/>
    <x v="6"/>
  </r>
  <r>
    <n v="511431"/>
    <n v="1125"/>
    <x v="5"/>
    <d v="2023-08-07T00:00:00"/>
    <x v="200"/>
    <n v="8"/>
    <x v="5"/>
    <x v="8"/>
    <x v="3"/>
    <s v="Valarie Nelson"/>
    <n v="1624"/>
    <s v="No"/>
    <x v="65"/>
  </r>
  <r>
    <n v="512440"/>
    <n v="99"/>
    <x v="6"/>
    <d v="2023-06-07T00:00:00"/>
    <x v="29"/>
    <n v="6"/>
    <x v="4"/>
    <x v="7"/>
    <x v="3"/>
    <s v="Sean Connery"/>
    <n v="4280"/>
    <s v="No"/>
    <x v="33"/>
  </r>
  <r>
    <n v="513417"/>
    <n v="1836"/>
    <x v="3"/>
    <d v="2023-09-21T00:00:00"/>
    <x v="88"/>
    <n v="9"/>
    <x v="3"/>
    <x v="10"/>
    <x v="0"/>
    <s v="Jeff Young"/>
    <n v="2613"/>
    <s v="No"/>
    <x v="40"/>
  </r>
  <r>
    <n v="513459"/>
    <n v="961"/>
    <x v="0"/>
    <d v="2023-02-09T00:00:00"/>
    <x v="22"/>
    <n v="2"/>
    <x v="3"/>
    <x v="5"/>
    <x v="0"/>
    <s v="Mart¡n Sommer"/>
    <n v="9907"/>
    <s v="No"/>
    <x v="43"/>
  </r>
  <r>
    <n v="514198"/>
    <n v="1617"/>
    <x v="9"/>
    <d v="2023-11-23T00:00:00"/>
    <x v="156"/>
    <n v="11"/>
    <x v="3"/>
    <x v="2"/>
    <x v="0"/>
    <s v="Mary Saveley"/>
    <n v="9711"/>
    <s v="No"/>
    <x v="63"/>
  </r>
  <r>
    <n v="514550"/>
    <n v="178"/>
    <x v="1"/>
    <d v="2023-06-01T00:00:00"/>
    <x v="109"/>
    <n v="6"/>
    <x v="3"/>
    <x v="7"/>
    <x v="3"/>
    <s v="Valarie Franco"/>
    <n v="9871"/>
    <s v="No"/>
    <x v="32"/>
  </r>
  <r>
    <n v="515145"/>
    <n v="667"/>
    <x v="3"/>
    <d v="2023-11-21T00:00:00"/>
    <x v="208"/>
    <n v="11"/>
    <x v="2"/>
    <x v="2"/>
    <x v="0"/>
    <s v="Paolo Accorti"/>
    <n v="6458"/>
    <s v="No"/>
    <x v="71"/>
  </r>
  <r>
    <n v="515694"/>
    <n v="1034"/>
    <x v="2"/>
    <d v="2023-12-02T00:00:00"/>
    <x v="209"/>
    <n v="12"/>
    <x v="1"/>
    <x v="0"/>
    <x v="0"/>
    <s v="Wendy Victorino"/>
    <n v="462"/>
    <s v="No"/>
    <x v="34"/>
  </r>
  <r>
    <n v="517514"/>
    <n v="459"/>
    <x v="2"/>
    <d v="2023-04-13T00:00:00"/>
    <x v="125"/>
    <n v="4"/>
    <x v="3"/>
    <x v="1"/>
    <x v="0"/>
    <s v="Daniel Tonini"/>
    <n v="1379"/>
    <s v="No"/>
    <x v="35"/>
  </r>
  <r>
    <n v="517568"/>
    <n v="1475"/>
    <x v="4"/>
    <d v="2023-10-01T00:00:00"/>
    <x v="111"/>
    <n v="10"/>
    <x v="6"/>
    <x v="3"/>
    <x v="0"/>
    <s v="Valarie Nelson"/>
    <n v="794"/>
    <s v="No"/>
    <x v="5"/>
  </r>
  <r>
    <n v="517712"/>
    <n v="817"/>
    <x v="0"/>
    <d v="2023-08-20T00:00:00"/>
    <x v="42"/>
    <n v="8"/>
    <x v="6"/>
    <x v="8"/>
    <x v="0"/>
    <s v="Valarie Young"/>
    <n v="8560"/>
    <s v="No"/>
    <x v="36"/>
  </r>
  <r>
    <n v="519130"/>
    <n v="1036"/>
    <x v="1"/>
    <d v="2023-09-28T00:00:00"/>
    <x v="67"/>
    <n v="9"/>
    <x v="3"/>
    <x v="10"/>
    <x v="2"/>
    <s v="Victoria Ashworth"/>
    <n v="6750"/>
    <s v="No"/>
    <x v="3"/>
  </r>
  <r>
    <n v="520080"/>
    <n v="922"/>
    <x v="11"/>
    <d v="2023-10-18T00:00:00"/>
    <x v="161"/>
    <n v="10"/>
    <x v="4"/>
    <x v="3"/>
    <x v="1"/>
    <s v="Laurence Lebihan"/>
    <n v="917"/>
    <s v="No"/>
    <x v="34"/>
  </r>
  <r>
    <n v="520860"/>
    <n v="848"/>
    <x v="0"/>
    <d v="2023-01-23T00:00:00"/>
    <x v="90"/>
    <n v="1"/>
    <x v="5"/>
    <x v="9"/>
    <x v="3"/>
    <s v="Daniel Da Cunha"/>
    <n v="7161"/>
    <s v="No"/>
    <x v="60"/>
  </r>
  <r>
    <n v="520868"/>
    <n v="1941"/>
    <x v="4"/>
    <d v="2023-11-24T00:00:00"/>
    <x v="112"/>
    <n v="11"/>
    <x v="0"/>
    <x v="2"/>
    <x v="0"/>
    <s v="Julie Young"/>
    <n v="870"/>
    <s v="No"/>
    <x v="46"/>
  </r>
  <r>
    <n v="521015"/>
    <n v="1351"/>
    <x v="4"/>
    <d v="2023-04-04T00:00:00"/>
    <x v="92"/>
    <n v="4"/>
    <x v="2"/>
    <x v="1"/>
    <x v="2"/>
    <s v="Diego Freyre"/>
    <n v="9200"/>
    <s v="No"/>
    <x v="53"/>
  </r>
  <r>
    <n v="521330"/>
    <n v="1714"/>
    <x v="4"/>
    <d v="2023-08-06T00:00:00"/>
    <x v="24"/>
    <n v="8"/>
    <x v="6"/>
    <x v="8"/>
    <x v="2"/>
    <s v="Valarie Nelson"/>
    <n v="9321"/>
    <s v="No"/>
    <x v="19"/>
  </r>
  <r>
    <n v="521761"/>
    <n v="1504"/>
    <x v="3"/>
    <d v="2023-07-06T00:00:00"/>
    <x v="141"/>
    <n v="7"/>
    <x v="3"/>
    <x v="6"/>
    <x v="1"/>
    <s v="Wendy Victorino"/>
    <n v="4462"/>
    <s v="No"/>
    <x v="19"/>
  </r>
  <r>
    <n v="522201"/>
    <n v="760"/>
    <x v="1"/>
    <d v="2023-11-10T00:00:00"/>
    <x v="9"/>
    <n v="11"/>
    <x v="0"/>
    <x v="2"/>
    <x v="0"/>
    <s v="Adrian Huxley"/>
    <n v="9296"/>
    <s v="No"/>
    <x v="13"/>
  </r>
  <r>
    <n v="525192"/>
    <n v="1484"/>
    <x v="0"/>
    <d v="2023-01-26T00:00:00"/>
    <x v="81"/>
    <n v="1"/>
    <x v="3"/>
    <x v="9"/>
    <x v="0"/>
    <s v="Jonas Bergulfsen"/>
    <n v="2431"/>
    <s v="No"/>
    <x v="58"/>
  </r>
  <r>
    <n v="525405"/>
    <n v="796"/>
    <x v="10"/>
    <d v="2023-01-17T00:00:00"/>
    <x v="123"/>
    <n v="1"/>
    <x v="2"/>
    <x v="9"/>
    <x v="2"/>
    <s v="Marie Bertrand"/>
    <n v="6640"/>
    <s v="No"/>
    <x v="18"/>
  </r>
  <r>
    <n v="525500"/>
    <n v="299"/>
    <x v="1"/>
    <d v="2023-07-04T00:00:00"/>
    <x v="52"/>
    <n v="7"/>
    <x v="2"/>
    <x v="6"/>
    <x v="0"/>
    <s v="Mart¡n Sommer"/>
    <n v="9056"/>
    <s v="No"/>
    <x v="30"/>
  </r>
  <r>
    <n v="525782"/>
    <n v="833"/>
    <x v="11"/>
    <d v="2023-06-02T00:00:00"/>
    <x v="115"/>
    <n v="6"/>
    <x v="0"/>
    <x v="7"/>
    <x v="0"/>
    <s v="Juri Hirano"/>
    <n v="257"/>
    <s v="No"/>
    <x v="44"/>
  </r>
  <r>
    <n v="528569"/>
    <n v="1993"/>
    <x v="0"/>
    <d v="2023-06-26T00:00:00"/>
    <x v="14"/>
    <n v="6"/>
    <x v="5"/>
    <x v="7"/>
    <x v="3"/>
    <s v="Pirkko Koskitalo"/>
    <n v="613"/>
    <s v="No"/>
    <x v="57"/>
  </r>
  <r>
    <n v="529245"/>
    <n v="650"/>
    <x v="3"/>
    <d v="2023-02-16T00:00:00"/>
    <x v="6"/>
    <n v="2"/>
    <x v="3"/>
    <x v="5"/>
    <x v="1"/>
    <s v="Eric Natividad"/>
    <n v="1465"/>
    <s v="No"/>
    <x v="4"/>
  </r>
  <r>
    <n v="529816"/>
    <n v="424"/>
    <x v="4"/>
    <d v="2023-09-04T00:00:00"/>
    <x v="43"/>
    <n v="9"/>
    <x v="5"/>
    <x v="10"/>
    <x v="2"/>
    <s v="Ann Brown"/>
    <n v="4135"/>
    <s v="No"/>
    <x v="50"/>
  </r>
  <r>
    <n v="530067"/>
    <n v="1126"/>
    <x v="3"/>
    <d v="2023-08-17T00:00:00"/>
    <x v="210"/>
    <n v="8"/>
    <x v="3"/>
    <x v="8"/>
    <x v="0"/>
    <s v="Jose Pedro Roel"/>
    <n v="8259"/>
    <s v="No"/>
    <x v="48"/>
  </r>
  <r>
    <n v="531173"/>
    <n v="27"/>
    <x v="0"/>
    <d v="2023-08-08T00:00:00"/>
    <x v="23"/>
    <n v="8"/>
    <x v="2"/>
    <x v="8"/>
    <x v="3"/>
    <s v="Mary Saveley"/>
    <n v="9787"/>
    <s v="No"/>
    <x v="50"/>
  </r>
  <r>
    <n v="531700"/>
    <n v="925"/>
    <x v="0"/>
    <d v="2023-06-05T00:00:00"/>
    <x v="93"/>
    <n v="6"/>
    <x v="5"/>
    <x v="7"/>
    <x v="3"/>
    <s v="Valarie Franco"/>
    <n v="8597"/>
    <s v="No"/>
    <x v="6"/>
  </r>
  <r>
    <n v="532196"/>
    <n v="1019"/>
    <x v="2"/>
    <d v="2023-10-08T00:00:00"/>
    <x v="88"/>
    <n v="10"/>
    <x v="6"/>
    <x v="3"/>
    <x v="0"/>
    <s v="Wendy Victorino"/>
    <n v="3019"/>
    <s v="No"/>
    <x v="71"/>
  </r>
  <r>
    <n v="532654"/>
    <n v="1948"/>
    <x v="0"/>
    <d v="2023-11-09T00:00:00"/>
    <x v="211"/>
    <n v="11"/>
    <x v="3"/>
    <x v="2"/>
    <x v="2"/>
    <s v="Valarie Nelson"/>
    <n v="3310"/>
    <s v="No"/>
    <x v="33"/>
  </r>
  <r>
    <n v="533187"/>
    <n v="1510"/>
    <x v="8"/>
    <d v="2023-03-13T00:00:00"/>
    <x v="121"/>
    <n v="3"/>
    <x v="5"/>
    <x v="4"/>
    <x v="0"/>
    <s v="Diego Freyre"/>
    <n v="825"/>
    <s v="No"/>
    <x v="12"/>
  </r>
  <r>
    <n v="533511"/>
    <n v="615"/>
    <x v="3"/>
    <d v="2023-03-23T00:00:00"/>
    <x v="64"/>
    <n v="3"/>
    <x v="3"/>
    <x v="4"/>
    <x v="2"/>
    <s v="Wendy Victorino"/>
    <n v="4159"/>
    <s v="No"/>
    <x v="62"/>
  </r>
  <r>
    <n v="533763"/>
    <n v="1008"/>
    <x v="5"/>
    <d v="2023-06-26T00:00:00"/>
    <x v="50"/>
    <n v="6"/>
    <x v="5"/>
    <x v="7"/>
    <x v="3"/>
    <s v="Valarie Nelson"/>
    <n v="4873"/>
    <s v="No"/>
    <x v="18"/>
  </r>
  <r>
    <n v="533914"/>
    <n v="1884"/>
    <x v="0"/>
    <d v="2023-05-30T00:00:00"/>
    <x v="26"/>
    <n v="5"/>
    <x v="2"/>
    <x v="11"/>
    <x v="0"/>
    <s v="Kyung Yu"/>
    <n v="5436"/>
    <s v="No"/>
    <x v="34"/>
  </r>
  <r>
    <n v="534259"/>
    <n v="249"/>
    <x v="0"/>
    <d v="2023-05-03T00:00:00"/>
    <x v="136"/>
    <n v="5"/>
    <x v="4"/>
    <x v="11"/>
    <x v="0"/>
    <s v="Maria Larsson"/>
    <n v="3939"/>
    <s v="No"/>
    <x v="30"/>
  </r>
  <r>
    <n v="534263"/>
    <n v="109"/>
    <x v="0"/>
    <d v="2023-06-16T00:00:00"/>
    <x v="21"/>
    <n v="6"/>
    <x v="0"/>
    <x v="7"/>
    <x v="3"/>
    <s v="Marta Hernandez"/>
    <n v="3129"/>
    <s v="No"/>
    <x v="24"/>
  </r>
  <r>
    <n v="534708"/>
    <n v="854"/>
    <x v="0"/>
    <d v="2023-09-10T00:00:00"/>
    <x v="30"/>
    <n v="9"/>
    <x v="6"/>
    <x v="10"/>
    <x v="0"/>
    <s v="Yoshi Tannamuri"/>
    <n v="577"/>
    <s v="No"/>
    <x v="57"/>
  </r>
  <r>
    <n v="535104"/>
    <n v="324"/>
    <x v="6"/>
    <d v="2023-10-30T00:00:00"/>
    <x v="15"/>
    <n v="10"/>
    <x v="5"/>
    <x v="3"/>
    <x v="1"/>
    <s v="Valarie Young"/>
    <n v="7237"/>
    <s v="No"/>
    <x v="9"/>
  </r>
  <r>
    <n v="535213"/>
    <n v="998"/>
    <x v="8"/>
    <d v="2023-08-20T00:00:00"/>
    <x v="207"/>
    <n v="8"/>
    <x v="6"/>
    <x v="8"/>
    <x v="2"/>
    <s v="Christina Berglund"/>
    <n v="1196"/>
    <s v="No"/>
    <x v="20"/>
  </r>
  <r>
    <n v="535352"/>
    <n v="622"/>
    <x v="1"/>
    <d v="2023-07-23T00:00:00"/>
    <x v="191"/>
    <n v="7"/>
    <x v="6"/>
    <x v="6"/>
    <x v="2"/>
    <s v="Peter Ferguson"/>
    <n v="9155"/>
    <s v="No"/>
    <x v="37"/>
  </r>
  <r>
    <n v="536530"/>
    <n v="738"/>
    <x v="3"/>
    <d v="2023-04-27T00:00:00"/>
    <x v="96"/>
    <n v="4"/>
    <x v="3"/>
    <x v="1"/>
    <x v="1"/>
    <s v="Valarie Nelson"/>
    <n v="891"/>
    <s v="No"/>
    <x v="5"/>
  </r>
  <r>
    <n v="537418"/>
    <n v="51"/>
    <x v="0"/>
    <d v="2023-07-21T00:00:00"/>
    <x v="55"/>
    <n v="7"/>
    <x v="0"/>
    <x v="6"/>
    <x v="1"/>
    <s v="Anna O'Hara"/>
    <n v="7284"/>
    <s v="No"/>
    <x v="42"/>
  </r>
  <r>
    <n v="537514"/>
    <n v="12"/>
    <x v="4"/>
    <d v="2023-10-08T00:00:00"/>
    <x v="42"/>
    <n v="10"/>
    <x v="6"/>
    <x v="3"/>
    <x v="0"/>
    <s v="Julie Brown"/>
    <n v="8747"/>
    <s v="No"/>
    <x v="48"/>
  </r>
  <r>
    <n v="537900"/>
    <n v="1009"/>
    <x v="0"/>
    <d v="2023-01-10T00:00:00"/>
    <x v="20"/>
    <n v="1"/>
    <x v="2"/>
    <x v="9"/>
    <x v="1"/>
    <s v="Anna O'Hara"/>
    <n v="3462"/>
    <s v="No"/>
    <x v="60"/>
  </r>
  <r>
    <n v="538560"/>
    <n v="31"/>
    <x v="0"/>
    <d v="2023-11-01T00:00:00"/>
    <x v="2"/>
    <n v="11"/>
    <x v="4"/>
    <x v="2"/>
    <x v="3"/>
    <s v="Diego Freyre"/>
    <n v="9928"/>
    <s v="No"/>
    <x v="13"/>
  </r>
  <r>
    <n v="539212"/>
    <n v="488"/>
    <x v="0"/>
    <d v="2023-11-29T00:00:00"/>
    <x v="179"/>
    <n v="11"/>
    <x v="4"/>
    <x v="2"/>
    <x v="1"/>
    <s v="Janine Labrune"/>
    <n v="8345"/>
    <s v="No"/>
    <x v="11"/>
  </r>
  <r>
    <n v="539679"/>
    <n v="668"/>
    <x v="3"/>
    <d v="2023-05-07T00:00:00"/>
    <x v="39"/>
    <n v="5"/>
    <x v="6"/>
    <x v="11"/>
    <x v="2"/>
    <s v="Giovanni Rovelli"/>
    <n v="24"/>
    <s v="No"/>
    <x v="70"/>
  </r>
  <r>
    <n v="540823"/>
    <n v="306"/>
    <x v="1"/>
    <d v="2023-11-30T00:00:00"/>
    <x v="54"/>
    <n v="11"/>
    <x v="3"/>
    <x v="2"/>
    <x v="3"/>
    <s v="Peter Ferguson"/>
    <n v="3011"/>
    <s v="No"/>
    <x v="1"/>
  </r>
  <r>
    <n v="541612"/>
    <n v="248"/>
    <x v="0"/>
    <d v="2023-11-06T00:00:00"/>
    <x v="151"/>
    <n v="11"/>
    <x v="5"/>
    <x v="2"/>
    <x v="3"/>
    <s v="Diego Freyre"/>
    <n v="3155"/>
    <s v="No"/>
    <x v="59"/>
  </r>
  <r>
    <n v="541737"/>
    <n v="1365"/>
    <x v="0"/>
    <d v="2023-12-23T00:00:00"/>
    <x v="6"/>
    <n v="12"/>
    <x v="1"/>
    <x v="0"/>
    <x v="1"/>
    <s v="Julie Young"/>
    <n v="1362"/>
    <s v="No"/>
    <x v="62"/>
  </r>
  <r>
    <n v="541762"/>
    <n v="1492"/>
    <x v="0"/>
    <d v="2023-07-28T00:00:00"/>
    <x v="96"/>
    <n v="7"/>
    <x v="0"/>
    <x v="6"/>
    <x v="2"/>
    <s v="Juri Hirano"/>
    <n v="5062"/>
    <s v="No"/>
    <x v="61"/>
  </r>
  <r>
    <n v="541964"/>
    <n v="465"/>
    <x v="0"/>
    <d v="2023-10-22T00:00:00"/>
    <x v="138"/>
    <n v="10"/>
    <x v="6"/>
    <x v="3"/>
    <x v="1"/>
    <s v="Mory Kentary"/>
    <n v="3372"/>
    <s v="No"/>
    <x v="22"/>
  </r>
  <r>
    <n v="542381"/>
    <n v="1767"/>
    <x v="3"/>
    <d v="2023-12-26T00:00:00"/>
    <x v="97"/>
    <n v="12"/>
    <x v="2"/>
    <x v="0"/>
    <x v="1"/>
    <s v="Peter Ferguson"/>
    <n v="6198"/>
    <s v="No"/>
    <x v="44"/>
  </r>
  <r>
    <n v="543294"/>
    <n v="1504"/>
    <x v="3"/>
    <d v="2023-09-13T00:00:00"/>
    <x v="108"/>
    <n v="9"/>
    <x v="4"/>
    <x v="10"/>
    <x v="1"/>
    <s v="Elizabeth Lincoln"/>
    <n v="3639"/>
    <s v="No"/>
    <x v="19"/>
  </r>
  <r>
    <n v="543420"/>
    <n v="1942"/>
    <x v="0"/>
    <d v="2023-06-15T00:00:00"/>
    <x v="164"/>
    <n v="6"/>
    <x v="3"/>
    <x v="7"/>
    <x v="2"/>
    <s v="Sue Frick"/>
    <n v="4380"/>
    <s v="No"/>
    <x v="35"/>
  </r>
  <r>
    <n v="543688"/>
    <n v="1393"/>
    <x v="2"/>
    <d v="2023-08-08T00:00:00"/>
    <x v="21"/>
    <n v="8"/>
    <x v="2"/>
    <x v="8"/>
    <x v="2"/>
    <s v="Julie King"/>
    <n v="9836"/>
    <s v="No"/>
    <x v="15"/>
  </r>
  <r>
    <n v="544608"/>
    <n v="643"/>
    <x v="1"/>
    <d v="2023-09-23T00:00:00"/>
    <x v="212"/>
    <n v="9"/>
    <x v="1"/>
    <x v="10"/>
    <x v="3"/>
    <s v="Janine Labrune"/>
    <n v="3678"/>
    <s v="No"/>
    <x v="36"/>
  </r>
  <r>
    <n v="544675"/>
    <n v="459"/>
    <x v="2"/>
    <d v="2023-05-13T00:00:00"/>
    <x v="102"/>
    <n v="5"/>
    <x v="1"/>
    <x v="11"/>
    <x v="1"/>
    <s v="Jan Klaeboe"/>
    <n v="6757"/>
    <s v="No"/>
    <x v="35"/>
  </r>
  <r>
    <n v="545696"/>
    <n v="1682"/>
    <x v="3"/>
    <d v="2023-06-08T00:00:00"/>
    <x v="12"/>
    <n v="6"/>
    <x v="3"/>
    <x v="7"/>
    <x v="3"/>
    <s v="Dean Cassidy"/>
    <n v="9120"/>
    <s v="No"/>
    <x v="54"/>
  </r>
  <r>
    <n v="546278"/>
    <n v="1510"/>
    <x v="8"/>
    <d v="2023-06-04T00:00:00"/>
    <x v="37"/>
    <n v="6"/>
    <x v="6"/>
    <x v="7"/>
    <x v="1"/>
    <s v="Steve Frick"/>
    <n v="5853"/>
    <s v="No"/>
    <x v="12"/>
  </r>
  <r>
    <n v="546758"/>
    <n v="1844"/>
    <x v="5"/>
    <d v="2023-08-02T00:00:00"/>
    <x v="29"/>
    <n v="8"/>
    <x v="4"/>
    <x v="8"/>
    <x v="0"/>
    <s v="Kyung Yu"/>
    <n v="316"/>
    <s v="No"/>
    <x v="51"/>
  </r>
  <r>
    <n v="546839"/>
    <n v="1566"/>
    <x v="0"/>
    <d v="2023-12-10T00:00:00"/>
    <x v="42"/>
    <n v="12"/>
    <x v="6"/>
    <x v="0"/>
    <x v="1"/>
    <s v="Jytte Petersen"/>
    <n v="8639"/>
    <s v="No"/>
    <x v="71"/>
  </r>
  <r>
    <n v="547144"/>
    <n v="1666"/>
    <x v="4"/>
    <d v="2023-01-14T00:00:00"/>
    <x v="186"/>
    <n v="1"/>
    <x v="1"/>
    <x v="9"/>
    <x v="3"/>
    <s v="Akiko Shimamura"/>
    <n v="5455"/>
    <s v="No"/>
    <x v="29"/>
  </r>
  <r>
    <n v="547283"/>
    <n v="1363"/>
    <x v="3"/>
    <d v="2023-04-24T00:00:00"/>
    <x v="64"/>
    <n v="4"/>
    <x v="5"/>
    <x v="1"/>
    <x v="1"/>
    <s v="Dan Lewis"/>
    <n v="2149"/>
    <s v="No"/>
    <x v="49"/>
  </r>
  <r>
    <n v="548423"/>
    <n v="1109"/>
    <x v="1"/>
    <d v="2023-09-21T00:00:00"/>
    <x v="84"/>
    <n v="9"/>
    <x v="3"/>
    <x v="10"/>
    <x v="0"/>
    <s v="Tony Calaghan"/>
    <n v="3958"/>
    <s v="No"/>
    <x v="46"/>
  </r>
  <r>
    <n v="548714"/>
    <n v="1156"/>
    <x v="8"/>
    <d v="2023-06-22T00:00:00"/>
    <x v="3"/>
    <n v="6"/>
    <x v="3"/>
    <x v="7"/>
    <x v="3"/>
    <s v="Diego Freyre"/>
    <n v="6145"/>
    <s v="No"/>
    <x v="31"/>
  </r>
  <r>
    <n v="549930"/>
    <n v="685"/>
    <x v="6"/>
    <d v="2023-06-26T00:00:00"/>
    <x v="174"/>
    <n v="6"/>
    <x v="5"/>
    <x v="7"/>
    <x v="3"/>
    <s v="Paul Henriot"/>
    <n v="8311"/>
    <s v="No"/>
    <x v="63"/>
  </r>
  <r>
    <n v="550510"/>
    <n v="536"/>
    <x v="7"/>
    <d v="2023-04-20T00:00:00"/>
    <x v="74"/>
    <n v="4"/>
    <x v="3"/>
    <x v="1"/>
    <x v="1"/>
    <s v="William Brown"/>
    <n v="4540"/>
    <s v="No"/>
    <x v="45"/>
  </r>
  <r>
    <n v="551810"/>
    <n v="477"/>
    <x v="6"/>
    <d v="2023-06-08T00:00:00"/>
    <x v="67"/>
    <n v="6"/>
    <x v="3"/>
    <x v="7"/>
    <x v="3"/>
    <s v="Maurizio Moroni"/>
    <n v="8174"/>
    <s v="No"/>
    <x v="34"/>
  </r>
  <r>
    <n v="551997"/>
    <n v="1620"/>
    <x v="0"/>
    <d v="2023-09-26T00:00:00"/>
    <x v="137"/>
    <n v="9"/>
    <x v="2"/>
    <x v="10"/>
    <x v="1"/>
    <s v="Kwai Yu"/>
    <n v="5017"/>
    <s v="No"/>
    <x v="57"/>
  </r>
  <r>
    <n v="552382"/>
    <n v="375"/>
    <x v="6"/>
    <d v="2023-05-02T00:00:00"/>
    <x v="50"/>
    <n v="5"/>
    <x v="2"/>
    <x v="11"/>
    <x v="2"/>
    <s v="Peter Ferguson"/>
    <n v="626"/>
    <s v="No"/>
    <x v="23"/>
  </r>
  <r>
    <n v="552420"/>
    <n v="31"/>
    <x v="0"/>
    <d v="2023-07-24T00:00:00"/>
    <x v="62"/>
    <n v="7"/>
    <x v="5"/>
    <x v="6"/>
    <x v="0"/>
    <s v="Daniel Da Cunha"/>
    <n v="3937"/>
    <s v="No"/>
    <x v="13"/>
  </r>
  <r>
    <n v="552683"/>
    <n v="131"/>
    <x v="2"/>
    <d v="2023-05-08T00:00:00"/>
    <x v="65"/>
    <n v="5"/>
    <x v="5"/>
    <x v="11"/>
    <x v="0"/>
    <s v="Julie Young"/>
    <n v="6578"/>
    <s v="No"/>
    <x v="70"/>
  </r>
  <r>
    <n v="554150"/>
    <n v="343"/>
    <x v="1"/>
    <d v="2023-05-05T00:00:00"/>
    <x v="72"/>
    <n v="5"/>
    <x v="0"/>
    <x v="11"/>
    <x v="2"/>
    <s v="Julie Brown"/>
    <n v="1090"/>
    <s v="No"/>
    <x v="51"/>
  </r>
  <r>
    <n v="556001"/>
    <n v="395"/>
    <x v="1"/>
    <d v="2023-01-28T00:00:00"/>
    <x v="139"/>
    <n v="1"/>
    <x v="1"/>
    <x v="9"/>
    <x v="0"/>
    <s v="Juri Hirano"/>
    <n v="8901"/>
    <s v="No"/>
    <x v="13"/>
  </r>
  <r>
    <n v="556930"/>
    <n v="1847"/>
    <x v="3"/>
    <d v="2023-01-14T00:00:00"/>
    <x v="6"/>
    <n v="1"/>
    <x v="1"/>
    <x v="9"/>
    <x v="2"/>
    <s v="Martine Rance"/>
    <n v="1675"/>
    <s v="No"/>
    <x v="19"/>
  </r>
  <r>
    <n v="557919"/>
    <n v="736"/>
    <x v="0"/>
    <d v="2023-11-07T00:00:00"/>
    <x v="104"/>
    <n v="11"/>
    <x v="2"/>
    <x v="2"/>
    <x v="1"/>
    <s v="Veysel Oeztan"/>
    <n v="1848"/>
    <s v="No"/>
    <x v="63"/>
  </r>
  <r>
    <n v="558573"/>
    <n v="342"/>
    <x v="1"/>
    <d v="2023-09-23T00:00:00"/>
    <x v="67"/>
    <n v="9"/>
    <x v="1"/>
    <x v="10"/>
    <x v="0"/>
    <s v="Julie Murphy"/>
    <n v="2278"/>
    <s v="No"/>
    <x v="48"/>
  </r>
  <r>
    <n v="559015"/>
    <n v="785"/>
    <x v="12"/>
    <d v="2023-05-13T00:00:00"/>
    <x v="77"/>
    <n v="5"/>
    <x v="1"/>
    <x v="11"/>
    <x v="0"/>
    <s v="Mory Kentary"/>
    <n v="9196"/>
    <s v="No"/>
    <x v="60"/>
  </r>
  <r>
    <n v="559948"/>
    <n v="1548"/>
    <x v="3"/>
    <d v="2023-09-08T00:00:00"/>
    <x v="213"/>
    <n v="9"/>
    <x v="0"/>
    <x v="10"/>
    <x v="1"/>
    <s v="Peter Ferguson"/>
    <n v="1404"/>
    <s v="No"/>
    <x v="7"/>
  </r>
  <r>
    <n v="560179"/>
    <n v="1615"/>
    <x v="4"/>
    <d v="2023-07-05T00:00:00"/>
    <x v="121"/>
    <n v="7"/>
    <x v="4"/>
    <x v="6"/>
    <x v="1"/>
    <s v="Rosa Hernandez"/>
    <n v="227"/>
    <s v="No"/>
    <x v="71"/>
  </r>
  <r>
    <n v="560929"/>
    <n v="995"/>
    <x v="3"/>
    <d v="2023-01-21T00:00:00"/>
    <x v="72"/>
    <n v="1"/>
    <x v="1"/>
    <x v="9"/>
    <x v="0"/>
    <s v="William Brown"/>
    <n v="2792"/>
    <s v="No"/>
    <x v="43"/>
  </r>
  <r>
    <n v="561027"/>
    <n v="185"/>
    <x v="9"/>
    <d v="2023-11-25T00:00:00"/>
    <x v="8"/>
    <n v="11"/>
    <x v="1"/>
    <x v="2"/>
    <x v="1"/>
    <s v="Julie King"/>
    <n v="9534"/>
    <s v="No"/>
    <x v="46"/>
  </r>
  <r>
    <n v="561399"/>
    <n v="761"/>
    <x v="13"/>
    <d v="2023-10-26T00:00:00"/>
    <x v="88"/>
    <n v="10"/>
    <x v="3"/>
    <x v="3"/>
    <x v="0"/>
    <s v="Janine Labrune"/>
    <n v="6729"/>
    <s v="No"/>
    <x v="53"/>
  </r>
  <r>
    <n v="561511"/>
    <n v="690"/>
    <x v="7"/>
    <d v="2023-12-01T00:00:00"/>
    <x v="127"/>
    <n v="12"/>
    <x v="0"/>
    <x v="0"/>
    <x v="0"/>
    <s v="Marta Hernandez"/>
    <n v="6808"/>
    <s v="No"/>
    <x v="2"/>
  </r>
  <r>
    <n v="561728"/>
    <n v="1193"/>
    <x v="2"/>
    <d v="2023-03-26T00:00:00"/>
    <x v="114"/>
    <n v="3"/>
    <x v="6"/>
    <x v="4"/>
    <x v="2"/>
    <s v="Carine Schmitt"/>
    <n v="9790"/>
    <s v="No"/>
    <x v="45"/>
  </r>
  <r>
    <n v="561976"/>
    <n v="286"/>
    <x v="0"/>
    <d v="2023-04-04T00:00:00"/>
    <x v="123"/>
    <n v="4"/>
    <x v="2"/>
    <x v="1"/>
    <x v="0"/>
    <s v="Steve Frick"/>
    <n v="3146"/>
    <s v="No"/>
    <x v="33"/>
  </r>
  <r>
    <n v="562295"/>
    <n v="853"/>
    <x v="0"/>
    <d v="2023-07-21T00:00:00"/>
    <x v="89"/>
    <n v="7"/>
    <x v="0"/>
    <x v="6"/>
    <x v="1"/>
    <s v="Kyung Yu"/>
    <n v="3046"/>
    <s v="No"/>
    <x v="56"/>
  </r>
  <r>
    <n v="563443"/>
    <n v="173"/>
    <x v="1"/>
    <d v="2023-10-29T00:00:00"/>
    <x v="120"/>
    <n v="10"/>
    <x v="6"/>
    <x v="3"/>
    <x v="0"/>
    <s v="Kwai Yu"/>
    <n v="8023"/>
    <s v="No"/>
    <x v="0"/>
  </r>
  <r>
    <n v="563575"/>
    <n v="947"/>
    <x v="6"/>
    <d v="2023-04-05T00:00:00"/>
    <x v="155"/>
    <n v="4"/>
    <x v="4"/>
    <x v="1"/>
    <x v="3"/>
    <s v="Akiko Shimamura"/>
    <n v="2260"/>
    <s v="No"/>
    <x v="13"/>
  </r>
  <r>
    <n v="564076"/>
    <n v="1862"/>
    <x v="6"/>
    <d v="2023-05-30T00:00:00"/>
    <x v="87"/>
    <n v="5"/>
    <x v="2"/>
    <x v="11"/>
    <x v="3"/>
    <s v="Juri Hirano"/>
    <n v="7241"/>
    <s v="No"/>
    <x v="41"/>
  </r>
  <r>
    <n v="564478"/>
    <n v="1827"/>
    <x v="0"/>
    <d v="2023-02-10T00:00:00"/>
    <x v="50"/>
    <n v="2"/>
    <x v="0"/>
    <x v="5"/>
    <x v="0"/>
    <s v="Tony Calaghan"/>
    <n v="4891"/>
    <s v="No"/>
    <x v="57"/>
  </r>
  <r>
    <n v="565068"/>
    <n v="1689"/>
    <x v="6"/>
    <d v="2023-06-10T00:00:00"/>
    <x v="69"/>
    <n v="6"/>
    <x v="1"/>
    <x v="7"/>
    <x v="1"/>
    <s v="Maria Larsson"/>
    <n v="1282"/>
    <s v="No"/>
    <x v="63"/>
  </r>
  <r>
    <n v="565931"/>
    <n v="256"/>
    <x v="6"/>
    <d v="2023-07-22T00:00:00"/>
    <x v="68"/>
    <n v="7"/>
    <x v="1"/>
    <x v="6"/>
    <x v="1"/>
    <s v="Dominique Perrier"/>
    <n v="9251"/>
    <s v="No"/>
    <x v="54"/>
  </r>
  <r>
    <n v="566436"/>
    <n v="1406"/>
    <x v="6"/>
    <d v="2023-12-17T00:00:00"/>
    <x v="170"/>
    <n v="12"/>
    <x v="6"/>
    <x v="0"/>
    <x v="0"/>
    <s v="Diego Freyre"/>
    <n v="806"/>
    <s v="No"/>
    <x v="65"/>
  </r>
  <r>
    <n v="566985"/>
    <n v="146"/>
    <x v="8"/>
    <d v="2023-06-27T00:00:00"/>
    <x v="88"/>
    <n v="6"/>
    <x v="2"/>
    <x v="7"/>
    <x v="0"/>
    <s v="Roland Keitel"/>
    <n v="3344"/>
    <s v="No"/>
    <x v="67"/>
  </r>
  <r>
    <n v="568627"/>
    <n v="428"/>
    <x v="6"/>
    <d v="2023-02-08T00:00:00"/>
    <x v="144"/>
    <n v="2"/>
    <x v="4"/>
    <x v="5"/>
    <x v="1"/>
    <s v="Victoria Ashworth"/>
    <n v="8884"/>
    <s v="No"/>
    <x v="27"/>
  </r>
  <r>
    <n v="568799"/>
    <n v="1429"/>
    <x v="9"/>
    <d v="2023-10-11T00:00:00"/>
    <x v="87"/>
    <n v="10"/>
    <x v="4"/>
    <x v="3"/>
    <x v="0"/>
    <s v="Peter Ferguson"/>
    <n v="9085"/>
    <s v="No"/>
    <x v="59"/>
  </r>
  <r>
    <n v="568873"/>
    <n v="435"/>
    <x v="1"/>
    <d v="2023-04-15T00:00:00"/>
    <x v="119"/>
    <n v="4"/>
    <x v="1"/>
    <x v="1"/>
    <x v="0"/>
    <s v="Adrian Huxley"/>
    <n v="8247"/>
    <s v="No"/>
    <x v="20"/>
  </r>
  <r>
    <n v="568908"/>
    <n v="1297"/>
    <x v="0"/>
    <d v="2023-05-27T00:00:00"/>
    <x v="5"/>
    <n v="5"/>
    <x v="1"/>
    <x v="11"/>
    <x v="0"/>
    <s v="Sue Taylor"/>
    <n v="3377"/>
    <s v="No"/>
    <x v="46"/>
  </r>
  <r>
    <n v="569033"/>
    <n v="674"/>
    <x v="0"/>
    <d v="2023-10-31T00:00:00"/>
    <x v="138"/>
    <n v="10"/>
    <x v="2"/>
    <x v="3"/>
    <x v="2"/>
    <s v="Julie Brown"/>
    <n v="8931"/>
    <s v="No"/>
    <x v="37"/>
  </r>
  <r>
    <n v="569318"/>
    <n v="30"/>
    <x v="3"/>
    <d v="2023-02-15T00:00:00"/>
    <x v="209"/>
    <n v="2"/>
    <x v="4"/>
    <x v="5"/>
    <x v="0"/>
    <s v="Giovanni Rovelli"/>
    <n v="3887"/>
    <s v="No"/>
    <x v="54"/>
  </r>
  <r>
    <n v="569689"/>
    <n v="1492"/>
    <x v="0"/>
    <d v="2023-10-28T00:00:00"/>
    <x v="59"/>
    <n v="10"/>
    <x v="1"/>
    <x v="3"/>
    <x v="2"/>
    <s v="Valarie Nelson"/>
    <n v="2171"/>
    <s v="No"/>
    <x v="61"/>
  </r>
  <r>
    <n v="570816"/>
    <n v="1266"/>
    <x v="0"/>
    <d v="2023-01-01T00:00:00"/>
    <x v="214"/>
    <n v="1"/>
    <x v="6"/>
    <x v="9"/>
    <x v="2"/>
    <s v="Sean Connery"/>
    <n v="1195"/>
    <s v="No"/>
    <x v="53"/>
  </r>
  <r>
    <n v="571316"/>
    <n v="1052"/>
    <x v="7"/>
    <d v="2023-05-18T00:00:00"/>
    <x v="132"/>
    <n v="5"/>
    <x v="3"/>
    <x v="11"/>
    <x v="2"/>
    <s v="Diego Freyre"/>
    <n v="1658"/>
    <s v="No"/>
    <x v="50"/>
  </r>
  <r>
    <n v="571695"/>
    <n v="53"/>
    <x v="14"/>
    <d v="2023-08-02T00:00:00"/>
    <x v="11"/>
    <n v="8"/>
    <x v="4"/>
    <x v="8"/>
    <x v="3"/>
    <s v="Mart¡n Sommer"/>
    <n v="832"/>
    <s v="No"/>
    <x v="14"/>
  </r>
  <r>
    <n v="571764"/>
    <n v="568"/>
    <x v="3"/>
    <d v="2023-08-08T00:00:00"/>
    <x v="19"/>
    <n v="8"/>
    <x v="2"/>
    <x v="8"/>
    <x v="0"/>
    <s v="Mary Saveley"/>
    <n v="1895"/>
    <s v="No"/>
    <x v="43"/>
  </r>
  <r>
    <n v="572221"/>
    <n v="1253"/>
    <x v="0"/>
    <d v="2023-07-25T00:00:00"/>
    <x v="79"/>
    <n v="7"/>
    <x v="2"/>
    <x v="6"/>
    <x v="1"/>
    <s v="Diego Freyre"/>
    <n v="9800"/>
    <s v="No"/>
    <x v="33"/>
  </r>
  <r>
    <n v="572449"/>
    <n v="43"/>
    <x v="5"/>
    <d v="2023-05-01T00:00:00"/>
    <x v="174"/>
    <n v="5"/>
    <x v="5"/>
    <x v="11"/>
    <x v="2"/>
    <s v="Frederique Citeaux"/>
    <n v="2289"/>
    <s v="No"/>
    <x v="39"/>
  </r>
  <r>
    <n v="573127"/>
    <n v="1960"/>
    <x v="12"/>
    <d v="2023-12-17T00:00:00"/>
    <x v="208"/>
    <n v="12"/>
    <x v="6"/>
    <x v="0"/>
    <x v="0"/>
    <s v="Paolo Accorti"/>
    <n v="7588"/>
    <s v="No"/>
    <x v="19"/>
  </r>
  <r>
    <n v="573331"/>
    <n v="1045"/>
    <x v="4"/>
    <d v="2023-10-02T00:00:00"/>
    <x v="95"/>
    <n v="10"/>
    <x v="5"/>
    <x v="3"/>
    <x v="2"/>
    <s v="Veysel Oeztan"/>
    <n v="8506"/>
    <s v="No"/>
    <x v="11"/>
  </r>
  <r>
    <n v="573406"/>
    <n v="695"/>
    <x v="3"/>
    <d v="2023-09-19T00:00:00"/>
    <x v="96"/>
    <n v="9"/>
    <x v="2"/>
    <x v="10"/>
    <x v="0"/>
    <s v="Daniel Tonini"/>
    <n v="989"/>
    <s v="No"/>
    <x v="5"/>
  </r>
  <r>
    <n v="573466"/>
    <n v="1010"/>
    <x v="4"/>
    <d v="2023-08-15T00:00:00"/>
    <x v="115"/>
    <n v="8"/>
    <x v="2"/>
    <x v="8"/>
    <x v="2"/>
    <s v="Valarie Nelson"/>
    <n v="8552"/>
    <s v="No"/>
    <x v="9"/>
  </r>
  <r>
    <n v="573585"/>
    <n v="97"/>
    <x v="0"/>
    <d v="2023-05-19T00:00:00"/>
    <x v="155"/>
    <n v="5"/>
    <x v="0"/>
    <x v="11"/>
    <x v="1"/>
    <s v="Valarie Young"/>
    <n v="3551"/>
    <s v="No"/>
    <x v="58"/>
  </r>
  <r>
    <n v="573613"/>
    <n v="1477"/>
    <x v="4"/>
    <d v="2023-08-18T00:00:00"/>
    <x v="210"/>
    <n v="8"/>
    <x v="0"/>
    <x v="8"/>
    <x v="3"/>
    <s v="Victoria Ashworth"/>
    <n v="7954"/>
    <s v="No"/>
    <x v="38"/>
  </r>
  <r>
    <n v="573756"/>
    <n v="1900"/>
    <x v="5"/>
    <d v="2023-09-10T00:00:00"/>
    <x v="127"/>
    <n v="9"/>
    <x v="6"/>
    <x v="10"/>
    <x v="1"/>
    <s v="Peter Ferguson"/>
    <n v="7244"/>
    <s v="No"/>
    <x v="9"/>
  </r>
  <r>
    <n v="574480"/>
    <n v="1907"/>
    <x v="6"/>
    <d v="2023-09-28T00:00:00"/>
    <x v="6"/>
    <n v="9"/>
    <x v="3"/>
    <x v="10"/>
    <x v="1"/>
    <s v="Daniel Da Cunha"/>
    <n v="6577"/>
    <s v="No"/>
    <x v="69"/>
  </r>
  <r>
    <n v="574845"/>
    <n v="357"/>
    <x v="8"/>
    <d v="2023-12-06T00:00:00"/>
    <x v="1"/>
    <n v="12"/>
    <x v="4"/>
    <x v="0"/>
    <x v="0"/>
    <s v="Julie Young"/>
    <n v="1101"/>
    <s v="No"/>
    <x v="41"/>
  </r>
  <r>
    <n v="575162"/>
    <n v="1040"/>
    <x v="1"/>
    <d v="2023-11-21T00:00:00"/>
    <x v="136"/>
    <n v="11"/>
    <x v="2"/>
    <x v="2"/>
    <x v="2"/>
    <s v="Diego Freyre"/>
    <n v="1854"/>
    <s v="No"/>
    <x v="42"/>
  </r>
  <r>
    <n v="576171"/>
    <n v="707"/>
    <x v="3"/>
    <d v="2023-11-01T00:00:00"/>
    <x v="135"/>
    <n v="11"/>
    <x v="4"/>
    <x v="2"/>
    <x v="1"/>
    <s v="Valarie Nelson"/>
    <n v="9989"/>
    <s v="No"/>
    <x v="12"/>
  </r>
  <r>
    <n v="576486"/>
    <n v="842"/>
    <x v="3"/>
    <d v="2023-06-20T00:00:00"/>
    <x v="152"/>
    <n v="6"/>
    <x v="2"/>
    <x v="7"/>
    <x v="0"/>
    <s v="Valarie Nelson"/>
    <n v="2847"/>
    <s v="No"/>
    <x v="10"/>
  </r>
  <r>
    <n v="577243"/>
    <n v="1283"/>
    <x v="0"/>
    <d v="2023-01-31T00:00:00"/>
    <x v="124"/>
    <n v="1"/>
    <x v="2"/>
    <x v="9"/>
    <x v="0"/>
    <s v="Rosa Hernandez"/>
    <n v="4138"/>
    <s v="No"/>
    <x v="35"/>
  </r>
  <r>
    <n v="581118"/>
    <n v="1199"/>
    <x v="2"/>
    <d v="2023-11-27T00:00:00"/>
    <x v="54"/>
    <n v="11"/>
    <x v="5"/>
    <x v="2"/>
    <x v="2"/>
    <s v="Carine Schmitt"/>
    <n v="3254"/>
    <s v="No"/>
    <x v="4"/>
  </r>
  <r>
    <n v="581573"/>
    <n v="1670"/>
    <x v="0"/>
    <d v="2023-08-08T00:00:00"/>
    <x v="207"/>
    <n v="8"/>
    <x v="2"/>
    <x v="8"/>
    <x v="3"/>
    <s v="Paul Henriot"/>
    <n v="8547"/>
    <s v="No"/>
    <x v="16"/>
  </r>
  <r>
    <n v="581918"/>
    <n v="1617"/>
    <x v="9"/>
    <d v="2023-11-01T00:00:00"/>
    <x v="88"/>
    <n v="11"/>
    <x v="4"/>
    <x v="2"/>
    <x v="0"/>
    <s v="Anna O'Hara"/>
    <n v="6030"/>
    <s v="No"/>
    <x v="63"/>
  </r>
  <r>
    <n v="582139"/>
    <n v="170"/>
    <x v="2"/>
    <d v="2023-09-26T00:00:00"/>
    <x v="202"/>
    <n v="9"/>
    <x v="2"/>
    <x v="10"/>
    <x v="3"/>
    <s v="Palle Ibsen"/>
    <n v="2002"/>
    <s v="No"/>
    <x v="69"/>
  </r>
  <r>
    <n v="583059"/>
    <n v="786"/>
    <x v="13"/>
    <d v="2023-11-10T00:00:00"/>
    <x v="5"/>
    <n v="11"/>
    <x v="0"/>
    <x v="2"/>
    <x v="2"/>
    <s v="Julie King"/>
    <n v="6333"/>
    <s v="No"/>
    <x v="57"/>
  </r>
  <r>
    <n v="583129"/>
    <n v="575"/>
    <x v="1"/>
    <d v="2023-11-18T00:00:00"/>
    <x v="178"/>
    <n v="11"/>
    <x v="1"/>
    <x v="2"/>
    <x v="1"/>
    <s v="Veysel Oeztan"/>
    <n v="7035"/>
    <s v="No"/>
    <x v="67"/>
  </r>
  <r>
    <n v="584321"/>
    <n v="1108"/>
    <x v="1"/>
    <d v="2023-03-01T00:00:00"/>
    <x v="134"/>
    <n v="3"/>
    <x v="4"/>
    <x v="4"/>
    <x v="3"/>
    <s v="Valarie Young"/>
    <n v="6956"/>
    <s v="No"/>
    <x v="59"/>
  </r>
  <r>
    <n v="585445"/>
    <n v="1665"/>
    <x v="11"/>
    <d v="2023-07-06T00:00:00"/>
    <x v="43"/>
    <n v="7"/>
    <x v="3"/>
    <x v="6"/>
    <x v="1"/>
    <s v="Jeff Young"/>
    <n v="7479"/>
    <s v="No"/>
    <x v="11"/>
  </r>
  <r>
    <n v="585596"/>
    <n v="1447"/>
    <x v="5"/>
    <d v="2023-10-06T00:00:00"/>
    <x v="120"/>
    <n v="10"/>
    <x v="0"/>
    <x v="3"/>
    <x v="1"/>
    <s v="Diego Freyre"/>
    <n v="8848"/>
    <s v="No"/>
    <x v="1"/>
  </r>
  <r>
    <n v="585616"/>
    <n v="318"/>
    <x v="1"/>
    <d v="2023-02-09T00:00:00"/>
    <x v="115"/>
    <n v="2"/>
    <x v="3"/>
    <x v="5"/>
    <x v="0"/>
    <s v="Valarie Thompson"/>
    <n v="7526"/>
    <s v="No"/>
    <x v="31"/>
  </r>
  <r>
    <n v="585826"/>
    <n v="988"/>
    <x v="0"/>
    <d v="2023-12-25T00:00:00"/>
    <x v="200"/>
    <n v="12"/>
    <x v="5"/>
    <x v="0"/>
    <x v="0"/>
    <s v="Frederique Citeaux"/>
    <n v="6591"/>
    <s v="No"/>
    <x v="14"/>
  </r>
  <r>
    <n v="585827"/>
    <n v="156"/>
    <x v="3"/>
    <d v="2023-01-18T00:00:00"/>
    <x v="80"/>
    <n v="1"/>
    <x v="4"/>
    <x v="9"/>
    <x v="2"/>
    <s v="Elizabeth Devon"/>
    <n v="3966"/>
    <s v="No"/>
    <x v="24"/>
  </r>
  <r>
    <n v="587346"/>
    <n v="1703"/>
    <x v="3"/>
    <d v="2023-08-16T00:00:00"/>
    <x v="86"/>
    <n v="8"/>
    <x v="4"/>
    <x v="8"/>
    <x v="0"/>
    <s v="Maurizio Moroni"/>
    <n v="6858"/>
    <s v="No"/>
    <x v="67"/>
  </r>
  <r>
    <n v="587721"/>
    <n v="417"/>
    <x v="3"/>
    <d v="2023-02-09T00:00:00"/>
    <x v="211"/>
    <n v="2"/>
    <x v="3"/>
    <x v="5"/>
    <x v="0"/>
    <s v="Sue King"/>
    <n v="1430"/>
    <s v="No"/>
    <x v="62"/>
  </r>
  <r>
    <n v="588329"/>
    <n v="1170"/>
    <x v="7"/>
    <d v="2023-09-01T00:00:00"/>
    <x v="45"/>
    <n v="9"/>
    <x v="0"/>
    <x v="10"/>
    <x v="0"/>
    <s v="Michael Holz"/>
    <n v="987"/>
    <s v="No"/>
    <x v="48"/>
  </r>
  <r>
    <n v="588451"/>
    <n v="1647"/>
    <x v="0"/>
    <d v="2023-02-06T00:00:00"/>
    <x v="151"/>
    <n v="2"/>
    <x v="5"/>
    <x v="5"/>
    <x v="1"/>
    <s v="Jan Klaeboe"/>
    <n v="987"/>
    <s v="No"/>
    <x v="13"/>
  </r>
  <r>
    <n v="588548"/>
    <n v="442"/>
    <x v="0"/>
    <d v="2023-03-17T00:00:00"/>
    <x v="215"/>
    <n v="3"/>
    <x v="0"/>
    <x v="4"/>
    <x v="1"/>
    <s v="Diego Freyre"/>
    <n v="4334"/>
    <s v="No"/>
    <x v="14"/>
  </r>
  <r>
    <n v="588588"/>
    <n v="548"/>
    <x v="0"/>
    <d v="2023-08-31T00:00:00"/>
    <x v="108"/>
    <n v="8"/>
    <x v="3"/>
    <x v="8"/>
    <x v="1"/>
    <s v="Violeta Benitez"/>
    <n v="1656"/>
    <s v="No"/>
    <x v="68"/>
  </r>
  <r>
    <n v="588686"/>
    <n v="1224"/>
    <x v="3"/>
    <d v="2023-07-17T00:00:00"/>
    <x v="190"/>
    <n v="7"/>
    <x v="5"/>
    <x v="6"/>
    <x v="2"/>
    <s v="Rosa Hernandez"/>
    <n v="9207"/>
    <s v="No"/>
    <x v="37"/>
  </r>
  <r>
    <n v="588730"/>
    <n v="40"/>
    <x v="6"/>
    <d v="2023-08-25T00:00:00"/>
    <x v="68"/>
    <n v="8"/>
    <x v="0"/>
    <x v="8"/>
    <x v="0"/>
    <s v="Paul Henriot"/>
    <n v="238"/>
    <s v="No"/>
    <x v="2"/>
  </r>
  <r>
    <n v="589161"/>
    <n v="1613"/>
    <x v="0"/>
    <d v="2023-12-30T00:00:00"/>
    <x v="174"/>
    <n v="12"/>
    <x v="1"/>
    <x v="0"/>
    <x v="2"/>
    <s v="Pascale Cartrain"/>
    <n v="3750"/>
    <s v="No"/>
    <x v="37"/>
  </r>
  <r>
    <n v="590513"/>
    <n v="1139"/>
    <x v="0"/>
    <d v="2023-08-14T00:00:00"/>
    <x v="176"/>
    <n v="8"/>
    <x v="5"/>
    <x v="8"/>
    <x v="1"/>
    <s v="Diego Freyre"/>
    <n v="4446"/>
    <s v="No"/>
    <x v="58"/>
  </r>
  <r>
    <n v="590748"/>
    <n v="1695"/>
    <x v="4"/>
    <d v="2023-01-11T00:00:00"/>
    <x v="145"/>
    <n v="1"/>
    <x v="4"/>
    <x v="9"/>
    <x v="0"/>
    <s v="Sue Frick"/>
    <n v="4390"/>
    <s v="No"/>
    <x v="2"/>
  </r>
  <r>
    <n v="590947"/>
    <n v="1745"/>
    <x v="0"/>
    <d v="2023-04-23T00:00:00"/>
    <x v="150"/>
    <n v="4"/>
    <x v="6"/>
    <x v="1"/>
    <x v="2"/>
    <s v="Georg Pipps"/>
    <n v="7772"/>
    <s v="No"/>
    <x v="26"/>
  </r>
  <r>
    <n v="591570"/>
    <n v="419"/>
    <x v="3"/>
    <d v="2023-11-30T00:00:00"/>
    <x v="209"/>
    <n v="11"/>
    <x v="3"/>
    <x v="2"/>
    <x v="1"/>
    <s v="Jonas Bergulfsen"/>
    <n v="8740"/>
    <s v="No"/>
    <x v="50"/>
  </r>
  <r>
    <n v="591821"/>
    <n v="359"/>
    <x v="3"/>
    <d v="2023-03-31T00:00:00"/>
    <x v="39"/>
    <n v="3"/>
    <x v="0"/>
    <x v="4"/>
    <x v="3"/>
    <s v="Christina Berglund"/>
    <n v="8262"/>
    <s v="No"/>
    <x v="2"/>
  </r>
  <r>
    <n v="592435"/>
    <n v="1386"/>
    <x v="9"/>
    <d v="2023-02-06T00:00:00"/>
    <x v="94"/>
    <n v="2"/>
    <x v="5"/>
    <x v="5"/>
    <x v="1"/>
    <s v="Mart¡n Sommer"/>
    <n v="2381"/>
    <s v="No"/>
    <x v="65"/>
  </r>
  <r>
    <n v="592705"/>
    <n v="987"/>
    <x v="0"/>
    <d v="2023-04-24T00:00:00"/>
    <x v="118"/>
    <n v="4"/>
    <x v="5"/>
    <x v="1"/>
    <x v="3"/>
    <s v="Adrian Huxley"/>
    <n v="5893"/>
    <s v="No"/>
    <x v="12"/>
  </r>
  <r>
    <n v="593188"/>
    <n v="1615"/>
    <x v="4"/>
    <d v="2023-12-08T00:00:00"/>
    <x v="2"/>
    <n v="12"/>
    <x v="0"/>
    <x v="0"/>
    <x v="1"/>
    <s v="Eric Natividad"/>
    <n v="9830"/>
    <s v="No"/>
    <x v="71"/>
  </r>
  <r>
    <n v="593240"/>
    <n v="672"/>
    <x v="0"/>
    <d v="2023-12-05T00:00:00"/>
    <x v="162"/>
    <n v="12"/>
    <x v="2"/>
    <x v="0"/>
    <x v="1"/>
    <s v="Maria Hernandez"/>
    <n v="7472"/>
    <s v="No"/>
    <x v="61"/>
  </r>
  <r>
    <n v="593583"/>
    <n v="513"/>
    <x v="0"/>
    <d v="2023-08-22T00:00:00"/>
    <x v="37"/>
    <n v="8"/>
    <x v="2"/>
    <x v="8"/>
    <x v="0"/>
    <s v="Tony Calaghan"/>
    <n v="9848"/>
    <s v="No"/>
    <x v="3"/>
  </r>
  <r>
    <n v="593879"/>
    <n v="907"/>
    <x v="13"/>
    <d v="2023-06-04T00:00:00"/>
    <x v="173"/>
    <n v="6"/>
    <x v="6"/>
    <x v="7"/>
    <x v="0"/>
    <s v="Francisca Cervantes"/>
    <n v="5944"/>
    <s v="No"/>
    <x v="39"/>
  </r>
  <r>
    <n v="595005"/>
    <n v="377"/>
    <x v="1"/>
    <d v="2023-10-09T00:00:00"/>
    <x v="33"/>
    <n v="10"/>
    <x v="5"/>
    <x v="3"/>
    <x v="0"/>
    <s v="Sean Connery"/>
    <n v="1845"/>
    <s v="No"/>
    <x v="72"/>
  </r>
  <r>
    <n v="595284"/>
    <n v="1391"/>
    <x v="0"/>
    <d v="2023-10-24T00:00:00"/>
    <x v="21"/>
    <n v="10"/>
    <x v="2"/>
    <x v="3"/>
    <x v="2"/>
    <s v="Yoshi Tannamuri"/>
    <n v="8604"/>
    <s v="No"/>
    <x v="57"/>
  </r>
  <r>
    <n v="595446"/>
    <n v="1488"/>
    <x v="0"/>
    <d v="2023-05-27T00:00:00"/>
    <x v="70"/>
    <n v="5"/>
    <x v="1"/>
    <x v="11"/>
    <x v="0"/>
    <s v="Steve Thompson"/>
    <n v="3770"/>
    <s v="No"/>
    <x v="31"/>
  </r>
  <r>
    <n v="595956"/>
    <n v="1501"/>
    <x v="0"/>
    <d v="2023-01-17T00:00:00"/>
    <x v="76"/>
    <n v="1"/>
    <x v="2"/>
    <x v="9"/>
    <x v="3"/>
    <s v="Kyung Tseng"/>
    <n v="3537"/>
    <s v="No"/>
    <x v="66"/>
  </r>
  <r>
    <n v="596143"/>
    <n v="1576"/>
    <x v="0"/>
    <d v="2023-06-30T00:00:00"/>
    <x v="45"/>
    <n v="6"/>
    <x v="0"/>
    <x v="7"/>
    <x v="3"/>
    <s v="Diego Freyre"/>
    <n v="1558"/>
    <s v="No"/>
    <x v="41"/>
  </r>
  <r>
    <n v="596235"/>
    <n v="1857"/>
    <x v="3"/>
    <d v="2023-10-28T00:00:00"/>
    <x v="51"/>
    <n v="10"/>
    <x v="1"/>
    <x v="3"/>
    <x v="2"/>
    <s v="Sue Frick"/>
    <n v="657"/>
    <s v="No"/>
    <x v="21"/>
  </r>
  <r>
    <n v="596287"/>
    <n v="516"/>
    <x v="3"/>
    <d v="2023-09-03T00:00:00"/>
    <x v="93"/>
    <n v="9"/>
    <x v="6"/>
    <x v="10"/>
    <x v="2"/>
    <s v="Adrian Huxley"/>
    <n v="5995"/>
    <s v="No"/>
    <x v="66"/>
  </r>
  <r>
    <n v="597539"/>
    <n v="31"/>
    <x v="0"/>
    <d v="2023-08-23T00:00:00"/>
    <x v="32"/>
    <n v="8"/>
    <x v="4"/>
    <x v="8"/>
    <x v="1"/>
    <s v="Paolo Accorti"/>
    <n v="6892"/>
    <s v="No"/>
    <x v="13"/>
  </r>
  <r>
    <n v="598766"/>
    <n v="426"/>
    <x v="5"/>
    <d v="2023-03-14T00:00:00"/>
    <x v="141"/>
    <n v="3"/>
    <x v="2"/>
    <x v="4"/>
    <x v="1"/>
    <s v="Maria Larsson"/>
    <n v="6288"/>
    <s v="No"/>
    <x v="61"/>
  </r>
  <r>
    <n v="599162"/>
    <n v="818"/>
    <x v="3"/>
    <d v="2023-03-30T00:00:00"/>
    <x v="34"/>
    <n v="3"/>
    <x v="3"/>
    <x v="4"/>
    <x v="2"/>
    <s v="Daniel Tonini"/>
    <n v="6921"/>
    <s v="No"/>
    <x v="27"/>
  </r>
  <r>
    <n v="600465"/>
    <n v="1845"/>
    <x v="10"/>
    <d v="2023-01-14T00:00:00"/>
    <x v="211"/>
    <n v="1"/>
    <x v="1"/>
    <x v="9"/>
    <x v="1"/>
    <s v="Valarie Nelson"/>
    <n v="4278"/>
    <s v="No"/>
    <x v="69"/>
  </r>
  <r>
    <n v="600527"/>
    <n v="278"/>
    <x v="0"/>
    <d v="2023-08-26T00:00:00"/>
    <x v="18"/>
    <n v="8"/>
    <x v="1"/>
    <x v="8"/>
    <x v="1"/>
    <s v="Valarie Young"/>
    <n v="8597"/>
    <s v="No"/>
    <x v="47"/>
  </r>
  <r>
    <n v="602342"/>
    <n v="1391"/>
    <x v="0"/>
    <d v="2023-12-14T00:00:00"/>
    <x v="100"/>
    <n v="12"/>
    <x v="3"/>
    <x v="0"/>
    <x v="3"/>
    <s v="Julie Murphy"/>
    <n v="4602"/>
    <s v="No"/>
    <x v="57"/>
  </r>
  <r>
    <n v="602695"/>
    <n v="773"/>
    <x v="0"/>
    <d v="2023-07-16T00:00:00"/>
    <x v="116"/>
    <n v="7"/>
    <x v="6"/>
    <x v="6"/>
    <x v="0"/>
    <s v="Peter Ferguson"/>
    <n v="469"/>
    <s v="No"/>
    <x v="55"/>
  </r>
  <r>
    <n v="602700"/>
    <n v="214"/>
    <x v="0"/>
    <d v="2023-07-08T00:00:00"/>
    <x v="216"/>
    <n v="7"/>
    <x v="1"/>
    <x v="6"/>
    <x v="0"/>
    <s v="Valarie Nelson"/>
    <n v="8209"/>
    <s v="No"/>
    <x v="65"/>
  </r>
  <r>
    <n v="603758"/>
    <n v="1940"/>
    <x v="4"/>
    <d v="2023-05-11T00:00:00"/>
    <x v="217"/>
    <n v="5"/>
    <x v="3"/>
    <x v="11"/>
    <x v="0"/>
    <s v="Allen Nelson"/>
    <n v="6181"/>
    <s v="No"/>
    <x v="7"/>
  </r>
  <r>
    <n v="603855"/>
    <n v="1895"/>
    <x v="3"/>
    <d v="2023-07-18T00:00:00"/>
    <x v="90"/>
    <n v="7"/>
    <x v="2"/>
    <x v="6"/>
    <x v="2"/>
    <s v="Julie Brown"/>
    <n v="4237"/>
    <s v="No"/>
    <x v="52"/>
  </r>
  <r>
    <n v="603880"/>
    <n v="1516"/>
    <x v="8"/>
    <d v="2023-02-05T00:00:00"/>
    <x v="109"/>
    <n v="2"/>
    <x v="6"/>
    <x v="5"/>
    <x v="2"/>
    <s v="Anna O'Hara"/>
    <n v="4019"/>
    <s v="No"/>
    <x v="5"/>
  </r>
  <r>
    <n v="604405"/>
    <n v="36"/>
    <x v="0"/>
    <d v="2023-11-08T00:00:00"/>
    <x v="36"/>
    <n v="11"/>
    <x v="4"/>
    <x v="2"/>
    <x v="2"/>
    <s v="Catherine Dewey"/>
    <n v="6944"/>
    <s v="No"/>
    <x v="42"/>
  </r>
  <r>
    <n v="604805"/>
    <n v="246"/>
    <x v="3"/>
    <d v="2023-08-12T00:00:00"/>
    <x v="118"/>
    <n v="8"/>
    <x v="1"/>
    <x v="8"/>
    <x v="0"/>
    <s v="Jonas Bergulfsen"/>
    <n v="4349"/>
    <s v="No"/>
    <x v="25"/>
  </r>
  <r>
    <n v="606775"/>
    <n v="834"/>
    <x v="10"/>
    <d v="2023-02-25T00:00:00"/>
    <x v="94"/>
    <n v="2"/>
    <x v="1"/>
    <x v="5"/>
    <x v="0"/>
    <s v="Julie Murphy"/>
    <n v="7873"/>
    <s v="No"/>
    <x v="15"/>
  </r>
  <r>
    <n v="607197"/>
    <n v="330"/>
    <x v="1"/>
    <d v="2023-12-18T00:00:00"/>
    <x v="191"/>
    <n v="12"/>
    <x v="5"/>
    <x v="0"/>
    <x v="2"/>
    <s v="Mart¡n Sommer"/>
    <n v="793"/>
    <s v="No"/>
    <x v="64"/>
  </r>
  <r>
    <n v="608204"/>
    <n v="1791"/>
    <x v="0"/>
    <d v="2023-08-20T00:00:00"/>
    <x v="16"/>
    <n v="8"/>
    <x v="6"/>
    <x v="8"/>
    <x v="3"/>
    <s v="Adrian Huxley"/>
    <n v="1936"/>
    <s v="No"/>
    <x v="19"/>
  </r>
  <r>
    <n v="608296"/>
    <n v="1745"/>
    <x v="0"/>
    <d v="2023-04-28T00:00:00"/>
    <x v="7"/>
    <n v="4"/>
    <x v="0"/>
    <x v="1"/>
    <x v="3"/>
    <s v="Eric Natividad"/>
    <n v="9769"/>
    <s v="No"/>
    <x v="26"/>
  </r>
  <r>
    <n v="609243"/>
    <n v="1400"/>
    <x v="0"/>
    <d v="2023-09-14T00:00:00"/>
    <x v="201"/>
    <n v="9"/>
    <x v="3"/>
    <x v="10"/>
    <x v="3"/>
    <s v="Maria Hernandez"/>
    <n v="7072"/>
    <s v="No"/>
    <x v="6"/>
  </r>
  <r>
    <n v="609375"/>
    <n v="612"/>
    <x v="14"/>
    <d v="2023-04-26T00:00:00"/>
    <x v="10"/>
    <n v="4"/>
    <x v="4"/>
    <x v="1"/>
    <x v="0"/>
    <s v="Giovanni Rovelli"/>
    <n v="9567"/>
    <s v="No"/>
    <x v="65"/>
  </r>
  <r>
    <n v="609984"/>
    <n v="1488"/>
    <x v="0"/>
    <d v="2023-05-03T00:00:00"/>
    <x v="92"/>
    <n v="5"/>
    <x v="4"/>
    <x v="11"/>
    <x v="0"/>
    <s v="Francisca Cervantes"/>
    <n v="4417"/>
    <s v="No"/>
    <x v="31"/>
  </r>
  <r>
    <n v="610023"/>
    <n v="789"/>
    <x v="3"/>
    <d v="2023-05-28T00:00:00"/>
    <x v="156"/>
    <n v="5"/>
    <x v="6"/>
    <x v="11"/>
    <x v="1"/>
    <s v="Sean Connery"/>
    <n v="620"/>
    <s v="No"/>
    <x v="14"/>
  </r>
  <r>
    <n v="610367"/>
    <n v="1096"/>
    <x v="4"/>
    <d v="2023-01-10T00:00:00"/>
    <x v="63"/>
    <n v="1"/>
    <x v="2"/>
    <x v="9"/>
    <x v="3"/>
    <s v="Yoshi Tannamuri"/>
    <n v="5230"/>
    <s v="No"/>
    <x v="27"/>
  </r>
  <r>
    <n v="611265"/>
    <n v="396"/>
    <x v="4"/>
    <d v="2023-10-12T00:00:00"/>
    <x v="22"/>
    <n v="10"/>
    <x v="3"/>
    <x v="3"/>
    <x v="0"/>
    <s v="Steve Thompson"/>
    <n v="1305"/>
    <s v="No"/>
    <x v="62"/>
  </r>
  <r>
    <n v="611594"/>
    <n v="827"/>
    <x v="5"/>
    <d v="2023-01-07T00:00:00"/>
    <x v="22"/>
    <n v="1"/>
    <x v="1"/>
    <x v="9"/>
    <x v="2"/>
    <s v="Kyung Tseng"/>
    <n v="4635"/>
    <s v="No"/>
    <x v="28"/>
  </r>
  <r>
    <n v="611621"/>
    <n v="1357"/>
    <x v="12"/>
    <d v="2023-05-31T00:00:00"/>
    <x v="48"/>
    <n v="5"/>
    <x v="4"/>
    <x v="11"/>
    <x v="2"/>
    <s v="Diego Freyre"/>
    <n v="9926"/>
    <s v="No"/>
    <x v="64"/>
  </r>
  <r>
    <n v="611767"/>
    <n v="917"/>
    <x v="8"/>
    <d v="2023-04-28T00:00:00"/>
    <x v="181"/>
    <n v="4"/>
    <x v="0"/>
    <x v="1"/>
    <x v="3"/>
    <s v="Sue Frick"/>
    <n v="1716"/>
    <s v="No"/>
    <x v="10"/>
  </r>
  <r>
    <n v="611976"/>
    <n v="1269"/>
    <x v="11"/>
    <d v="2023-11-11T00:00:00"/>
    <x v="70"/>
    <n v="11"/>
    <x v="1"/>
    <x v="2"/>
    <x v="1"/>
    <s v="Georg Pipps"/>
    <n v="3073"/>
    <s v="No"/>
    <x v="68"/>
  </r>
  <r>
    <n v="612088"/>
    <n v="1411"/>
    <x v="4"/>
    <d v="2023-10-10T00:00:00"/>
    <x v="86"/>
    <n v="10"/>
    <x v="2"/>
    <x v="3"/>
    <x v="1"/>
    <s v="Paolo Accorti"/>
    <n v="2946"/>
    <s v="No"/>
    <x v="44"/>
  </r>
  <r>
    <n v="613070"/>
    <n v="1755"/>
    <x v="4"/>
    <d v="2023-11-21T00:00:00"/>
    <x v="72"/>
    <n v="11"/>
    <x v="2"/>
    <x v="2"/>
    <x v="3"/>
    <s v="Maria Larsson"/>
    <n v="895"/>
    <s v="No"/>
    <x v="50"/>
  </r>
  <r>
    <n v="614468"/>
    <n v="801"/>
    <x v="3"/>
    <d v="2023-09-16T00:00:00"/>
    <x v="121"/>
    <n v="9"/>
    <x v="1"/>
    <x v="10"/>
    <x v="2"/>
    <s v="Daniel Tonini"/>
    <n v="1451"/>
    <s v="No"/>
    <x v="55"/>
  </r>
  <r>
    <n v="615484"/>
    <n v="1044"/>
    <x v="1"/>
    <d v="2023-04-27T00:00:00"/>
    <x v="174"/>
    <n v="4"/>
    <x v="3"/>
    <x v="1"/>
    <x v="3"/>
    <s v="Valarie Nelson"/>
    <n v="8774"/>
    <s v="No"/>
    <x v="47"/>
  </r>
  <r>
    <n v="615675"/>
    <n v="1502"/>
    <x v="4"/>
    <d v="2023-05-13T00:00:00"/>
    <x v="151"/>
    <n v="5"/>
    <x v="1"/>
    <x v="11"/>
    <x v="1"/>
    <s v="Valarie Young"/>
    <n v="3875"/>
    <s v="No"/>
    <x v="19"/>
  </r>
  <r>
    <n v="617035"/>
    <n v="704"/>
    <x v="0"/>
    <d v="2023-07-08T00:00:00"/>
    <x v="141"/>
    <n v="7"/>
    <x v="1"/>
    <x v="6"/>
    <x v="3"/>
    <s v="Victoria Ashworth"/>
    <n v="777"/>
    <s v="No"/>
    <x v="15"/>
  </r>
  <r>
    <n v="618196"/>
    <n v="780"/>
    <x v="1"/>
    <d v="2023-11-20T00:00:00"/>
    <x v="200"/>
    <n v="11"/>
    <x v="5"/>
    <x v="2"/>
    <x v="1"/>
    <s v="Peter Ferguson"/>
    <n v="9962"/>
    <s v="No"/>
    <x v="64"/>
  </r>
  <r>
    <n v="618986"/>
    <n v="1458"/>
    <x v="3"/>
    <d v="2023-10-30T00:00:00"/>
    <x v="36"/>
    <n v="10"/>
    <x v="5"/>
    <x v="3"/>
    <x v="2"/>
    <s v="Valarie Nelson"/>
    <n v="3216"/>
    <s v="No"/>
    <x v="25"/>
  </r>
  <r>
    <n v="619879"/>
    <n v="446"/>
    <x v="0"/>
    <d v="2023-01-11T00:00:00"/>
    <x v="142"/>
    <n v="1"/>
    <x v="4"/>
    <x v="9"/>
    <x v="0"/>
    <s v="Allen Nelson"/>
    <n v="2645"/>
    <s v="No"/>
    <x v="25"/>
  </r>
  <r>
    <n v="619949"/>
    <n v="1002"/>
    <x v="1"/>
    <d v="2023-03-16T00:00:00"/>
    <x v="156"/>
    <n v="3"/>
    <x v="3"/>
    <x v="4"/>
    <x v="3"/>
    <s v="Julie Brown"/>
    <n v="1392"/>
    <s v="No"/>
    <x v="46"/>
  </r>
  <r>
    <n v="620937"/>
    <n v="1822"/>
    <x v="0"/>
    <d v="2023-06-02T00:00:00"/>
    <x v="120"/>
    <n v="6"/>
    <x v="0"/>
    <x v="7"/>
    <x v="3"/>
    <s v="Roland Mendel"/>
    <n v="8767"/>
    <s v="No"/>
    <x v="72"/>
  </r>
  <r>
    <n v="621177"/>
    <n v="1452"/>
    <x v="3"/>
    <d v="2023-01-28T00:00:00"/>
    <x v="60"/>
    <n v="1"/>
    <x v="1"/>
    <x v="9"/>
    <x v="3"/>
    <s v="Catherine Dewey"/>
    <n v="2907"/>
    <s v="No"/>
    <x v="13"/>
  </r>
  <r>
    <n v="621694"/>
    <n v="1769"/>
    <x v="4"/>
    <d v="2023-12-09T00:00:00"/>
    <x v="200"/>
    <n v="12"/>
    <x v="1"/>
    <x v="0"/>
    <x v="0"/>
    <s v="Giovanni Rovelli"/>
    <n v="1826"/>
    <s v="No"/>
    <x v="18"/>
  </r>
  <r>
    <n v="622405"/>
    <n v="953"/>
    <x v="0"/>
    <d v="2023-09-24T00:00:00"/>
    <x v="83"/>
    <n v="9"/>
    <x v="6"/>
    <x v="10"/>
    <x v="1"/>
    <s v="Georg Pipps"/>
    <n v="9431"/>
    <s v="No"/>
    <x v="25"/>
  </r>
  <r>
    <n v="622656"/>
    <n v="418"/>
    <x v="5"/>
    <d v="2023-08-19T00:00:00"/>
    <x v="72"/>
    <n v="8"/>
    <x v="1"/>
    <x v="8"/>
    <x v="0"/>
    <s v="Leslie Taylor"/>
    <n v="6905"/>
    <s v="No"/>
    <x v="13"/>
  </r>
  <r>
    <n v="622835"/>
    <n v="998"/>
    <x v="8"/>
    <d v="2023-11-28T00:00:00"/>
    <x v="189"/>
    <n v="11"/>
    <x v="2"/>
    <x v="2"/>
    <x v="1"/>
    <s v="Wing C Tam"/>
    <n v="678"/>
    <s v="No"/>
    <x v="20"/>
  </r>
  <r>
    <n v="623784"/>
    <n v="781"/>
    <x v="10"/>
    <d v="2023-11-10T00:00:00"/>
    <x v="129"/>
    <n v="11"/>
    <x v="0"/>
    <x v="2"/>
    <x v="3"/>
    <s v="Matti Karttunen"/>
    <n v="6494"/>
    <s v="No"/>
    <x v="50"/>
  </r>
  <r>
    <n v="623935"/>
    <n v="1278"/>
    <x v="0"/>
    <d v="2023-04-11T00:00:00"/>
    <x v="124"/>
    <n v="4"/>
    <x v="2"/>
    <x v="1"/>
    <x v="0"/>
    <s v="Maria Larsson"/>
    <n v="7665"/>
    <s v="No"/>
    <x v="45"/>
  </r>
  <r>
    <n v="624499"/>
    <n v="1290"/>
    <x v="0"/>
    <d v="2023-01-06T00:00:00"/>
    <x v="51"/>
    <n v="1"/>
    <x v="0"/>
    <x v="9"/>
    <x v="0"/>
    <s v="Annette Roulet"/>
    <n v="4403"/>
    <s v="No"/>
    <x v="34"/>
  </r>
  <r>
    <n v="624700"/>
    <n v="1948"/>
    <x v="0"/>
    <d v="2023-12-16T00:00:00"/>
    <x v="24"/>
    <n v="12"/>
    <x v="1"/>
    <x v="0"/>
    <x v="2"/>
    <s v="Thomas Hardy"/>
    <n v="5277"/>
    <s v="No"/>
    <x v="33"/>
  </r>
  <r>
    <n v="624736"/>
    <n v="633"/>
    <x v="3"/>
    <d v="2023-05-21T00:00:00"/>
    <x v="14"/>
    <n v="5"/>
    <x v="6"/>
    <x v="11"/>
    <x v="2"/>
    <s v="Eduardo Saavedra"/>
    <n v="486"/>
    <s v="No"/>
    <x v="51"/>
  </r>
  <r>
    <n v="625994"/>
    <n v="476"/>
    <x v="0"/>
    <d v="2023-05-21T00:00:00"/>
    <x v="4"/>
    <n v="5"/>
    <x v="6"/>
    <x v="11"/>
    <x v="2"/>
    <s v="Michael Chandler"/>
    <n v="7369"/>
    <s v="No"/>
    <x v="16"/>
  </r>
  <r>
    <n v="626705"/>
    <n v="868"/>
    <x v="11"/>
    <d v="2023-09-23T00:00:00"/>
    <x v="177"/>
    <n v="9"/>
    <x v="1"/>
    <x v="10"/>
    <x v="3"/>
    <s v="Valarie Thompson"/>
    <n v="2713"/>
    <s v="No"/>
    <x v="34"/>
  </r>
  <r>
    <n v="626849"/>
    <n v="1679"/>
    <x v="6"/>
    <d v="2023-05-03T00:00:00"/>
    <x v="61"/>
    <n v="5"/>
    <x v="4"/>
    <x v="11"/>
    <x v="2"/>
    <s v="Kwai Yu"/>
    <n v="3639"/>
    <s v="No"/>
    <x v="0"/>
  </r>
  <r>
    <n v="627473"/>
    <n v="1766"/>
    <x v="4"/>
    <d v="2023-03-27T00:00:00"/>
    <x v="150"/>
    <n v="3"/>
    <x v="5"/>
    <x v="4"/>
    <x v="1"/>
    <s v="Diego Freyre"/>
    <n v="5427"/>
    <s v="No"/>
    <x v="53"/>
  </r>
  <r>
    <n v="627652"/>
    <n v="330"/>
    <x v="1"/>
    <d v="2023-12-25T00:00:00"/>
    <x v="215"/>
    <n v="12"/>
    <x v="5"/>
    <x v="0"/>
    <x v="0"/>
    <s v="Catherine Dewey"/>
    <n v="4651"/>
    <s v="No"/>
    <x v="64"/>
  </r>
  <r>
    <n v="628471"/>
    <n v="240"/>
    <x v="0"/>
    <d v="2023-04-17T00:00:00"/>
    <x v="181"/>
    <n v="4"/>
    <x v="5"/>
    <x v="1"/>
    <x v="1"/>
    <s v="Elizabeth Lincoln"/>
    <n v="9883"/>
    <s v="No"/>
    <x v="42"/>
  </r>
  <r>
    <n v="628608"/>
    <n v="1060"/>
    <x v="1"/>
    <d v="2023-01-01T00:00:00"/>
    <x v="85"/>
    <n v="1"/>
    <x v="6"/>
    <x v="9"/>
    <x v="3"/>
    <s v="Michael Donnermeyer"/>
    <n v="89"/>
    <s v="No"/>
    <x v="14"/>
  </r>
  <r>
    <n v="628945"/>
    <n v="329"/>
    <x v="4"/>
    <d v="2023-06-20T00:00:00"/>
    <x v="8"/>
    <n v="6"/>
    <x v="2"/>
    <x v="7"/>
    <x v="2"/>
    <s v="Francisca Cervantes"/>
    <n v="7750"/>
    <s v="No"/>
    <x v="39"/>
  </r>
  <r>
    <n v="629227"/>
    <n v="1665"/>
    <x v="11"/>
    <d v="2023-11-27T00:00:00"/>
    <x v="99"/>
    <n v="11"/>
    <x v="5"/>
    <x v="2"/>
    <x v="0"/>
    <s v="Helen Bennett"/>
    <n v="2109"/>
    <s v="No"/>
    <x v="11"/>
  </r>
  <r>
    <n v="629953"/>
    <n v="787"/>
    <x v="9"/>
    <d v="2023-04-29T00:00:00"/>
    <x v="29"/>
    <n v="4"/>
    <x v="1"/>
    <x v="1"/>
    <x v="2"/>
    <s v="Jytte Petersen"/>
    <n v="9460"/>
    <s v="No"/>
    <x v="28"/>
  </r>
  <r>
    <n v="630561"/>
    <n v="1201"/>
    <x v="3"/>
    <d v="2023-08-28T00:00:00"/>
    <x v="122"/>
    <n v="8"/>
    <x v="5"/>
    <x v="8"/>
    <x v="1"/>
    <s v="Pascale Cartrain"/>
    <n v="6934"/>
    <s v="No"/>
    <x v="20"/>
  </r>
  <r>
    <n v="630634"/>
    <n v="723"/>
    <x v="13"/>
    <d v="2023-09-13T00:00:00"/>
    <x v="100"/>
    <n v="9"/>
    <x v="4"/>
    <x v="10"/>
    <x v="0"/>
    <s v="Diego Freyre"/>
    <n v="2225"/>
    <s v="No"/>
    <x v="16"/>
  </r>
  <r>
    <n v="631266"/>
    <n v="94"/>
    <x v="13"/>
    <d v="2023-06-04T00:00:00"/>
    <x v="68"/>
    <n v="6"/>
    <x v="6"/>
    <x v="7"/>
    <x v="2"/>
    <s v="Pirkko Koskitalo"/>
    <n v="985"/>
    <s v="No"/>
    <x v="48"/>
  </r>
  <r>
    <n v="631384"/>
    <n v="1975"/>
    <x v="0"/>
    <d v="2023-02-06T00:00:00"/>
    <x v="95"/>
    <n v="2"/>
    <x v="5"/>
    <x v="5"/>
    <x v="3"/>
    <s v="Diego Freyre"/>
    <n v="5484"/>
    <s v="No"/>
    <x v="28"/>
  </r>
  <r>
    <n v="631614"/>
    <n v="1395"/>
    <x v="0"/>
    <d v="2023-11-08T00:00:00"/>
    <x v="164"/>
    <n v="11"/>
    <x v="4"/>
    <x v="2"/>
    <x v="1"/>
    <s v="Paul Henriot"/>
    <n v="4587"/>
    <s v="No"/>
    <x v="42"/>
  </r>
  <r>
    <n v="631808"/>
    <n v="1219"/>
    <x v="0"/>
    <d v="2023-11-04T00:00:00"/>
    <x v="207"/>
    <n v="11"/>
    <x v="1"/>
    <x v="2"/>
    <x v="0"/>
    <s v="Sue Frick"/>
    <n v="9502"/>
    <s v="No"/>
    <x v="11"/>
  </r>
  <r>
    <n v="633156"/>
    <n v="990"/>
    <x v="7"/>
    <d v="2023-02-09T00:00:00"/>
    <x v="64"/>
    <n v="2"/>
    <x v="3"/>
    <x v="5"/>
    <x v="3"/>
    <s v="Juri Yoshido"/>
    <n v="9361"/>
    <s v="No"/>
    <x v="2"/>
  </r>
  <r>
    <n v="635137"/>
    <n v="795"/>
    <x v="10"/>
    <d v="2023-07-07T00:00:00"/>
    <x v="151"/>
    <n v="7"/>
    <x v="0"/>
    <x v="6"/>
    <x v="3"/>
    <s v="Jonas Bergulfsen"/>
    <n v="7566"/>
    <s v="No"/>
    <x v="69"/>
  </r>
  <r>
    <n v="635304"/>
    <n v="95"/>
    <x v="1"/>
    <d v="2023-10-08T00:00:00"/>
    <x v="49"/>
    <n v="10"/>
    <x v="6"/>
    <x v="3"/>
    <x v="3"/>
    <s v="Julie Murphy"/>
    <n v="201"/>
    <s v="No"/>
    <x v="63"/>
  </r>
  <r>
    <n v="635743"/>
    <n v="1239"/>
    <x v="4"/>
    <d v="2023-12-06T00:00:00"/>
    <x v="218"/>
    <n v="12"/>
    <x v="4"/>
    <x v="0"/>
    <x v="3"/>
    <s v="Mart¡n Sommer"/>
    <n v="782"/>
    <s v="No"/>
    <x v="46"/>
  </r>
  <r>
    <n v="636616"/>
    <n v="51"/>
    <x v="0"/>
    <d v="2023-01-28T00:00:00"/>
    <x v="62"/>
    <n v="1"/>
    <x v="1"/>
    <x v="9"/>
    <x v="2"/>
    <s v="Adrian Huxley"/>
    <n v="5103"/>
    <s v="No"/>
    <x v="42"/>
  </r>
  <r>
    <n v="636888"/>
    <n v="770"/>
    <x v="1"/>
    <d v="2023-11-26T00:00:00"/>
    <x v="219"/>
    <n v="11"/>
    <x v="6"/>
    <x v="2"/>
    <x v="2"/>
    <s v="Eric Natividad"/>
    <n v="3115"/>
    <s v="No"/>
    <x v="54"/>
  </r>
  <r>
    <n v="637916"/>
    <n v="853"/>
    <x v="0"/>
    <d v="2023-07-30T00:00:00"/>
    <x v="115"/>
    <n v="7"/>
    <x v="6"/>
    <x v="6"/>
    <x v="0"/>
    <s v="Maria Hernandez"/>
    <n v="613"/>
    <s v="No"/>
    <x v="56"/>
  </r>
  <r>
    <n v="638044"/>
    <n v="255"/>
    <x v="2"/>
    <d v="2023-01-29T00:00:00"/>
    <x v="62"/>
    <n v="1"/>
    <x v="6"/>
    <x v="9"/>
    <x v="0"/>
    <s v="Giovanni Rovelli"/>
    <n v="8196"/>
    <s v="No"/>
    <x v="14"/>
  </r>
  <r>
    <n v="638603"/>
    <n v="876"/>
    <x v="0"/>
    <d v="2023-05-28T00:00:00"/>
    <x v="220"/>
    <n v="5"/>
    <x v="6"/>
    <x v="11"/>
    <x v="3"/>
    <s v="Francisca Cervantes"/>
    <n v="4319"/>
    <s v="No"/>
    <x v="15"/>
  </r>
  <r>
    <n v="639027"/>
    <n v="390"/>
    <x v="1"/>
    <d v="2023-07-24T00:00:00"/>
    <x v="164"/>
    <n v="7"/>
    <x v="5"/>
    <x v="6"/>
    <x v="0"/>
    <s v="Sean Connery"/>
    <n v="2403"/>
    <s v="No"/>
    <x v="20"/>
  </r>
  <r>
    <n v="640940"/>
    <n v="1725"/>
    <x v="0"/>
    <d v="2023-03-01T00:00:00"/>
    <x v="135"/>
    <n v="3"/>
    <x v="4"/>
    <x v="4"/>
    <x v="1"/>
    <s v="Yoshi Tannamuri"/>
    <n v="3582"/>
    <s v="No"/>
    <x v="49"/>
  </r>
  <r>
    <n v="640945"/>
    <n v="174"/>
    <x v="2"/>
    <d v="2023-05-16T00:00:00"/>
    <x v="81"/>
    <n v="5"/>
    <x v="2"/>
    <x v="11"/>
    <x v="1"/>
    <s v="Steve Thompson"/>
    <n v="5492"/>
    <s v="No"/>
    <x v="17"/>
  </r>
  <r>
    <n v="641229"/>
    <n v="781"/>
    <x v="10"/>
    <d v="2023-01-10T00:00:00"/>
    <x v="9"/>
    <n v="1"/>
    <x v="2"/>
    <x v="9"/>
    <x v="1"/>
    <s v="Kyung Tseng"/>
    <n v="5740"/>
    <s v="No"/>
    <x v="50"/>
  </r>
  <r>
    <n v="641966"/>
    <n v="1767"/>
    <x v="3"/>
    <d v="2023-02-08T00:00:00"/>
    <x v="109"/>
    <n v="2"/>
    <x v="4"/>
    <x v="5"/>
    <x v="1"/>
    <s v="Diego Freyre"/>
    <n v="3140"/>
    <s v="No"/>
    <x v="44"/>
  </r>
  <r>
    <n v="642754"/>
    <n v="542"/>
    <x v="6"/>
    <d v="2023-02-06T00:00:00"/>
    <x v="51"/>
    <n v="2"/>
    <x v="5"/>
    <x v="5"/>
    <x v="1"/>
    <s v="Sue Frick"/>
    <n v="4849"/>
    <s v="No"/>
    <x v="19"/>
  </r>
  <r>
    <n v="642874"/>
    <n v="901"/>
    <x v="0"/>
    <d v="2023-10-07T00:00:00"/>
    <x v="73"/>
    <n v="10"/>
    <x v="1"/>
    <x v="3"/>
    <x v="2"/>
    <s v="Adrian Huxley"/>
    <n v="1789"/>
    <s v="No"/>
    <x v="60"/>
  </r>
  <r>
    <n v="645557"/>
    <n v="1114"/>
    <x v="1"/>
    <d v="2023-09-16T00:00:00"/>
    <x v="62"/>
    <n v="9"/>
    <x v="1"/>
    <x v="10"/>
    <x v="1"/>
    <s v="Paolo Accorti"/>
    <n v="1567"/>
    <s v="No"/>
    <x v="36"/>
  </r>
  <r>
    <n v="646139"/>
    <n v="1792"/>
    <x v="13"/>
    <d v="2023-08-21T00:00:00"/>
    <x v="62"/>
    <n v="8"/>
    <x v="5"/>
    <x v="8"/>
    <x v="3"/>
    <s v="Maria Larsson"/>
    <n v="5161"/>
    <s v="No"/>
    <x v="0"/>
  </r>
  <r>
    <n v="647292"/>
    <n v="1553"/>
    <x v="3"/>
    <d v="2023-01-04T00:00:00"/>
    <x v="88"/>
    <n v="1"/>
    <x v="4"/>
    <x v="9"/>
    <x v="1"/>
    <s v="Daniel Tonini"/>
    <n v="8207"/>
    <s v="No"/>
    <x v="49"/>
  </r>
  <r>
    <n v="649627"/>
    <n v="159"/>
    <x v="0"/>
    <d v="2023-11-19T00:00:00"/>
    <x v="162"/>
    <n v="11"/>
    <x v="6"/>
    <x v="2"/>
    <x v="0"/>
    <s v="Valarie Nelson"/>
    <n v="5618"/>
    <s v="No"/>
    <x v="5"/>
  </r>
  <r>
    <n v="649787"/>
    <n v="132"/>
    <x v="4"/>
    <d v="2023-03-16T00:00:00"/>
    <x v="215"/>
    <n v="3"/>
    <x v="3"/>
    <x v="4"/>
    <x v="2"/>
    <s v="Valarie Young"/>
    <n v="8578"/>
    <s v="No"/>
    <x v="63"/>
  </r>
  <r>
    <n v="650459"/>
    <n v="928"/>
    <x v="9"/>
    <d v="2023-05-09T00:00:00"/>
    <x v="201"/>
    <n v="5"/>
    <x v="2"/>
    <x v="11"/>
    <x v="3"/>
    <s v="Victoria Ashworth"/>
    <n v="6510"/>
    <s v="No"/>
    <x v="72"/>
  </r>
  <r>
    <n v="652344"/>
    <n v="1854"/>
    <x v="0"/>
    <d v="2023-09-25T00:00:00"/>
    <x v="73"/>
    <n v="9"/>
    <x v="5"/>
    <x v="10"/>
    <x v="0"/>
    <s v="Peter Ferguson"/>
    <n v="1170"/>
    <s v="No"/>
    <x v="27"/>
  </r>
  <r>
    <n v="653986"/>
    <n v="1079"/>
    <x v="1"/>
    <d v="2023-10-03T00:00:00"/>
    <x v="191"/>
    <n v="10"/>
    <x v="2"/>
    <x v="3"/>
    <x v="0"/>
    <s v="Valarie Nelson"/>
    <n v="6834"/>
    <s v="No"/>
    <x v="3"/>
  </r>
  <r>
    <n v="654071"/>
    <n v="1039"/>
    <x v="4"/>
    <d v="2023-11-28T00:00:00"/>
    <x v="151"/>
    <n v="11"/>
    <x v="2"/>
    <x v="2"/>
    <x v="3"/>
    <s v="Allen Nelson"/>
    <n v="5670"/>
    <s v="No"/>
    <x v="50"/>
  </r>
  <r>
    <n v="655800"/>
    <n v="672"/>
    <x v="0"/>
    <d v="2023-01-18T00:00:00"/>
    <x v="101"/>
    <n v="1"/>
    <x v="4"/>
    <x v="9"/>
    <x v="1"/>
    <s v="Julie Brown"/>
    <n v="6855"/>
    <s v="No"/>
    <x v="61"/>
  </r>
  <r>
    <n v="656865"/>
    <n v="1462"/>
    <x v="0"/>
    <d v="2023-06-02T00:00:00"/>
    <x v="139"/>
    <n v="6"/>
    <x v="0"/>
    <x v="7"/>
    <x v="1"/>
    <s v="Roland Mendel"/>
    <n v="7427"/>
    <s v="No"/>
    <x v="48"/>
  </r>
  <r>
    <n v="656929"/>
    <n v="1773"/>
    <x v="0"/>
    <d v="2023-12-18T00:00:00"/>
    <x v="155"/>
    <n v="12"/>
    <x v="5"/>
    <x v="0"/>
    <x v="3"/>
    <s v="Catherine Dewey"/>
    <n v="2228"/>
    <s v="No"/>
    <x v="13"/>
  </r>
  <r>
    <n v="658249"/>
    <n v="1588"/>
    <x v="3"/>
    <d v="2023-08-22T00:00:00"/>
    <x v="176"/>
    <n v="8"/>
    <x v="2"/>
    <x v="8"/>
    <x v="1"/>
    <s v="Jytte Petersen"/>
    <n v="6820"/>
    <s v="No"/>
    <x v="8"/>
  </r>
  <r>
    <n v="658815"/>
    <n v="1190"/>
    <x v="8"/>
    <d v="2023-11-25T00:00:00"/>
    <x v="123"/>
    <n v="11"/>
    <x v="1"/>
    <x v="2"/>
    <x v="1"/>
    <s v="Eric Natividad"/>
    <n v="5243"/>
    <s v="No"/>
    <x v="63"/>
  </r>
  <r>
    <n v="659390"/>
    <n v="159"/>
    <x v="0"/>
    <d v="2023-12-16T00:00:00"/>
    <x v="123"/>
    <n v="12"/>
    <x v="1"/>
    <x v="0"/>
    <x v="3"/>
    <s v="Diego Freyre"/>
    <n v="2372"/>
    <s v="No"/>
    <x v="5"/>
  </r>
  <r>
    <n v="659698"/>
    <n v="767"/>
    <x v="0"/>
    <d v="2023-08-30T00:00:00"/>
    <x v="8"/>
    <n v="8"/>
    <x v="4"/>
    <x v="8"/>
    <x v="2"/>
    <s v="Valarie Nelson"/>
    <n v="6482"/>
    <s v="No"/>
    <x v="35"/>
  </r>
  <r>
    <n v="659911"/>
    <n v="983"/>
    <x v="0"/>
    <d v="2023-08-06T00:00:00"/>
    <x v="210"/>
    <n v="8"/>
    <x v="6"/>
    <x v="8"/>
    <x v="0"/>
    <s v="Diego Freyre"/>
    <n v="1431"/>
    <s v="No"/>
    <x v="30"/>
  </r>
  <r>
    <n v="660187"/>
    <n v="1374"/>
    <x v="3"/>
    <d v="2023-07-23T00:00:00"/>
    <x v="114"/>
    <n v="7"/>
    <x v="6"/>
    <x v="6"/>
    <x v="0"/>
    <s v="Violeta Benitez"/>
    <n v="6369"/>
    <s v="No"/>
    <x v="16"/>
  </r>
  <r>
    <n v="660830"/>
    <n v="1404"/>
    <x v="0"/>
    <d v="2023-01-06T00:00:00"/>
    <x v="63"/>
    <n v="1"/>
    <x v="0"/>
    <x v="9"/>
    <x v="1"/>
    <s v="Jesus Fernandez"/>
    <n v="7643"/>
    <s v="No"/>
    <x v="0"/>
  </r>
  <r>
    <n v="661163"/>
    <n v="1426"/>
    <x v="0"/>
    <d v="2023-03-16T00:00:00"/>
    <x v="0"/>
    <n v="3"/>
    <x v="3"/>
    <x v="4"/>
    <x v="1"/>
    <s v="Wing C Tam"/>
    <n v="5069"/>
    <s v="No"/>
    <x v="2"/>
  </r>
  <r>
    <n v="661382"/>
    <n v="1488"/>
    <x v="0"/>
    <d v="2023-01-23T00:00:00"/>
    <x v="70"/>
    <n v="1"/>
    <x v="5"/>
    <x v="9"/>
    <x v="1"/>
    <s v="Leslie Murphy"/>
    <n v="970"/>
    <s v="No"/>
    <x v="31"/>
  </r>
  <r>
    <n v="661822"/>
    <n v="177"/>
    <x v="1"/>
    <d v="2023-10-15T00:00:00"/>
    <x v="78"/>
    <n v="10"/>
    <x v="6"/>
    <x v="3"/>
    <x v="1"/>
    <s v="Mary Saveley"/>
    <n v="2352"/>
    <s v="No"/>
    <x v="21"/>
  </r>
  <r>
    <n v="662950"/>
    <n v="1320"/>
    <x v="7"/>
    <d v="2023-06-21T00:00:00"/>
    <x v="99"/>
    <n v="6"/>
    <x v="4"/>
    <x v="7"/>
    <x v="3"/>
    <s v="Catherine Dewey"/>
    <n v="8477"/>
    <s v="No"/>
    <x v="37"/>
  </r>
  <r>
    <n v="663055"/>
    <n v="626"/>
    <x v="0"/>
    <d v="2023-06-19T00:00:00"/>
    <x v="141"/>
    <n v="6"/>
    <x v="5"/>
    <x v="7"/>
    <x v="3"/>
    <s v="Helen Bennett"/>
    <n v="6976"/>
    <s v="No"/>
    <x v="0"/>
  </r>
  <r>
    <n v="664585"/>
    <n v="1236"/>
    <x v="0"/>
    <d v="2023-06-10T00:00:00"/>
    <x v="0"/>
    <n v="6"/>
    <x v="1"/>
    <x v="7"/>
    <x v="1"/>
    <s v="Kwai Yu"/>
    <n v="9357"/>
    <s v="No"/>
    <x v="59"/>
  </r>
  <r>
    <n v="664724"/>
    <n v="29"/>
    <x v="4"/>
    <d v="2023-09-07T00:00:00"/>
    <x v="1"/>
    <n v="9"/>
    <x v="3"/>
    <x v="10"/>
    <x v="3"/>
    <s v="Catherine Dewey"/>
    <n v="6535"/>
    <s v="No"/>
    <x v="11"/>
  </r>
  <r>
    <n v="666564"/>
    <n v="1217"/>
    <x v="0"/>
    <d v="2023-01-22T00:00:00"/>
    <x v="2"/>
    <n v="1"/>
    <x v="6"/>
    <x v="9"/>
    <x v="0"/>
    <s v="Valarie Nelson"/>
    <n v="5348"/>
    <s v="No"/>
    <x v="17"/>
  </r>
  <r>
    <n v="666686"/>
    <n v="1580"/>
    <x v="6"/>
    <d v="2023-12-09T00:00:00"/>
    <x v="3"/>
    <n v="12"/>
    <x v="1"/>
    <x v="0"/>
    <x v="1"/>
    <s v="Paolo Accorti"/>
    <n v="3933"/>
    <s v="No"/>
    <x v="67"/>
  </r>
  <r>
    <n v="668693"/>
    <n v="27"/>
    <x v="0"/>
    <d v="2023-01-10T00:00:00"/>
    <x v="4"/>
    <n v="1"/>
    <x v="2"/>
    <x v="9"/>
    <x v="1"/>
    <s v="Victoria Ashworth"/>
    <n v="3654"/>
    <s v="No"/>
    <x v="50"/>
  </r>
  <r>
    <n v="670170"/>
    <n v="1773"/>
    <x v="0"/>
    <d v="2023-03-24T00:00:00"/>
    <x v="5"/>
    <n v="3"/>
    <x v="0"/>
    <x v="4"/>
    <x v="1"/>
    <s v="Palle Ibsen"/>
    <n v="877"/>
    <s v="No"/>
    <x v="13"/>
  </r>
  <r>
    <n v="670697"/>
    <n v="171"/>
    <x v="0"/>
    <d v="2023-05-16T00:00:00"/>
    <x v="6"/>
    <n v="5"/>
    <x v="2"/>
    <x v="11"/>
    <x v="1"/>
    <s v="Jonas Bergulfsen"/>
    <n v="4251"/>
    <s v="No"/>
    <x v="34"/>
  </r>
  <r>
    <n v="670916"/>
    <n v="1977"/>
    <x v="0"/>
    <d v="2023-04-01T00:00:00"/>
    <x v="7"/>
    <n v="4"/>
    <x v="1"/>
    <x v="1"/>
    <x v="0"/>
    <s v="Marie Bertrand"/>
    <n v="9847"/>
    <s v="No"/>
    <x v="33"/>
  </r>
  <r>
    <n v="671201"/>
    <n v="456"/>
    <x v="6"/>
    <d v="2023-05-29T00:00:00"/>
    <x v="8"/>
    <n v="5"/>
    <x v="5"/>
    <x v="11"/>
    <x v="1"/>
    <s v="Diego Freyre"/>
    <n v="9565"/>
    <s v="No"/>
    <x v="21"/>
  </r>
  <r>
    <n v="671270"/>
    <n v="1084"/>
    <x v="1"/>
    <d v="2023-12-09T00:00:00"/>
    <x v="9"/>
    <n v="12"/>
    <x v="1"/>
    <x v="0"/>
    <x v="0"/>
    <s v="Akiko Shimamura"/>
    <n v="258"/>
    <s v="No"/>
    <x v="21"/>
  </r>
  <r>
    <n v="671412"/>
    <n v="356"/>
    <x v="1"/>
    <d v="2023-10-16T00:00:00"/>
    <x v="10"/>
    <n v="10"/>
    <x v="5"/>
    <x v="3"/>
    <x v="1"/>
    <s v="Diego Freyre"/>
    <n v="1921"/>
    <s v="No"/>
    <x v="10"/>
  </r>
  <r>
    <n v="671598"/>
    <n v="342"/>
    <x v="14"/>
    <d v="2023-02-12T00:00:00"/>
    <x v="11"/>
    <n v="2"/>
    <x v="6"/>
    <x v="5"/>
    <x v="2"/>
    <s v="Valarie Nelson"/>
    <n v="8711"/>
    <s v="No"/>
    <x v="48"/>
  </r>
  <r>
    <n v="671670"/>
    <n v="523"/>
    <x v="0"/>
    <d v="2023-08-17T00:00:00"/>
    <x v="12"/>
    <n v="8"/>
    <x v="3"/>
    <x v="8"/>
    <x v="1"/>
    <s v="Juri Yoshido"/>
    <n v="6441"/>
    <s v="No"/>
    <x v="47"/>
  </r>
  <r>
    <n v="672076"/>
    <n v="27"/>
    <x v="0"/>
    <d v="2023-01-07T00:00:00"/>
    <x v="13"/>
    <n v="1"/>
    <x v="1"/>
    <x v="9"/>
    <x v="0"/>
    <s v="Diego Freyre"/>
    <n v="9162"/>
    <s v="No"/>
    <x v="50"/>
  </r>
  <r>
    <n v="672686"/>
    <n v="1985"/>
    <x v="3"/>
    <d v="2023-11-29T00:00:00"/>
    <x v="14"/>
    <n v="11"/>
    <x v="4"/>
    <x v="2"/>
    <x v="1"/>
    <s v="Rosa Hernandez"/>
    <n v="2269"/>
    <s v="No"/>
    <x v="22"/>
  </r>
  <r>
    <n v="673115"/>
    <n v="1619"/>
    <x v="0"/>
    <d v="2023-02-03T00:00:00"/>
    <x v="15"/>
    <n v="2"/>
    <x v="0"/>
    <x v="5"/>
    <x v="1"/>
    <s v="Marie Bertrand"/>
    <n v="3556"/>
    <s v="No"/>
    <x v="72"/>
  </r>
  <r>
    <n v="673915"/>
    <n v="1426"/>
    <x v="0"/>
    <d v="2023-11-20T00:00:00"/>
    <x v="5"/>
    <n v="11"/>
    <x v="5"/>
    <x v="2"/>
    <x v="2"/>
    <s v="Laurence Lebihan"/>
    <n v="1043"/>
    <s v="No"/>
    <x v="2"/>
  </r>
  <r>
    <n v="674745"/>
    <n v="613"/>
    <x v="1"/>
    <d v="2023-02-21T00:00:00"/>
    <x v="16"/>
    <n v="2"/>
    <x v="2"/>
    <x v="5"/>
    <x v="1"/>
    <s v="Jeff Young"/>
    <n v="4027"/>
    <s v="No"/>
    <x v="66"/>
  </r>
  <r>
    <n v="675163"/>
    <n v="26"/>
    <x v="3"/>
    <d v="2023-06-23T00:00:00"/>
    <x v="17"/>
    <n v="6"/>
    <x v="0"/>
    <x v="7"/>
    <x v="1"/>
    <s v="Annette Roulet"/>
    <n v="8499"/>
    <s v="No"/>
    <x v="18"/>
  </r>
  <r>
    <n v="675362"/>
    <n v="851"/>
    <x v="5"/>
    <d v="2023-05-15T00:00:00"/>
    <x v="18"/>
    <n v="5"/>
    <x v="5"/>
    <x v="11"/>
    <x v="0"/>
    <s v="Kalle Suominen"/>
    <n v="6791"/>
    <s v="No"/>
    <x v="30"/>
  </r>
  <r>
    <n v="675864"/>
    <n v="15"/>
    <x v="7"/>
    <d v="2023-08-21T00:00:00"/>
    <x v="19"/>
    <n v="8"/>
    <x v="5"/>
    <x v="8"/>
    <x v="2"/>
    <s v="Anna O'Hara"/>
    <n v="9493"/>
    <s v="No"/>
    <x v="68"/>
  </r>
  <r>
    <n v="677135"/>
    <n v="413"/>
    <x v="4"/>
    <d v="2023-05-03T00:00:00"/>
    <x v="20"/>
    <n v="5"/>
    <x v="4"/>
    <x v="11"/>
    <x v="1"/>
    <s v="Pirkko Koskitalo"/>
    <n v="4602"/>
    <s v="No"/>
    <x v="59"/>
  </r>
  <r>
    <n v="679362"/>
    <n v="955"/>
    <x v="1"/>
    <d v="2023-03-22T00:00:00"/>
    <x v="21"/>
    <n v="3"/>
    <x v="4"/>
    <x v="4"/>
    <x v="3"/>
    <s v="Michael Chandler"/>
    <n v="1750"/>
    <s v="No"/>
    <x v="67"/>
  </r>
  <r>
    <n v="679845"/>
    <n v="95"/>
    <x v="1"/>
    <d v="2023-02-24T00:00:00"/>
    <x v="22"/>
    <n v="2"/>
    <x v="0"/>
    <x v="5"/>
    <x v="0"/>
    <s v="Eric Natividad"/>
    <n v="8415"/>
    <s v="No"/>
    <x v="63"/>
  </r>
  <r>
    <n v="680722"/>
    <n v="1278"/>
    <x v="0"/>
    <d v="2023-04-16T00:00:00"/>
    <x v="23"/>
    <n v="4"/>
    <x v="6"/>
    <x v="1"/>
    <x v="2"/>
    <s v="Jean Fresnisre"/>
    <n v="421"/>
    <s v="No"/>
    <x v="45"/>
  </r>
  <r>
    <n v="682438"/>
    <n v="361"/>
    <x v="2"/>
    <d v="2023-12-11T00:00:00"/>
    <x v="16"/>
    <n v="12"/>
    <x v="5"/>
    <x v="0"/>
    <x v="1"/>
    <s v="Ann Brown"/>
    <n v="1181"/>
    <s v="No"/>
    <x v="27"/>
  </r>
  <r>
    <n v="683069"/>
    <n v="1757"/>
    <x v="4"/>
    <d v="2023-10-20T00:00:00"/>
    <x v="24"/>
    <n v="10"/>
    <x v="0"/>
    <x v="3"/>
    <x v="0"/>
    <s v="Veysel Oeztan"/>
    <n v="8159"/>
    <s v="No"/>
    <x v="1"/>
  </r>
  <r>
    <n v="683536"/>
    <n v="1986"/>
    <x v="3"/>
    <d v="2023-12-18T00:00:00"/>
    <x v="25"/>
    <n v="12"/>
    <x v="5"/>
    <x v="0"/>
    <x v="3"/>
    <s v="Jose Pedro Roel"/>
    <n v="4037"/>
    <s v="No"/>
    <x v="29"/>
  </r>
  <r>
    <n v="685513"/>
    <n v="252"/>
    <x v="0"/>
    <d v="2023-03-13T00:00:00"/>
    <x v="20"/>
    <n v="3"/>
    <x v="5"/>
    <x v="4"/>
    <x v="0"/>
    <s v="Valarie Young"/>
    <n v="7916"/>
    <s v="No"/>
    <x v="20"/>
  </r>
  <r>
    <n v="685841"/>
    <n v="446"/>
    <x v="0"/>
    <d v="2023-10-02T00:00:00"/>
    <x v="26"/>
    <n v="10"/>
    <x v="5"/>
    <x v="3"/>
    <x v="3"/>
    <s v="Steve Frick"/>
    <n v="7514"/>
    <s v="No"/>
    <x v="25"/>
  </r>
  <r>
    <n v="686575"/>
    <n v="184"/>
    <x v="5"/>
    <d v="2023-07-05T00:00:00"/>
    <x v="27"/>
    <n v="7"/>
    <x v="4"/>
    <x v="6"/>
    <x v="2"/>
    <s v="Diego Freyre"/>
    <n v="5597"/>
    <s v="No"/>
    <x v="33"/>
  </r>
  <r>
    <n v="686952"/>
    <n v="1685"/>
    <x v="0"/>
    <d v="2023-04-13T00:00:00"/>
    <x v="28"/>
    <n v="4"/>
    <x v="3"/>
    <x v="1"/>
    <x v="3"/>
    <s v="Valarie Franco"/>
    <n v="6047"/>
    <s v="No"/>
    <x v="8"/>
  </r>
  <r>
    <n v="687364"/>
    <n v="444"/>
    <x v="4"/>
    <d v="2023-08-15T00:00:00"/>
    <x v="1"/>
    <n v="8"/>
    <x v="2"/>
    <x v="8"/>
    <x v="2"/>
    <s v="Diego Freyre"/>
    <n v="4487"/>
    <s v="No"/>
    <x v="12"/>
  </r>
  <r>
    <n v="687698"/>
    <n v="814"/>
    <x v="0"/>
    <d v="2023-01-16T00:00:00"/>
    <x v="29"/>
    <n v="1"/>
    <x v="5"/>
    <x v="9"/>
    <x v="3"/>
    <s v="Michael Holz"/>
    <n v="4616"/>
    <s v="No"/>
    <x v="52"/>
  </r>
  <r>
    <n v="688175"/>
    <n v="642"/>
    <x v="3"/>
    <d v="2023-11-08T00:00:00"/>
    <x v="30"/>
    <n v="11"/>
    <x v="4"/>
    <x v="2"/>
    <x v="3"/>
    <s v="Valarie Nelson"/>
    <n v="1612"/>
    <s v="No"/>
    <x v="24"/>
  </r>
  <r>
    <n v="688366"/>
    <n v="268"/>
    <x v="1"/>
    <d v="2023-12-12T00:00:00"/>
    <x v="31"/>
    <n v="12"/>
    <x v="2"/>
    <x v="0"/>
    <x v="1"/>
    <s v="Pirkko Koskitalo"/>
    <n v="345"/>
    <s v="No"/>
    <x v="59"/>
  </r>
  <r>
    <n v="688473"/>
    <n v="829"/>
    <x v="0"/>
    <d v="2023-09-25T00:00:00"/>
    <x v="32"/>
    <n v="9"/>
    <x v="5"/>
    <x v="10"/>
    <x v="3"/>
    <s v="Diego Freyre"/>
    <n v="2835"/>
    <s v="No"/>
    <x v="48"/>
  </r>
  <r>
    <n v="689972"/>
    <n v="916"/>
    <x v="14"/>
    <d v="2023-02-08T00:00:00"/>
    <x v="33"/>
    <n v="2"/>
    <x v="4"/>
    <x v="5"/>
    <x v="0"/>
    <s v="Elizabeth Devon"/>
    <n v="2682"/>
    <s v="No"/>
    <x v="57"/>
  </r>
  <r>
    <n v="690697"/>
    <n v="1330"/>
    <x v="6"/>
    <d v="2023-03-02T00:00:00"/>
    <x v="19"/>
    <n v="3"/>
    <x v="3"/>
    <x v="4"/>
    <x v="2"/>
    <s v="Wendy Victorino"/>
    <n v="2726"/>
    <s v="No"/>
    <x v="0"/>
  </r>
  <r>
    <n v="690812"/>
    <n v="985"/>
    <x v="0"/>
    <d v="2023-08-29T00:00:00"/>
    <x v="34"/>
    <n v="8"/>
    <x v="2"/>
    <x v="8"/>
    <x v="3"/>
    <s v="Maurizio Moroni"/>
    <n v="3887"/>
    <s v="No"/>
    <x v="45"/>
  </r>
  <r>
    <n v="691227"/>
    <n v="955"/>
    <x v="1"/>
    <d v="2023-07-09T00:00:00"/>
    <x v="35"/>
    <n v="7"/>
    <x v="6"/>
    <x v="6"/>
    <x v="1"/>
    <s v="Valarie Nelson"/>
    <n v="5936"/>
    <s v="No"/>
    <x v="67"/>
  </r>
  <r>
    <n v="691268"/>
    <n v="809"/>
    <x v="0"/>
    <d v="2023-05-22T00:00:00"/>
    <x v="36"/>
    <n v="5"/>
    <x v="5"/>
    <x v="11"/>
    <x v="2"/>
    <s v="Sue King"/>
    <n v="9498"/>
    <s v="No"/>
    <x v="27"/>
  </r>
  <r>
    <n v="691913"/>
    <n v="1566"/>
    <x v="0"/>
    <d v="2023-02-12T00:00:00"/>
    <x v="37"/>
    <n v="2"/>
    <x v="6"/>
    <x v="5"/>
    <x v="1"/>
    <s v="Kyung Yu"/>
    <n v="6689"/>
    <s v="No"/>
    <x v="71"/>
  </r>
  <r>
    <n v="691946"/>
    <n v="455"/>
    <x v="7"/>
    <d v="2023-02-03T00:00:00"/>
    <x v="9"/>
    <n v="2"/>
    <x v="0"/>
    <x v="5"/>
    <x v="1"/>
    <s v="Michael Holz"/>
    <n v="1893"/>
    <s v="No"/>
    <x v="44"/>
  </r>
  <r>
    <n v="692440"/>
    <n v="159"/>
    <x v="0"/>
    <d v="2023-07-19T00:00:00"/>
    <x v="38"/>
    <n v="7"/>
    <x v="4"/>
    <x v="6"/>
    <x v="0"/>
    <s v="Kwai Yu"/>
    <n v="7041"/>
    <s v="No"/>
    <x v="5"/>
  </r>
  <r>
    <n v="692808"/>
    <n v="1797"/>
    <x v="0"/>
    <d v="2023-08-08T00:00:00"/>
    <x v="39"/>
    <n v="8"/>
    <x v="2"/>
    <x v="8"/>
    <x v="0"/>
    <s v="Jan Klaeboe"/>
    <n v="7362"/>
    <s v="No"/>
    <x v="23"/>
  </r>
  <r>
    <n v="692957"/>
    <n v="941"/>
    <x v="0"/>
    <d v="2023-12-02T00:00:00"/>
    <x v="9"/>
    <n v="12"/>
    <x v="1"/>
    <x v="0"/>
    <x v="2"/>
    <s v="Marta Hernandez"/>
    <n v="8917"/>
    <s v="No"/>
    <x v="49"/>
  </r>
  <r>
    <n v="692962"/>
    <n v="442"/>
    <x v="0"/>
    <d v="2023-07-17T00:00:00"/>
    <x v="3"/>
    <n v="7"/>
    <x v="5"/>
    <x v="6"/>
    <x v="2"/>
    <s v="Henriette Pfalzheim"/>
    <n v="1328"/>
    <s v="No"/>
    <x v="14"/>
  </r>
  <r>
    <n v="694715"/>
    <n v="519"/>
    <x v="3"/>
    <d v="2023-08-01T00:00:00"/>
    <x v="40"/>
    <n v="8"/>
    <x v="2"/>
    <x v="8"/>
    <x v="0"/>
    <s v="Yoshi Tannamuri"/>
    <n v="6870"/>
    <s v="No"/>
    <x v="41"/>
  </r>
  <r>
    <n v="695237"/>
    <n v="520"/>
    <x v="4"/>
    <d v="2023-01-11T00:00:00"/>
    <x v="1"/>
    <n v="1"/>
    <x v="4"/>
    <x v="9"/>
    <x v="2"/>
    <s v="Violeta Benitez"/>
    <n v="1232"/>
    <s v="No"/>
    <x v="49"/>
  </r>
  <r>
    <n v="695670"/>
    <n v="58"/>
    <x v="7"/>
    <d v="2023-06-13T00:00:00"/>
    <x v="41"/>
    <n v="6"/>
    <x v="2"/>
    <x v="7"/>
    <x v="1"/>
    <s v="Michael Frick"/>
    <n v="8331"/>
    <s v="No"/>
    <x v="3"/>
  </r>
  <r>
    <n v="696736"/>
    <n v="899"/>
    <x v="0"/>
    <d v="2023-11-19T00:00:00"/>
    <x v="42"/>
    <n v="11"/>
    <x v="6"/>
    <x v="2"/>
    <x v="3"/>
    <s v="Rosa Hernandez"/>
    <n v="2627"/>
    <s v="No"/>
    <x v="21"/>
  </r>
  <r>
    <n v="696792"/>
    <n v="1651"/>
    <x v="6"/>
    <d v="2023-06-06T00:00:00"/>
    <x v="43"/>
    <n v="6"/>
    <x v="2"/>
    <x v="7"/>
    <x v="2"/>
    <s v="Christina Berglund"/>
    <n v="9568"/>
    <s v="No"/>
    <x v="62"/>
  </r>
  <r>
    <n v="696860"/>
    <n v="270"/>
    <x v="6"/>
    <d v="2023-03-11T00:00:00"/>
    <x v="44"/>
    <n v="3"/>
    <x v="1"/>
    <x v="4"/>
    <x v="0"/>
    <s v="Peter Ferguson"/>
    <n v="4174"/>
    <s v="No"/>
    <x v="8"/>
  </r>
  <r>
    <n v="697123"/>
    <n v="1959"/>
    <x v="7"/>
    <d v="2023-11-11T00:00:00"/>
    <x v="45"/>
    <n v="11"/>
    <x v="1"/>
    <x v="2"/>
    <x v="3"/>
    <s v="Jeff Young"/>
    <n v="6636"/>
    <s v="No"/>
    <x v="9"/>
  </r>
  <r>
    <n v="698048"/>
    <n v="175"/>
    <x v="0"/>
    <d v="2023-11-04T00:00:00"/>
    <x v="46"/>
    <n v="11"/>
    <x v="1"/>
    <x v="2"/>
    <x v="0"/>
    <s v="Diego Freyre"/>
    <n v="731"/>
    <s v="No"/>
    <x v="41"/>
  </r>
  <r>
    <n v="698175"/>
    <n v="1372"/>
    <x v="3"/>
    <d v="2023-06-17T00:00:00"/>
    <x v="47"/>
    <n v="6"/>
    <x v="1"/>
    <x v="7"/>
    <x v="2"/>
    <s v="Pascale Cartrain"/>
    <n v="6322"/>
    <s v="No"/>
    <x v="9"/>
  </r>
  <r>
    <n v="698222"/>
    <n v="1836"/>
    <x v="3"/>
    <d v="2023-03-22T00:00:00"/>
    <x v="48"/>
    <n v="3"/>
    <x v="4"/>
    <x v="4"/>
    <x v="2"/>
    <s v="Anna O'Hara"/>
    <n v="1804"/>
    <s v="No"/>
    <x v="40"/>
  </r>
  <r>
    <n v="699766"/>
    <n v="202"/>
    <x v="0"/>
    <d v="2023-12-29T00:00:00"/>
    <x v="49"/>
    <n v="12"/>
    <x v="0"/>
    <x v="0"/>
    <x v="3"/>
    <s v="Matti Karttunen"/>
    <n v="2379"/>
    <s v="No"/>
    <x v="46"/>
  </r>
  <r>
    <n v="700751"/>
    <n v="1082"/>
    <x v="1"/>
    <d v="2023-04-07T00:00:00"/>
    <x v="50"/>
    <n v="4"/>
    <x v="0"/>
    <x v="1"/>
    <x v="1"/>
    <s v="Diego Freyre"/>
    <n v="1547"/>
    <s v="No"/>
    <x v="41"/>
  </r>
  <r>
    <n v="701790"/>
    <n v="1704"/>
    <x v="0"/>
    <d v="2023-02-22T00:00:00"/>
    <x v="51"/>
    <n v="2"/>
    <x v="4"/>
    <x v="5"/>
    <x v="1"/>
    <s v="Diego Freyre"/>
    <n v="4202"/>
    <s v="No"/>
    <x v="25"/>
  </r>
  <r>
    <n v="701802"/>
    <n v="151"/>
    <x v="7"/>
    <d v="2023-04-04T00:00:00"/>
    <x v="52"/>
    <n v="4"/>
    <x v="2"/>
    <x v="1"/>
    <x v="0"/>
    <s v="Frederique Citeaux"/>
    <n v="927"/>
    <s v="No"/>
    <x v="15"/>
  </r>
  <r>
    <n v="702331"/>
    <n v="1848"/>
    <x v="0"/>
    <d v="2023-08-28T00:00:00"/>
    <x v="53"/>
    <n v="8"/>
    <x v="5"/>
    <x v="8"/>
    <x v="3"/>
    <s v="Diego Freyre"/>
    <n v="5015"/>
    <s v="No"/>
    <x v="42"/>
  </r>
  <r>
    <n v="703166"/>
    <n v="1228"/>
    <x v="0"/>
    <d v="2023-11-03T00:00:00"/>
    <x v="54"/>
    <n v="11"/>
    <x v="0"/>
    <x v="2"/>
    <x v="1"/>
    <s v="Georg Pipps"/>
    <n v="2916"/>
    <s v="No"/>
    <x v="27"/>
  </r>
  <r>
    <n v="704734"/>
    <n v="1243"/>
    <x v="4"/>
    <d v="2023-09-25T00:00:00"/>
    <x v="55"/>
    <n v="9"/>
    <x v="5"/>
    <x v="10"/>
    <x v="2"/>
    <s v="Janine Labrune"/>
    <n v="9313"/>
    <s v="No"/>
    <x v="32"/>
  </r>
  <r>
    <n v="705322"/>
    <n v="1718"/>
    <x v="0"/>
    <d v="2023-05-03T00:00:00"/>
    <x v="56"/>
    <n v="5"/>
    <x v="4"/>
    <x v="11"/>
    <x v="1"/>
    <s v="Jytte Petersen"/>
    <n v="1519"/>
    <s v="No"/>
    <x v="47"/>
  </r>
  <r>
    <n v="705612"/>
    <n v="1886"/>
    <x v="6"/>
    <d v="2023-04-29T00:00:00"/>
    <x v="57"/>
    <n v="4"/>
    <x v="1"/>
    <x v="1"/>
    <x v="1"/>
    <s v="Eric Natividad"/>
    <n v="2657"/>
    <s v="No"/>
    <x v="9"/>
  </r>
  <r>
    <n v="706153"/>
    <n v="1053"/>
    <x v="1"/>
    <d v="2023-03-22T00:00:00"/>
    <x v="58"/>
    <n v="3"/>
    <x v="4"/>
    <x v="4"/>
    <x v="3"/>
    <s v="Diego Freyre"/>
    <n v="777"/>
    <s v="No"/>
    <x v="25"/>
  </r>
  <r>
    <n v="706669"/>
    <n v="1153"/>
    <x v="2"/>
    <d v="2023-05-06T00:00:00"/>
    <x v="59"/>
    <n v="5"/>
    <x v="1"/>
    <x v="11"/>
    <x v="2"/>
    <s v="Valarie Nelson"/>
    <n v="4666"/>
    <s v="No"/>
    <x v="36"/>
  </r>
  <r>
    <n v="706696"/>
    <n v="606"/>
    <x v="0"/>
    <d v="2023-07-09T00:00:00"/>
    <x v="60"/>
    <n v="7"/>
    <x v="6"/>
    <x v="6"/>
    <x v="0"/>
    <s v="Diego Freyre"/>
    <n v="3500"/>
    <s v="No"/>
    <x v="65"/>
  </r>
  <r>
    <n v="706725"/>
    <n v="1812"/>
    <x v="4"/>
    <d v="2023-02-25T00:00:00"/>
    <x v="61"/>
    <n v="2"/>
    <x v="1"/>
    <x v="5"/>
    <x v="2"/>
    <s v="Eric Natividad"/>
    <n v="7569"/>
    <s v="No"/>
    <x v="22"/>
  </r>
  <r>
    <n v="708480"/>
    <n v="1060"/>
    <x v="1"/>
    <d v="2023-10-19T00:00:00"/>
    <x v="62"/>
    <n v="10"/>
    <x v="3"/>
    <x v="3"/>
    <x v="3"/>
    <s v="Jesus Fernandez"/>
    <n v="2493"/>
    <s v="No"/>
    <x v="14"/>
  </r>
  <r>
    <n v="708846"/>
    <n v="1644"/>
    <x v="6"/>
    <d v="2023-10-07T00:00:00"/>
    <x v="53"/>
    <n v="10"/>
    <x v="1"/>
    <x v="3"/>
    <x v="3"/>
    <s v="Wing C Tam"/>
    <n v="3069"/>
    <s v="No"/>
    <x v="5"/>
  </r>
  <r>
    <n v="709317"/>
    <n v="253"/>
    <x v="3"/>
    <d v="2023-09-06T00:00:00"/>
    <x v="63"/>
    <n v="9"/>
    <x v="4"/>
    <x v="10"/>
    <x v="1"/>
    <s v="Leslie Murphy"/>
    <n v="9441"/>
    <s v="No"/>
    <x v="25"/>
  </r>
  <r>
    <n v="710669"/>
    <n v="1366"/>
    <x v="0"/>
    <d v="2023-12-15T00:00:00"/>
    <x v="64"/>
    <n v="12"/>
    <x v="0"/>
    <x v="0"/>
    <x v="2"/>
    <s v="Mary Saveley"/>
    <n v="5405"/>
    <s v="No"/>
    <x v="60"/>
  </r>
  <r>
    <n v="710673"/>
    <n v="1229"/>
    <x v="6"/>
    <d v="2023-06-13T00:00:00"/>
    <x v="65"/>
    <n v="6"/>
    <x v="2"/>
    <x v="7"/>
    <x v="3"/>
    <s v="Catherine Dewey"/>
    <n v="6405"/>
    <s v="No"/>
    <x v="25"/>
  </r>
  <r>
    <n v="711277"/>
    <n v="933"/>
    <x v="0"/>
    <d v="2023-08-11T00:00:00"/>
    <x v="66"/>
    <n v="8"/>
    <x v="0"/>
    <x v="8"/>
    <x v="1"/>
    <s v="Helen Bennett"/>
    <n v="2857"/>
    <s v="No"/>
    <x v="32"/>
  </r>
  <r>
    <n v="711681"/>
    <n v="1344"/>
    <x v="4"/>
    <d v="2023-05-22T00:00:00"/>
    <x v="67"/>
    <n v="5"/>
    <x v="5"/>
    <x v="11"/>
    <x v="2"/>
    <s v="Kwai Yu"/>
    <n v="3885"/>
    <s v="No"/>
    <x v="28"/>
  </r>
  <r>
    <n v="712741"/>
    <n v="1001"/>
    <x v="0"/>
    <d v="2023-12-20T00:00:00"/>
    <x v="68"/>
    <n v="12"/>
    <x v="4"/>
    <x v="0"/>
    <x v="0"/>
    <s v="Catherine Dewey"/>
    <n v="1475"/>
    <s v="No"/>
    <x v="10"/>
  </r>
  <r>
    <n v="713425"/>
    <n v="1254"/>
    <x v="3"/>
    <d v="2023-11-28T00:00:00"/>
    <x v="44"/>
    <n v="11"/>
    <x v="2"/>
    <x v="2"/>
    <x v="0"/>
    <s v="Valarie Nelson"/>
    <n v="918"/>
    <s v="No"/>
    <x v="37"/>
  </r>
  <r>
    <n v="716091"/>
    <n v="1691"/>
    <x v="0"/>
    <d v="2023-06-12T00:00:00"/>
    <x v="49"/>
    <n v="6"/>
    <x v="5"/>
    <x v="7"/>
    <x v="3"/>
    <s v="Paolo Accorti"/>
    <n v="6454"/>
    <s v="No"/>
    <x v="64"/>
  </r>
  <r>
    <n v="717493"/>
    <n v="180"/>
    <x v="0"/>
    <d v="2023-02-21T00:00:00"/>
    <x v="36"/>
    <n v="2"/>
    <x v="2"/>
    <x v="5"/>
    <x v="0"/>
    <s v="Victoria Ashworth"/>
    <n v="1788"/>
    <s v="No"/>
    <x v="49"/>
  </r>
  <r>
    <n v="718344"/>
    <n v="375"/>
    <x v="6"/>
    <d v="2023-03-30T00:00:00"/>
    <x v="69"/>
    <n v="3"/>
    <x v="3"/>
    <x v="4"/>
    <x v="1"/>
    <s v="Palle Ibsen"/>
    <n v="1580"/>
    <s v="No"/>
    <x v="23"/>
  </r>
  <r>
    <n v="719496"/>
    <n v="958"/>
    <x v="0"/>
    <d v="2023-04-05T00:00:00"/>
    <x v="70"/>
    <n v="4"/>
    <x v="4"/>
    <x v="1"/>
    <x v="3"/>
    <s v="Christina Berglund"/>
    <n v="8062"/>
    <s v="No"/>
    <x v="20"/>
  </r>
  <r>
    <n v="719899"/>
    <n v="748"/>
    <x v="0"/>
    <d v="2023-03-08T00:00:00"/>
    <x v="71"/>
    <n v="3"/>
    <x v="4"/>
    <x v="4"/>
    <x v="3"/>
    <s v="Marie Bertrand"/>
    <n v="2445"/>
    <s v="No"/>
    <x v="28"/>
  </r>
  <r>
    <n v="720311"/>
    <n v="425"/>
    <x v="1"/>
    <d v="2023-02-27T00:00:00"/>
    <x v="54"/>
    <n v="2"/>
    <x v="5"/>
    <x v="5"/>
    <x v="2"/>
    <s v="Diego Freyre"/>
    <n v="4868"/>
    <s v="No"/>
    <x v="66"/>
  </r>
  <r>
    <n v="721053"/>
    <n v="579"/>
    <x v="0"/>
    <d v="2023-04-23T00:00:00"/>
    <x v="72"/>
    <n v="4"/>
    <x v="6"/>
    <x v="1"/>
    <x v="0"/>
    <s v="Akiko Shimamura"/>
    <n v="5093"/>
    <s v="No"/>
    <x v="14"/>
  </r>
  <r>
    <n v="721298"/>
    <n v="1717"/>
    <x v="6"/>
    <d v="2023-03-28T00:00:00"/>
    <x v="73"/>
    <n v="3"/>
    <x v="2"/>
    <x v="4"/>
    <x v="1"/>
    <s v="Diego Freyre"/>
    <n v="3875"/>
    <s v="No"/>
    <x v="19"/>
  </r>
  <r>
    <n v="721384"/>
    <n v="922"/>
    <x v="11"/>
    <d v="2023-03-17T00:00:00"/>
    <x v="64"/>
    <n v="3"/>
    <x v="0"/>
    <x v="4"/>
    <x v="1"/>
    <s v="Valarie Nelson"/>
    <n v="1833"/>
    <s v="No"/>
    <x v="34"/>
  </r>
  <r>
    <n v="722572"/>
    <n v="1948"/>
    <x v="0"/>
    <d v="2023-01-28T00:00:00"/>
    <x v="74"/>
    <n v="1"/>
    <x v="1"/>
    <x v="9"/>
    <x v="0"/>
    <s v="Juri Yoshido"/>
    <n v="1207"/>
    <s v="No"/>
    <x v="33"/>
  </r>
  <r>
    <n v="723244"/>
    <n v="1347"/>
    <x v="3"/>
    <d v="2023-08-23T00:00:00"/>
    <x v="10"/>
    <n v="8"/>
    <x v="4"/>
    <x v="8"/>
    <x v="1"/>
    <s v="Arnold Cruz"/>
    <n v="6759"/>
    <s v="No"/>
    <x v="39"/>
  </r>
  <r>
    <n v="723357"/>
    <n v="1297"/>
    <x v="0"/>
    <d v="2023-03-04T00:00:00"/>
    <x v="12"/>
    <n v="3"/>
    <x v="1"/>
    <x v="4"/>
    <x v="2"/>
    <s v="Laurence Lebihan"/>
    <n v="4674"/>
    <s v="No"/>
    <x v="46"/>
  </r>
  <r>
    <n v="723458"/>
    <n v="1716"/>
    <x v="0"/>
    <d v="2023-04-13T00:00:00"/>
    <x v="34"/>
    <n v="4"/>
    <x v="3"/>
    <x v="1"/>
    <x v="1"/>
    <s v="Valarie Nelson"/>
    <n v="946"/>
    <s v="No"/>
    <x v="65"/>
  </r>
  <r>
    <n v="723480"/>
    <n v="1961"/>
    <x v="7"/>
    <d v="2023-02-24T00:00:00"/>
    <x v="75"/>
    <n v="2"/>
    <x v="0"/>
    <x v="5"/>
    <x v="3"/>
    <s v="Allen Nelson"/>
    <n v="8332"/>
    <s v="No"/>
    <x v="27"/>
  </r>
  <r>
    <n v="723551"/>
    <n v="1849"/>
    <x v="13"/>
    <d v="2023-04-23T00:00:00"/>
    <x v="76"/>
    <n v="4"/>
    <x v="6"/>
    <x v="1"/>
    <x v="3"/>
    <s v="Julie Brown"/>
    <n v="6416"/>
    <s v="No"/>
    <x v="31"/>
  </r>
  <r>
    <n v="723623"/>
    <n v="1818"/>
    <x v="0"/>
    <d v="2023-07-03T00:00:00"/>
    <x v="77"/>
    <n v="7"/>
    <x v="5"/>
    <x v="6"/>
    <x v="1"/>
    <s v="Anna O'Hara"/>
    <n v="9468"/>
    <s v="No"/>
    <x v="1"/>
  </r>
  <r>
    <n v="725071"/>
    <n v="1825"/>
    <x v="6"/>
    <d v="2023-02-15T00:00:00"/>
    <x v="58"/>
    <n v="2"/>
    <x v="4"/>
    <x v="5"/>
    <x v="1"/>
    <s v="Veysel Oeztan"/>
    <n v="8859"/>
    <s v="No"/>
    <x v="13"/>
  </r>
  <r>
    <n v="725371"/>
    <n v="634"/>
    <x v="0"/>
    <d v="2023-01-02T00:00:00"/>
    <x v="78"/>
    <n v="1"/>
    <x v="5"/>
    <x v="9"/>
    <x v="2"/>
    <s v="Henriette Pfalzheim"/>
    <n v="7071"/>
    <s v="No"/>
    <x v="14"/>
  </r>
  <r>
    <n v="725482"/>
    <n v="1874"/>
    <x v="0"/>
    <d v="2023-07-11T00:00:00"/>
    <x v="79"/>
    <n v="7"/>
    <x v="2"/>
    <x v="6"/>
    <x v="2"/>
    <s v="Diego Freyre"/>
    <n v="6488"/>
    <s v="No"/>
    <x v="66"/>
  </r>
  <r>
    <n v="726616"/>
    <n v="1290"/>
    <x v="0"/>
    <d v="2023-08-06T00:00:00"/>
    <x v="80"/>
    <n v="8"/>
    <x v="6"/>
    <x v="8"/>
    <x v="1"/>
    <s v="Dominique Perrier"/>
    <n v="6697"/>
    <s v="No"/>
    <x v="34"/>
  </r>
  <r>
    <n v="728697"/>
    <n v="1913"/>
    <x v="2"/>
    <d v="2023-08-25T00:00:00"/>
    <x v="10"/>
    <n v="8"/>
    <x v="0"/>
    <x v="8"/>
    <x v="3"/>
    <s v="Michael Holz"/>
    <n v="6226"/>
    <s v="No"/>
    <x v="66"/>
  </r>
  <r>
    <n v="730295"/>
    <n v="134"/>
    <x v="6"/>
    <d v="2023-08-06T00:00:00"/>
    <x v="64"/>
    <n v="8"/>
    <x v="6"/>
    <x v="8"/>
    <x v="1"/>
    <s v="Jytte Petersen"/>
    <n v="4721"/>
    <s v="No"/>
    <x v="43"/>
  </r>
  <r>
    <n v="730976"/>
    <n v="1908"/>
    <x v="0"/>
    <d v="2023-11-01T00:00:00"/>
    <x v="28"/>
    <n v="11"/>
    <x v="4"/>
    <x v="2"/>
    <x v="3"/>
    <s v="Dominique Perrier"/>
    <n v="4073"/>
    <s v="No"/>
    <x v="1"/>
  </r>
  <r>
    <n v="731161"/>
    <n v="1367"/>
    <x v="2"/>
    <d v="2023-06-02T00:00:00"/>
    <x v="81"/>
    <n v="6"/>
    <x v="0"/>
    <x v="7"/>
    <x v="0"/>
    <s v="Sean Connery"/>
    <n v="3548"/>
    <s v="No"/>
    <x v="5"/>
  </r>
  <r>
    <n v="731345"/>
    <n v="1365"/>
    <x v="0"/>
    <d v="2023-03-28T00:00:00"/>
    <x v="25"/>
    <n v="3"/>
    <x v="2"/>
    <x v="4"/>
    <x v="2"/>
    <s v="Miguel Barajas"/>
    <n v="5198"/>
    <s v="No"/>
    <x v="62"/>
  </r>
  <r>
    <n v="732301"/>
    <n v="250"/>
    <x v="1"/>
    <d v="2023-11-01T00:00:00"/>
    <x v="48"/>
    <n v="11"/>
    <x v="4"/>
    <x v="2"/>
    <x v="1"/>
    <s v="Michael Holz"/>
    <n v="4048"/>
    <s v="No"/>
    <x v="66"/>
  </r>
  <r>
    <n v="732319"/>
    <n v="1802"/>
    <x v="3"/>
    <d v="2023-04-24T00:00:00"/>
    <x v="34"/>
    <n v="4"/>
    <x v="5"/>
    <x v="1"/>
    <x v="0"/>
    <s v="Roland Keitel"/>
    <n v="3911"/>
    <s v="No"/>
    <x v="57"/>
  </r>
  <r>
    <n v="733263"/>
    <n v="881"/>
    <x v="3"/>
    <d v="2023-10-25T00:00:00"/>
    <x v="21"/>
    <n v="10"/>
    <x v="4"/>
    <x v="3"/>
    <x v="1"/>
    <s v="Henriette Pfalzheim"/>
    <n v="9697"/>
    <s v="No"/>
    <x v="25"/>
  </r>
  <r>
    <n v="734449"/>
    <n v="1061"/>
    <x v="10"/>
    <d v="2023-10-26T00:00:00"/>
    <x v="82"/>
    <n v="10"/>
    <x v="3"/>
    <x v="3"/>
    <x v="1"/>
    <s v="Kee Kuo"/>
    <n v="8005"/>
    <s v="No"/>
    <x v="57"/>
  </r>
  <r>
    <n v="734468"/>
    <n v="83"/>
    <x v="2"/>
    <d v="2023-02-15T00:00:00"/>
    <x v="44"/>
    <n v="2"/>
    <x v="4"/>
    <x v="5"/>
    <x v="2"/>
    <s v="Kwai Yu"/>
    <n v="5705"/>
    <s v="No"/>
    <x v="34"/>
  </r>
  <r>
    <n v="734939"/>
    <n v="1797"/>
    <x v="0"/>
    <d v="2023-02-27T00:00:00"/>
    <x v="83"/>
    <n v="2"/>
    <x v="5"/>
    <x v="5"/>
    <x v="2"/>
    <s v="Peter Ferguson"/>
    <n v="5602"/>
    <s v="No"/>
    <x v="23"/>
  </r>
  <r>
    <n v="735675"/>
    <n v="412"/>
    <x v="1"/>
    <d v="2023-11-21T00:00:00"/>
    <x v="84"/>
    <n v="11"/>
    <x v="2"/>
    <x v="2"/>
    <x v="0"/>
    <s v="Kalle Suominen"/>
    <n v="2472"/>
    <s v="No"/>
    <x v="10"/>
  </r>
  <r>
    <n v="737059"/>
    <n v="849"/>
    <x v="3"/>
    <d v="2023-10-08T00:00:00"/>
    <x v="85"/>
    <n v="10"/>
    <x v="6"/>
    <x v="3"/>
    <x v="3"/>
    <s v="Diego Freyre"/>
    <n v="8652"/>
    <s v="No"/>
    <x v="11"/>
  </r>
  <r>
    <n v="737066"/>
    <n v="744"/>
    <x v="10"/>
    <d v="2023-02-21T00:00:00"/>
    <x v="68"/>
    <n v="2"/>
    <x v="2"/>
    <x v="5"/>
    <x v="0"/>
    <s v="Valarie Nelson"/>
    <n v="9597"/>
    <s v="No"/>
    <x v="19"/>
  </r>
  <r>
    <n v="737790"/>
    <n v="1646"/>
    <x v="4"/>
    <d v="2023-06-10T00:00:00"/>
    <x v="86"/>
    <n v="6"/>
    <x v="1"/>
    <x v="7"/>
    <x v="3"/>
    <s v="Jonas Bergulfsen"/>
    <n v="7589"/>
    <s v="No"/>
    <x v="66"/>
  </r>
  <r>
    <n v="739012"/>
    <n v="1708"/>
    <x v="3"/>
    <d v="2023-12-18T00:00:00"/>
    <x v="75"/>
    <n v="12"/>
    <x v="5"/>
    <x v="0"/>
    <x v="0"/>
    <s v="Julie Murphy"/>
    <n v="265"/>
    <s v="No"/>
    <x v="27"/>
  </r>
  <r>
    <n v="740082"/>
    <n v="736"/>
    <x v="0"/>
    <d v="2023-04-10T00:00:00"/>
    <x v="87"/>
    <n v="4"/>
    <x v="5"/>
    <x v="1"/>
    <x v="3"/>
    <s v="Mart¡n Sommer"/>
    <n v="2994"/>
    <s v="No"/>
    <x v="63"/>
  </r>
  <r>
    <n v="740564"/>
    <n v="569"/>
    <x v="0"/>
    <d v="2023-02-13T00:00:00"/>
    <x v="88"/>
    <n v="2"/>
    <x v="5"/>
    <x v="5"/>
    <x v="1"/>
    <s v="Adrian Huxley"/>
    <n v="1398"/>
    <s v="No"/>
    <x v="14"/>
  </r>
  <r>
    <n v="741193"/>
    <n v="879"/>
    <x v="0"/>
    <d v="2023-06-20T00:00:00"/>
    <x v="89"/>
    <n v="6"/>
    <x v="2"/>
    <x v="7"/>
    <x v="3"/>
    <s v="Sue Taylor"/>
    <n v="4307"/>
    <s v="No"/>
    <x v="41"/>
  </r>
  <r>
    <n v="742561"/>
    <n v="1509"/>
    <x v="0"/>
    <d v="2023-01-20T00:00:00"/>
    <x v="90"/>
    <n v="1"/>
    <x v="0"/>
    <x v="9"/>
    <x v="1"/>
    <s v="Maria Hernandez"/>
    <n v="1879"/>
    <s v="No"/>
    <x v="34"/>
  </r>
  <r>
    <n v="742778"/>
    <n v="982"/>
    <x v="0"/>
    <d v="2023-07-14T00:00:00"/>
    <x v="91"/>
    <n v="7"/>
    <x v="0"/>
    <x v="6"/>
    <x v="1"/>
    <s v="Giovanni Rovelli"/>
    <n v="8688"/>
    <s v="No"/>
    <x v="31"/>
  </r>
  <r>
    <n v="743589"/>
    <n v="1559"/>
    <x v="4"/>
    <d v="2023-12-26T00:00:00"/>
    <x v="92"/>
    <n v="12"/>
    <x v="2"/>
    <x v="0"/>
    <x v="1"/>
    <s v="Valarie Nelson"/>
    <n v="2636"/>
    <s v="No"/>
    <x v="17"/>
  </r>
  <r>
    <n v="743932"/>
    <n v="543"/>
    <x v="3"/>
    <d v="2023-08-26T00:00:00"/>
    <x v="39"/>
    <n v="8"/>
    <x v="1"/>
    <x v="8"/>
    <x v="0"/>
    <s v="Sean Connery"/>
    <n v="5966"/>
    <s v="No"/>
    <x v="16"/>
  </r>
  <r>
    <n v="743961"/>
    <n v="98"/>
    <x v="13"/>
    <d v="2023-09-07T00:00:00"/>
    <x v="11"/>
    <n v="9"/>
    <x v="3"/>
    <x v="10"/>
    <x v="0"/>
    <s v="Yoshi Tannamuri"/>
    <n v="2467"/>
    <s v="No"/>
    <x v="31"/>
  </r>
  <r>
    <n v="745795"/>
    <n v="919"/>
    <x v="13"/>
    <d v="2023-03-01T00:00:00"/>
    <x v="93"/>
    <n v="3"/>
    <x v="4"/>
    <x v="4"/>
    <x v="0"/>
    <s v="Steve Thompson"/>
    <n v="8983"/>
    <s v="No"/>
    <x v="18"/>
  </r>
  <r>
    <n v="746060"/>
    <n v="1477"/>
    <x v="4"/>
    <d v="2023-03-31T00:00:00"/>
    <x v="94"/>
    <n v="3"/>
    <x v="0"/>
    <x v="4"/>
    <x v="3"/>
    <s v="Mary Saveley"/>
    <n v="1387"/>
    <s v="No"/>
    <x v="38"/>
  </r>
  <r>
    <n v="746275"/>
    <n v="1020"/>
    <x v="6"/>
    <d v="2023-05-13T00:00:00"/>
    <x v="95"/>
    <n v="5"/>
    <x v="1"/>
    <x v="11"/>
    <x v="3"/>
    <s v="Diego Freyre"/>
    <n v="3551"/>
    <s v="No"/>
    <x v="46"/>
  </r>
  <r>
    <n v="748106"/>
    <n v="1295"/>
    <x v="10"/>
    <d v="2023-10-27T00:00:00"/>
    <x v="96"/>
    <n v="10"/>
    <x v="0"/>
    <x v="3"/>
    <x v="2"/>
    <s v="Sue Frick"/>
    <n v="5025"/>
    <s v="No"/>
    <x v="46"/>
  </r>
  <r>
    <n v="748762"/>
    <n v="946"/>
    <x v="1"/>
    <d v="2023-09-11T00:00:00"/>
    <x v="51"/>
    <n v="9"/>
    <x v="5"/>
    <x v="10"/>
    <x v="2"/>
    <s v="Paolo Accorti"/>
    <n v="9843"/>
    <s v="No"/>
    <x v="18"/>
  </r>
  <r>
    <n v="748997"/>
    <n v="1277"/>
    <x v="11"/>
    <d v="2023-06-14T00:00:00"/>
    <x v="97"/>
    <n v="6"/>
    <x v="4"/>
    <x v="7"/>
    <x v="0"/>
    <s v="Leslie Taylor"/>
    <n v="9873"/>
    <s v="No"/>
    <x v="38"/>
  </r>
  <r>
    <n v="749692"/>
    <n v="184"/>
    <x v="5"/>
    <d v="2023-03-27T00:00:00"/>
    <x v="37"/>
    <n v="3"/>
    <x v="5"/>
    <x v="4"/>
    <x v="2"/>
    <s v="Daniel Tonini"/>
    <n v="6601"/>
    <s v="No"/>
    <x v="33"/>
  </r>
  <r>
    <n v="749782"/>
    <n v="1506"/>
    <x v="0"/>
    <d v="2023-06-18T00:00:00"/>
    <x v="98"/>
    <n v="6"/>
    <x v="6"/>
    <x v="7"/>
    <x v="3"/>
    <s v="Valarie Nelson"/>
    <n v="8021"/>
    <s v="No"/>
    <x v="65"/>
  </r>
  <r>
    <n v="750732"/>
    <n v="194"/>
    <x v="1"/>
    <d v="2023-11-17T00:00:00"/>
    <x v="99"/>
    <n v="11"/>
    <x v="0"/>
    <x v="2"/>
    <x v="3"/>
    <s v="Roland Keitel"/>
    <n v="8355"/>
    <s v="No"/>
    <x v="71"/>
  </r>
  <r>
    <n v="750814"/>
    <n v="862"/>
    <x v="0"/>
    <d v="2023-04-23T00:00:00"/>
    <x v="100"/>
    <n v="4"/>
    <x v="6"/>
    <x v="1"/>
    <x v="0"/>
    <s v="Julie Murphy"/>
    <n v="1843"/>
    <s v="No"/>
    <x v="17"/>
  </r>
  <r>
    <n v="750826"/>
    <n v="451"/>
    <x v="8"/>
    <d v="2023-04-13T00:00:00"/>
    <x v="101"/>
    <n v="4"/>
    <x v="3"/>
    <x v="1"/>
    <x v="2"/>
    <s v="Peter Ferguson"/>
    <n v="9467"/>
    <s v="No"/>
    <x v="8"/>
  </r>
  <r>
    <n v="751811"/>
    <n v="1745"/>
    <x v="0"/>
    <d v="2023-11-27T00:00:00"/>
    <x v="102"/>
    <n v="11"/>
    <x v="5"/>
    <x v="2"/>
    <x v="1"/>
    <s v="Valarie Nelson"/>
    <n v="2348"/>
    <s v="No"/>
    <x v="26"/>
  </r>
  <r>
    <n v="751921"/>
    <n v="928"/>
    <x v="9"/>
    <d v="2023-06-22T00:00:00"/>
    <x v="103"/>
    <n v="6"/>
    <x v="3"/>
    <x v="7"/>
    <x v="2"/>
    <s v="Allen Nelson"/>
    <n v="9633"/>
    <s v="No"/>
    <x v="72"/>
  </r>
  <r>
    <n v="752092"/>
    <n v="62"/>
    <x v="0"/>
    <d v="2023-01-23T00:00:00"/>
    <x v="31"/>
    <n v="1"/>
    <x v="5"/>
    <x v="9"/>
    <x v="3"/>
    <s v="Valarie Nelson"/>
    <n v="9268"/>
    <s v="No"/>
    <x v="53"/>
  </r>
  <r>
    <n v="752814"/>
    <n v="1661"/>
    <x v="3"/>
    <d v="2023-11-23T00:00:00"/>
    <x v="1"/>
    <n v="11"/>
    <x v="3"/>
    <x v="2"/>
    <x v="1"/>
    <s v="Roland Mendel"/>
    <n v="7540"/>
    <s v="No"/>
    <x v="19"/>
  </r>
  <r>
    <n v="754290"/>
    <n v="977"/>
    <x v="1"/>
    <d v="2023-03-05T00:00:00"/>
    <x v="104"/>
    <n v="3"/>
    <x v="6"/>
    <x v="4"/>
    <x v="3"/>
    <s v="Catherine Dewey"/>
    <n v="7063"/>
    <s v="No"/>
    <x v="34"/>
  </r>
  <r>
    <n v="754402"/>
    <n v="164"/>
    <x v="0"/>
    <d v="2023-06-26T00:00:00"/>
    <x v="65"/>
    <n v="6"/>
    <x v="5"/>
    <x v="7"/>
    <x v="1"/>
    <s v="Arnold Cruz"/>
    <n v="136"/>
    <s v="No"/>
    <x v="40"/>
  </r>
  <r>
    <n v="754474"/>
    <n v="48"/>
    <x v="0"/>
    <d v="2023-03-19T00:00:00"/>
    <x v="105"/>
    <n v="3"/>
    <x v="6"/>
    <x v="4"/>
    <x v="1"/>
    <s v="Laurence Lebihan"/>
    <n v="5288"/>
    <s v="No"/>
    <x v="50"/>
  </r>
  <r>
    <n v="756887"/>
    <n v="1676"/>
    <x v="9"/>
    <d v="2023-04-20T00:00:00"/>
    <x v="35"/>
    <n v="4"/>
    <x v="3"/>
    <x v="1"/>
    <x v="1"/>
    <s v="Valarie Nelson"/>
    <n v="5656"/>
    <s v="No"/>
    <x v="5"/>
  </r>
  <r>
    <n v="757855"/>
    <n v="1479"/>
    <x v="0"/>
    <d v="2023-11-12T00:00:00"/>
    <x v="106"/>
    <n v="11"/>
    <x v="6"/>
    <x v="2"/>
    <x v="0"/>
    <s v="Allen Nelson"/>
    <n v="5528"/>
    <s v="No"/>
    <x v="27"/>
  </r>
  <r>
    <n v="758496"/>
    <n v="1974"/>
    <x v="0"/>
    <d v="2023-10-09T00:00:00"/>
    <x v="51"/>
    <n v="10"/>
    <x v="5"/>
    <x v="3"/>
    <x v="2"/>
    <s v="Julie Brown"/>
    <n v="2202"/>
    <s v="No"/>
    <x v="8"/>
  </r>
  <r>
    <n v="758962"/>
    <n v="1988"/>
    <x v="0"/>
    <d v="2023-05-12T00:00:00"/>
    <x v="93"/>
    <n v="5"/>
    <x v="0"/>
    <x v="11"/>
    <x v="2"/>
    <s v="Anna O'Hara"/>
    <n v="6385"/>
    <s v="No"/>
    <x v="50"/>
  </r>
  <r>
    <n v="759664"/>
    <n v="494"/>
    <x v="3"/>
    <d v="2023-07-18T00:00:00"/>
    <x v="1"/>
    <n v="7"/>
    <x v="2"/>
    <x v="6"/>
    <x v="1"/>
    <s v="Veysel Oeztan"/>
    <n v="8605"/>
    <s v="No"/>
    <x v="11"/>
  </r>
  <r>
    <n v="759796"/>
    <n v="92"/>
    <x v="13"/>
    <d v="2023-10-28T00:00:00"/>
    <x v="107"/>
    <n v="10"/>
    <x v="1"/>
    <x v="3"/>
    <x v="0"/>
    <s v="Henriette Pfalzheim"/>
    <n v="545"/>
    <s v="No"/>
    <x v="21"/>
  </r>
  <r>
    <n v="760774"/>
    <n v="63"/>
    <x v="8"/>
    <d v="2023-04-03T00:00:00"/>
    <x v="107"/>
    <n v="4"/>
    <x v="5"/>
    <x v="1"/>
    <x v="2"/>
    <s v="Diego Freyre"/>
    <n v="2846"/>
    <s v="No"/>
    <x v="12"/>
  </r>
  <r>
    <n v="761079"/>
    <n v="1813"/>
    <x v="0"/>
    <d v="2023-08-11T00:00:00"/>
    <x v="97"/>
    <n v="8"/>
    <x v="0"/>
    <x v="8"/>
    <x v="2"/>
    <s v="Dominique Perrier"/>
    <n v="8446"/>
    <s v="No"/>
    <x v="29"/>
  </r>
  <r>
    <n v="761261"/>
    <n v="930"/>
    <x v="6"/>
    <d v="2023-06-18T00:00:00"/>
    <x v="57"/>
    <n v="6"/>
    <x v="6"/>
    <x v="7"/>
    <x v="0"/>
    <s v="Michael Holz"/>
    <n v="2321"/>
    <s v="No"/>
    <x v="29"/>
  </r>
  <r>
    <n v="762584"/>
    <n v="226"/>
    <x v="0"/>
    <d v="2023-04-02T00:00:00"/>
    <x v="52"/>
    <n v="4"/>
    <x v="6"/>
    <x v="1"/>
    <x v="1"/>
    <s v="Jytte Petersen"/>
    <n v="6342"/>
    <s v="No"/>
    <x v="34"/>
  </r>
  <r>
    <n v="763962"/>
    <n v="1590"/>
    <x v="5"/>
    <d v="2023-01-16T00:00:00"/>
    <x v="108"/>
    <n v="1"/>
    <x v="5"/>
    <x v="9"/>
    <x v="2"/>
    <s v="Dominique Perrier"/>
    <n v="4623"/>
    <s v="No"/>
    <x v="45"/>
  </r>
  <r>
    <n v="764467"/>
    <n v="1998"/>
    <x v="6"/>
    <d v="2023-03-16T00:00:00"/>
    <x v="109"/>
    <n v="3"/>
    <x v="3"/>
    <x v="4"/>
    <x v="1"/>
    <s v="Sean Connery"/>
    <n v="7362"/>
    <s v="No"/>
    <x v="43"/>
  </r>
  <r>
    <n v="765043"/>
    <n v="273"/>
    <x v="0"/>
    <d v="2023-10-23T00:00:00"/>
    <x v="24"/>
    <n v="10"/>
    <x v="5"/>
    <x v="3"/>
    <x v="1"/>
    <s v="Miguel Barajas"/>
    <n v="7579"/>
    <s v="No"/>
    <x v="6"/>
  </r>
  <r>
    <n v="765994"/>
    <n v="220"/>
    <x v="6"/>
    <d v="2023-05-10T00:00:00"/>
    <x v="6"/>
    <n v="5"/>
    <x v="4"/>
    <x v="11"/>
    <x v="2"/>
    <s v="Michael Holz"/>
    <n v="5250"/>
    <s v="No"/>
    <x v="37"/>
  </r>
  <r>
    <n v="767130"/>
    <n v="1627"/>
    <x v="6"/>
    <d v="2023-06-19T00:00:00"/>
    <x v="110"/>
    <n v="6"/>
    <x v="5"/>
    <x v="7"/>
    <x v="1"/>
    <s v="Roland Keitel"/>
    <n v="4936"/>
    <s v="No"/>
    <x v="57"/>
  </r>
  <r>
    <n v="767512"/>
    <n v="1219"/>
    <x v="0"/>
    <d v="2023-12-30T00:00:00"/>
    <x v="67"/>
    <n v="12"/>
    <x v="1"/>
    <x v="0"/>
    <x v="3"/>
    <s v="Henriette Pfalzheim"/>
    <n v="4002"/>
    <s v="No"/>
    <x v="11"/>
  </r>
  <r>
    <n v="767976"/>
    <n v="1079"/>
    <x v="1"/>
    <d v="2023-10-14T00:00:00"/>
    <x v="29"/>
    <n v="10"/>
    <x v="1"/>
    <x v="3"/>
    <x v="3"/>
    <s v="Christina Berglund"/>
    <n v="4080"/>
    <s v="No"/>
    <x v="3"/>
  </r>
  <r>
    <n v="768093"/>
    <n v="680"/>
    <x v="0"/>
    <d v="2023-03-01T00:00:00"/>
    <x v="111"/>
    <n v="3"/>
    <x v="4"/>
    <x v="4"/>
    <x v="0"/>
    <s v="Arnold Cruz"/>
    <n v="8126"/>
    <s v="No"/>
    <x v="49"/>
  </r>
  <r>
    <n v="768435"/>
    <n v="1878"/>
    <x v="4"/>
    <d v="2023-06-15T00:00:00"/>
    <x v="112"/>
    <n v="6"/>
    <x v="3"/>
    <x v="7"/>
    <x v="2"/>
    <s v="Peter Ferguson"/>
    <n v="1281"/>
    <s v="No"/>
    <x v="32"/>
  </r>
  <r>
    <n v="769005"/>
    <n v="1308"/>
    <x v="4"/>
    <d v="2023-12-31T00:00:00"/>
    <x v="104"/>
    <n v="12"/>
    <x v="6"/>
    <x v="0"/>
    <x v="0"/>
    <s v="Diego Freyre"/>
    <n v="6183"/>
    <s v="No"/>
    <x v="72"/>
  </r>
  <r>
    <n v="769009"/>
    <n v="541"/>
    <x v="0"/>
    <d v="2023-10-07T00:00:00"/>
    <x v="25"/>
    <n v="10"/>
    <x v="1"/>
    <x v="3"/>
    <x v="1"/>
    <s v="Kalle Suominen"/>
    <n v="2143"/>
    <s v="No"/>
    <x v="67"/>
  </r>
  <r>
    <n v="769050"/>
    <n v="1934"/>
    <x v="4"/>
    <d v="2023-03-25T00:00:00"/>
    <x v="63"/>
    <n v="3"/>
    <x v="1"/>
    <x v="4"/>
    <x v="3"/>
    <s v="Diego Freyre"/>
    <n v="1290"/>
    <s v="No"/>
    <x v="5"/>
  </r>
  <r>
    <n v="770892"/>
    <n v="824"/>
    <x v="0"/>
    <d v="2023-08-02T00:00:00"/>
    <x v="113"/>
    <n v="8"/>
    <x v="4"/>
    <x v="8"/>
    <x v="2"/>
    <s v="Valarie Nelson"/>
    <n v="8032"/>
    <s v="No"/>
    <x v="31"/>
  </r>
  <r>
    <n v="772693"/>
    <n v="1191"/>
    <x v="6"/>
    <d v="2023-05-01T00:00:00"/>
    <x v="71"/>
    <n v="5"/>
    <x v="5"/>
    <x v="11"/>
    <x v="3"/>
    <s v="Rosa Hernandez"/>
    <n v="8999"/>
    <s v="No"/>
    <x v="68"/>
  </r>
  <r>
    <n v="772763"/>
    <n v="452"/>
    <x v="4"/>
    <d v="2023-03-22T00:00:00"/>
    <x v="107"/>
    <n v="3"/>
    <x v="4"/>
    <x v="4"/>
    <x v="1"/>
    <s v="Carine Schmitt"/>
    <n v="5141"/>
    <s v="No"/>
    <x v="21"/>
  </r>
  <r>
    <n v="774603"/>
    <n v="101"/>
    <x v="0"/>
    <d v="2023-05-03T00:00:00"/>
    <x v="44"/>
    <n v="5"/>
    <x v="4"/>
    <x v="11"/>
    <x v="0"/>
    <s v="Paul Henriot"/>
    <n v="1913"/>
    <s v="No"/>
    <x v="42"/>
  </r>
  <r>
    <n v="775306"/>
    <n v="655"/>
    <x v="0"/>
    <d v="2023-06-24T00:00:00"/>
    <x v="114"/>
    <n v="6"/>
    <x v="1"/>
    <x v="7"/>
    <x v="2"/>
    <s v="Anna O'Hara"/>
    <n v="7346"/>
    <s v="No"/>
    <x v="13"/>
  </r>
  <r>
    <n v="775387"/>
    <n v="945"/>
    <x v="3"/>
    <d v="2023-09-16T00:00:00"/>
    <x v="40"/>
    <n v="9"/>
    <x v="1"/>
    <x v="10"/>
    <x v="1"/>
    <s v="Palle Ibsen"/>
    <n v="8620"/>
    <s v="No"/>
    <x v="6"/>
  </r>
  <r>
    <n v="775856"/>
    <n v="146"/>
    <x v="8"/>
    <d v="2023-10-15T00:00:00"/>
    <x v="115"/>
    <n v="10"/>
    <x v="6"/>
    <x v="3"/>
    <x v="3"/>
    <s v="Julie King"/>
    <n v="5780"/>
    <s v="No"/>
    <x v="67"/>
  </r>
  <r>
    <n v="778907"/>
    <n v="915"/>
    <x v="3"/>
    <d v="2023-11-08T00:00:00"/>
    <x v="81"/>
    <n v="11"/>
    <x v="4"/>
    <x v="2"/>
    <x v="0"/>
    <s v="Veysel Oeztan"/>
    <n v="8273"/>
    <s v="No"/>
    <x v="36"/>
  </r>
  <r>
    <n v="779276"/>
    <n v="1162"/>
    <x v="0"/>
    <d v="2023-06-10T00:00:00"/>
    <x v="116"/>
    <n v="6"/>
    <x v="1"/>
    <x v="7"/>
    <x v="2"/>
    <s v="Valarie Young"/>
    <n v="4738"/>
    <s v="No"/>
    <x v="27"/>
  </r>
  <r>
    <n v="780193"/>
    <n v="1979"/>
    <x v="10"/>
    <d v="2023-08-05T00:00:00"/>
    <x v="46"/>
    <n v="8"/>
    <x v="1"/>
    <x v="8"/>
    <x v="0"/>
    <s v="Jeff Young"/>
    <n v="1562"/>
    <s v="No"/>
    <x v="29"/>
  </r>
  <r>
    <n v="780651"/>
    <n v="1630"/>
    <x v="3"/>
    <d v="2023-07-23T00:00:00"/>
    <x v="14"/>
    <n v="7"/>
    <x v="6"/>
    <x v="6"/>
    <x v="0"/>
    <s v="Diego Freyre"/>
    <n v="2596"/>
    <s v="No"/>
    <x v="29"/>
  </r>
  <r>
    <n v="780700"/>
    <n v="1677"/>
    <x v="2"/>
    <d v="2023-05-09T00:00:00"/>
    <x v="87"/>
    <n v="5"/>
    <x v="2"/>
    <x v="11"/>
    <x v="0"/>
    <s v="Valarie Thompson"/>
    <n v="9948"/>
    <s v="No"/>
    <x v="66"/>
  </r>
  <r>
    <n v="780895"/>
    <n v="1569"/>
    <x v="4"/>
    <d v="2023-04-30T00:00:00"/>
    <x v="94"/>
    <n v="4"/>
    <x v="6"/>
    <x v="1"/>
    <x v="2"/>
    <s v="Mory Kentary"/>
    <n v="5917"/>
    <s v="No"/>
    <x v="1"/>
  </r>
  <r>
    <n v="781125"/>
    <n v="1723"/>
    <x v="4"/>
    <d v="2023-01-24T00:00:00"/>
    <x v="28"/>
    <n v="1"/>
    <x v="2"/>
    <x v="9"/>
    <x v="0"/>
    <s v="Elizabeth Devon"/>
    <n v="3855"/>
    <s v="No"/>
    <x v="43"/>
  </r>
  <r>
    <n v="781195"/>
    <n v="184"/>
    <x v="5"/>
    <d v="2023-11-02T00:00:00"/>
    <x v="10"/>
    <n v="11"/>
    <x v="3"/>
    <x v="2"/>
    <x v="3"/>
    <s v="Maurizio Moroni"/>
    <n v="5349"/>
    <s v="No"/>
    <x v="33"/>
  </r>
  <r>
    <n v="781771"/>
    <n v="1377"/>
    <x v="7"/>
    <d v="2023-02-12T00:00:00"/>
    <x v="107"/>
    <n v="2"/>
    <x v="6"/>
    <x v="5"/>
    <x v="0"/>
    <s v="Sue King"/>
    <n v="9605"/>
    <s v="No"/>
    <x v="19"/>
  </r>
  <r>
    <n v="782836"/>
    <n v="1896"/>
    <x v="3"/>
    <d v="2023-08-03T00:00:00"/>
    <x v="108"/>
    <n v="8"/>
    <x v="3"/>
    <x v="8"/>
    <x v="1"/>
    <s v="Michael Holz"/>
    <n v="8153"/>
    <s v="No"/>
    <x v="13"/>
  </r>
  <r>
    <n v="783763"/>
    <n v="447"/>
    <x v="0"/>
    <d v="2023-07-20T00:00:00"/>
    <x v="117"/>
    <n v="7"/>
    <x v="3"/>
    <x v="6"/>
    <x v="3"/>
    <s v="Jan Klaeboe"/>
    <n v="3794"/>
    <s v="No"/>
    <x v="55"/>
  </r>
  <r>
    <n v="783822"/>
    <n v="221"/>
    <x v="6"/>
    <d v="2023-11-23T00:00:00"/>
    <x v="62"/>
    <n v="11"/>
    <x v="3"/>
    <x v="2"/>
    <x v="3"/>
    <s v="Diego Freyre"/>
    <n v="5404"/>
    <s v="No"/>
    <x v="71"/>
  </r>
  <r>
    <n v="784475"/>
    <n v="109"/>
    <x v="0"/>
    <d v="2023-12-24T00:00:00"/>
    <x v="118"/>
    <n v="12"/>
    <x v="6"/>
    <x v="0"/>
    <x v="3"/>
    <s v="Violeta Benitez"/>
    <n v="505"/>
    <s v="No"/>
    <x v="24"/>
  </r>
  <r>
    <n v="784839"/>
    <n v="222"/>
    <x v="8"/>
    <d v="2023-10-27T00:00:00"/>
    <x v="119"/>
    <n v="10"/>
    <x v="0"/>
    <x v="3"/>
    <x v="1"/>
    <s v="Rosa Hernandez"/>
    <n v="6391"/>
    <s v="No"/>
    <x v="2"/>
  </r>
  <r>
    <n v="786170"/>
    <n v="1676"/>
    <x v="9"/>
    <d v="2023-09-13T00:00:00"/>
    <x v="85"/>
    <n v="9"/>
    <x v="4"/>
    <x v="10"/>
    <x v="2"/>
    <s v="Paul Henriot"/>
    <n v="5008"/>
    <s v="No"/>
    <x v="5"/>
  </r>
  <r>
    <n v="787058"/>
    <n v="1587"/>
    <x v="0"/>
    <d v="2023-05-17T00:00:00"/>
    <x v="36"/>
    <n v="5"/>
    <x v="4"/>
    <x v="11"/>
    <x v="3"/>
    <s v="Julie Young"/>
    <n v="7663"/>
    <s v="No"/>
    <x v="10"/>
  </r>
  <r>
    <n v="787848"/>
    <n v="1855"/>
    <x v="13"/>
    <d v="2023-06-14T00:00:00"/>
    <x v="116"/>
    <n v="6"/>
    <x v="4"/>
    <x v="7"/>
    <x v="1"/>
    <s v="Diego Freyre"/>
    <n v="7298"/>
    <s v="No"/>
    <x v="60"/>
  </r>
  <r>
    <n v="788037"/>
    <n v="284"/>
    <x v="0"/>
    <d v="2023-05-20T00:00:00"/>
    <x v="120"/>
    <n v="5"/>
    <x v="1"/>
    <x v="11"/>
    <x v="1"/>
    <s v="Jytte Petersen"/>
    <n v="4007"/>
    <s v="No"/>
    <x v="43"/>
  </r>
  <r>
    <n v="788243"/>
    <n v="1856"/>
    <x v="0"/>
    <d v="2023-10-19T00:00:00"/>
    <x v="19"/>
    <n v="10"/>
    <x v="3"/>
    <x v="3"/>
    <x v="3"/>
    <s v="Georg Pipps"/>
    <n v="1117"/>
    <s v="No"/>
    <x v="61"/>
  </r>
  <r>
    <n v="788263"/>
    <n v="759"/>
    <x v="0"/>
    <d v="2023-01-08T00:00:00"/>
    <x v="121"/>
    <n v="1"/>
    <x v="6"/>
    <x v="9"/>
    <x v="3"/>
    <s v="Arnold Cruz"/>
    <n v="8883"/>
    <s v="No"/>
    <x v="11"/>
  </r>
  <r>
    <n v="788290"/>
    <n v="29"/>
    <x v="4"/>
    <d v="2023-08-29T00:00:00"/>
    <x v="122"/>
    <n v="8"/>
    <x v="2"/>
    <x v="8"/>
    <x v="3"/>
    <s v="Laurence Lebihan"/>
    <n v="9872"/>
    <s v="No"/>
    <x v="11"/>
  </r>
  <r>
    <n v="789675"/>
    <n v="817"/>
    <x v="0"/>
    <d v="2023-10-12T00:00:00"/>
    <x v="123"/>
    <n v="10"/>
    <x v="3"/>
    <x v="3"/>
    <x v="2"/>
    <s v="Valarie Nelson"/>
    <n v="627"/>
    <s v="No"/>
    <x v="36"/>
  </r>
  <r>
    <n v="794197"/>
    <n v="313"/>
    <x v="1"/>
    <d v="2023-09-01T00:00:00"/>
    <x v="100"/>
    <n v="9"/>
    <x v="0"/>
    <x v="10"/>
    <x v="0"/>
    <s v="Dan Lewis"/>
    <n v="4130"/>
    <s v="No"/>
    <x v="57"/>
  </r>
  <r>
    <n v="794297"/>
    <n v="221"/>
    <x v="6"/>
    <d v="2023-07-04T00:00:00"/>
    <x v="0"/>
    <n v="7"/>
    <x v="2"/>
    <x v="6"/>
    <x v="0"/>
    <s v="Julie Brown"/>
    <n v="7199"/>
    <s v="No"/>
    <x v="71"/>
  </r>
  <r>
    <n v="794975"/>
    <n v="738"/>
    <x v="3"/>
    <d v="2023-02-22T00:00:00"/>
    <x v="124"/>
    <n v="2"/>
    <x v="4"/>
    <x v="5"/>
    <x v="3"/>
    <s v="Anna O'Hara"/>
    <n v="1230"/>
    <s v="No"/>
    <x v="5"/>
  </r>
  <r>
    <n v="795216"/>
    <n v="1588"/>
    <x v="3"/>
    <d v="2023-12-08T00:00:00"/>
    <x v="81"/>
    <n v="12"/>
    <x v="0"/>
    <x v="0"/>
    <x v="1"/>
    <s v="Martine Rance"/>
    <n v="1033"/>
    <s v="No"/>
    <x v="8"/>
  </r>
  <r>
    <n v="795276"/>
    <n v="836"/>
    <x v="1"/>
    <d v="2023-04-18T00:00:00"/>
    <x v="125"/>
    <n v="4"/>
    <x v="2"/>
    <x v="1"/>
    <x v="1"/>
    <s v="Henriette Pfalzheim"/>
    <n v="1032"/>
    <s v="No"/>
    <x v="41"/>
  </r>
  <r>
    <n v="797415"/>
    <n v="842"/>
    <x v="3"/>
    <d v="2023-12-09T00:00:00"/>
    <x v="126"/>
    <n v="12"/>
    <x v="1"/>
    <x v="0"/>
    <x v="2"/>
    <s v="Dominique Perrier"/>
    <n v="7700"/>
    <s v="No"/>
    <x v="10"/>
  </r>
  <r>
    <n v="797735"/>
    <n v="1192"/>
    <x v="0"/>
    <d v="2023-12-16T00:00:00"/>
    <x v="7"/>
    <n v="12"/>
    <x v="1"/>
    <x v="0"/>
    <x v="2"/>
    <s v="Martine Rance"/>
    <n v="322"/>
    <s v="No"/>
    <x v="27"/>
  </r>
  <r>
    <n v="797824"/>
    <n v="931"/>
    <x v="0"/>
    <d v="2023-08-26T00:00:00"/>
    <x v="80"/>
    <n v="8"/>
    <x v="1"/>
    <x v="8"/>
    <x v="0"/>
    <s v="Michael Frick"/>
    <n v="7354"/>
    <s v="No"/>
    <x v="30"/>
  </r>
  <r>
    <n v="798176"/>
    <n v="1070"/>
    <x v="5"/>
    <d v="2023-12-23T00:00:00"/>
    <x v="127"/>
    <n v="12"/>
    <x v="1"/>
    <x v="0"/>
    <x v="1"/>
    <s v="Dominique Perrier"/>
    <n v="311"/>
    <s v="No"/>
    <x v="52"/>
  </r>
  <r>
    <n v="799277"/>
    <n v="1432"/>
    <x v="0"/>
    <d v="2023-11-28T00:00:00"/>
    <x v="57"/>
    <n v="11"/>
    <x v="2"/>
    <x v="2"/>
    <x v="3"/>
    <s v="Juri Yoshido"/>
    <n v="9518"/>
    <s v="No"/>
    <x v="35"/>
  </r>
  <r>
    <n v="800145"/>
    <n v="653"/>
    <x v="3"/>
    <d v="2023-04-01T00:00:00"/>
    <x v="35"/>
    <n v="4"/>
    <x v="1"/>
    <x v="1"/>
    <x v="0"/>
    <s v="Miguel Barajas"/>
    <n v="2086"/>
    <s v="No"/>
    <x v="17"/>
  </r>
  <r>
    <n v="800248"/>
    <n v="1360"/>
    <x v="4"/>
    <d v="2023-07-23T00:00:00"/>
    <x v="128"/>
    <n v="7"/>
    <x v="6"/>
    <x v="6"/>
    <x v="2"/>
    <s v="Marie Bertrand"/>
    <n v="4265"/>
    <s v="No"/>
    <x v="28"/>
  </r>
  <r>
    <n v="800421"/>
    <n v="736"/>
    <x v="0"/>
    <d v="2023-07-26T00:00:00"/>
    <x v="23"/>
    <n v="7"/>
    <x v="4"/>
    <x v="6"/>
    <x v="3"/>
    <s v="Matti Karttunen"/>
    <n v="3687"/>
    <s v="No"/>
    <x v="63"/>
  </r>
  <r>
    <n v="801394"/>
    <n v="1922"/>
    <x v="4"/>
    <d v="2023-04-01T00:00:00"/>
    <x v="129"/>
    <n v="4"/>
    <x v="1"/>
    <x v="1"/>
    <x v="0"/>
    <s v="Henriette Pfalzheim"/>
    <n v="5526"/>
    <s v="No"/>
    <x v="0"/>
  </r>
  <r>
    <n v="802352"/>
    <n v="1838"/>
    <x v="0"/>
    <d v="2023-06-09T00:00:00"/>
    <x v="130"/>
    <n v="6"/>
    <x v="0"/>
    <x v="7"/>
    <x v="2"/>
    <s v="Kee Kuo"/>
    <n v="7995"/>
    <s v="No"/>
    <x v="68"/>
  </r>
  <r>
    <n v="804031"/>
    <n v="1267"/>
    <x v="2"/>
    <d v="2023-01-02T00:00:00"/>
    <x v="95"/>
    <n v="1"/>
    <x v="5"/>
    <x v="9"/>
    <x v="0"/>
    <s v="Arnold Cruz"/>
    <n v="9935"/>
    <s v="No"/>
    <x v="14"/>
  </r>
  <r>
    <n v="804076"/>
    <n v="279"/>
    <x v="1"/>
    <d v="2023-08-13T00:00:00"/>
    <x v="97"/>
    <n v="8"/>
    <x v="6"/>
    <x v="8"/>
    <x v="0"/>
    <s v="Peter Ferguson"/>
    <n v="4684"/>
    <s v="No"/>
    <x v="16"/>
  </r>
  <r>
    <n v="804356"/>
    <n v="1586"/>
    <x v="3"/>
    <d v="2023-09-05T00:00:00"/>
    <x v="131"/>
    <n v="9"/>
    <x v="2"/>
    <x v="10"/>
    <x v="1"/>
    <s v="Diego Freyre"/>
    <n v="9054"/>
    <s v="No"/>
    <x v="53"/>
  </r>
  <r>
    <n v="805121"/>
    <n v="704"/>
    <x v="0"/>
    <d v="2023-09-05T00:00:00"/>
    <x v="129"/>
    <n v="9"/>
    <x v="2"/>
    <x v="10"/>
    <x v="2"/>
    <s v="Kalle Suominen"/>
    <n v="6764"/>
    <s v="No"/>
    <x v="15"/>
  </r>
  <r>
    <n v="805282"/>
    <n v="935"/>
    <x v="3"/>
    <d v="2023-08-10T00:00:00"/>
    <x v="54"/>
    <n v="8"/>
    <x v="3"/>
    <x v="8"/>
    <x v="1"/>
    <s v="Diego Freyre"/>
    <n v="7748"/>
    <s v="No"/>
    <x v="4"/>
  </r>
  <r>
    <n v="806906"/>
    <n v="1603"/>
    <x v="0"/>
    <d v="2023-05-12T00:00:00"/>
    <x v="27"/>
    <n v="5"/>
    <x v="0"/>
    <x v="11"/>
    <x v="2"/>
    <s v="Valarie Nelson"/>
    <n v="585"/>
    <s v="No"/>
    <x v="38"/>
  </r>
  <r>
    <n v="807901"/>
    <n v="768"/>
    <x v="0"/>
    <d v="2023-02-14T00:00:00"/>
    <x v="109"/>
    <n v="2"/>
    <x v="2"/>
    <x v="5"/>
    <x v="0"/>
    <s v="Elizabeth Devon"/>
    <n v="1538"/>
    <s v="No"/>
    <x v="4"/>
  </r>
  <r>
    <n v="808278"/>
    <n v="1796"/>
    <x v="13"/>
    <d v="2023-09-25T00:00:00"/>
    <x v="101"/>
    <n v="9"/>
    <x v="5"/>
    <x v="10"/>
    <x v="2"/>
    <s v="Giovanni Rovelli"/>
    <n v="1968"/>
    <s v="No"/>
    <x v="46"/>
  </r>
  <r>
    <n v="808789"/>
    <n v="1538"/>
    <x v="0"/>
    <d v="2023-07-16T00:00:00"/>
    <x v="71"/>
    <n v="7"/>
    <x v="6"/>
    <x v="6"/>
    <x v="1"/>
    <s v="Georg Pipps"/>
    <n v="5681"/>
    <s v="No"/>
    <x v="29"/>
  </r>
  <r>
    <n v="810114"/>
    <n v="62"/>
    <x v="0"/>
    <d v="2023-06-04T00:00:00"/>
    <x v="132"/>
    <n v="6"/>
    <x v="6"/>
    <x v="7"/>
    <x v="3"/>
    <s v="Leslie Taylor"/>
    <n v="2084"/>
    <s v="No"/>
    <x v="53"/>
  </r>
  <r>
    <n v="812395"/>
    <n v="717"/>
    <x v="6"/>
    <d v="2023-08-01T00:00:00"/>
    <x v="56"/>
    <n v="8"/>
    <x v="2"/>
    <x v="8"/>
    <x v="0"/>
    <s v="Wing C Tam"/>
    <n v="9421"/>
    <s v="No"/>
    <x v="70"/>
  </r>
  <r>
    <n v="812558"/>
    <n v="1160"/>
    <x v="6"/>
    <d v="2023-06-23T00:00:00"/>
    <x v="130"/>
    <n v="6"/>
    <x v="0"/>
    <x v="7"/>
    <x v="3"/>
    <s v="Matti Karttunen"/>
    <n v="4185"/>
    <s v="No"/>
    <x v="30"/>
  </r>
  <r>
    <n v="812612"/>
    <n v="509"/>
    <x v="3"/>
    <d v="2023-11-26T00:00:00"/>
    <x v="103"/>
    <n v="11"/>
    <x v="6"/>
    <x v="2"/>
    <x v="1"/>
    <s v="Maria Larsson"/>
    <n v="3471"/>
    <s v="No"/>
    <x v="32"/>
  </r>
  <r>
    <n v="812864"/>
    <n v="1007"/>
    <x v="0"/>
    <d v="2023-08-11T00:00:00"/>
    <x v="10"/>
    <n v="8"/>
    <x v="0"/>
    <x v="8"/>
    <x v="2"/>
    <s v="Annette Roulet"/>
    <n v="9730"/>
    <s v="No"/>
    <x v="14"/>
  </r>
  <r>
    <n v="813036"/>
    <n v="22"/>
    <x v="4"/>
    <d v="2023-11-18T00:00:00"/>
    <x v="119"/>
    <n v="11"/>
    <x v="1"/>
    <x v="2"/>
    <x v="3"/>
    <s v="Thomas Hardy"/>
    <n v="5132"/>
    <s v="No"/>
    <x v="61"/>
  </r>
  <r>
    <n v="813819"/>
    <n v="437"/>
    <x v="0"/>
    <d v="2023-02-24T00:00:00"/>
    <x v="69"/>
    <n v="2"/>
    <x v="0"/>
    <x v="5"/>
    <x v="3"/>
    <s v="Eduardo Saavedra"/>
    <n v="8001"/>
    <s v="No"/>
    <x v="13"/>
  </r>
  <r>
    <n v="813822"/>
    <n v="894"/>
    <x v="6"/>
    <d v="2023-04-14T00:00:00"/>
    <x v="133"/>
    <n v="4"/>
    <x v="0"/>
    <x v="1"/>
    <x v="1"/>
    <s v="Michael Chandler"/>
    <n v="3283"/>
    <s v="No"/>
    <x v="2"/>
  </r>
  <r>
    <n v="814175"/>
    <n v="836"/>
    <x v="1"/>
    <d v="2023-03-30T00:00:00"/>
    <x v="44"/>
    <n v="3"/>
    <x v="3"/>
    <x v="4"/>
    <x v="2"/>
    <s v="Valarie Thompson"/>
    <n v="7467"/>
    <s v="No"/>
    <x v="41"/>
  </r>
  <r>
    <n v="814705"/>
    <n v="1590"/>
    <x v="5"/>
    <d v="2023-04-08T00:00:00"/>
    <x v="108"/>
    <n v="4"/>
    <x v="1"/>
    <x v="1"/>
    <x v="1"/>
    <s v="Kyung Tseng"/>
    <n v="6227"/>
    <s v="No"/>
    <x v="45"/>
  </r>
  <r>
    <n v="816536"/>
    <n v="1147"/>
    <x v="3"/>
    <d v="2023-09-11T00:00:00"/>
    <x v="134"/>
    <n v="9"/>
    <x v="5"/>
    <x v="10"/>
    <x v="1"/>
    <s v="Diego Freyre"/>
    <n v="5485"/>
    <s v="No"/>
    <x v="62"/>
  </r>
  <r>
    <n v="817610"/>
    <n v="493"/>
    <x v="0"/>
    <d v="2023-01-04T00:00:00"/>
    <x v="135"/>
    <n v="1"/>
    <x v="4"/>
    <x v="9"/>
    <x v="2"/>
    <s v="Catherine Dewey"/>
    <n v="4047"/>
    <s v="No"/>
    <x v="43"/>
  </r>
  <r>
    <n v="818956"/>
    <n v="857"/>
    <x v="0"/>
    <d v="2023-07-05T00:00:00"/>
    <x v="21"/>
    <n v="7"/>
    <x v="4"/>
    <x v="6"/>
    <x v="1"/>
    <s v="Elizabeth Lincoln"/>
    <n v="1268"/>
    <s v="No"/>
    <x v="6"/>
  </r>
  <r>
    <n v="821575"/>
    <n v="1215"/>
    <x v="0"/>
    <d v="2023-01-11T00:00:00"/>
    <x v="73"/>
    <n v="1"/>
    <x v="4"/>
    <x v="9"/>
    <x v="2"/>
    <s v="Michael Donnermeyer"/>
    <n v="4655"/>
    <s v="No"/>
    <x v="19"/>
  </r>
  <r>
    <n v="822544"/>
    <n v="1930"/>
    <x v="0"/>
    <d v="2023-09-04T00:00:00"/>
    <x v="23"/>
    <n v="9"/>
    <x v="5"/>
    <x v="10"/>
    <x v="0"/>
    <s v="Francisca Cervantes"/>
    <n v="708"/>
    <s v="No"/>
    <x v="28"/>
  </r>
  <r>
    <n v="822906"/>
    <n v="882"/>
    <x v="5"/>
    <d v="2023-10-02T00:00:00"/>
    <x v="50"/>
    <n v="10"/>
    <x v="5"/>
    <x v="3"/>
    <x v="3"/>
    <s v="Helen Bennett"/>
    <n v="8093"/>
    <s v="No"/>
    <x v="1"/>
  </r>
  <r>
    <n v="823294"/>
    <n v="1466"/>
    <x v="12"/>
    <d v="2023-12-01T00:00:00"/>
    <x v="136"/>
    <n v="12"/>
    <x v="0"/>
    <x v="0"/>
    <x v="3"/>
    <s v="Giovanni Rovelli"/>
    <n v="255"/>
    <s v="No"/>
    <x v="36"/>
  </r>
  <r>
    <n v="823885"/>
    <n v="687"/>
    <x v="3"/>
    <d v="2023-05-08T00:00:00"/>
    <x v="121"/>
    <n v="5"/>
    <x v="5"/>
    <x v="11"/>
    <x v="1"/>
    <s v="Pascale Cartrain"/>
    <n v="5519"/>
    <s v="No"/>
    <x v="63"/>
  </r>
  <r>
    <n v="823894"/>
    <n v="700"/>
    <x v="0"/>
    <d v="2023-04-17T00:00:00"/>
    <x v="28"/>
    <n v="4"/>
    <x v="5"/>
    <x v="1"/>
    <x v="2"/>
    <s v="Ann Brown"/>
    <n v="1666"/>
    <s v="No"/>
    <x v="62"/>
  </r>
  <r>
    <n v="824383"/>
    <n v="1728"/>
    <x v="3"/>
    <d v="2023-01-02T00:00:00"/>
    <x v="88"/>
    <n v="1"/>
    <x v="5"/>
    <x v="9"/>
    <x v="2"/>
    <s v="Pirkko Koskitalo"/>
    <n v="66"/>
    <s v="No"/>
    <x v="18"/>
  </r>
  <r>
    <n v="824598"/>
    <n v="189"/>
    <x v="0"/>
    <d v="2023-11-23T00:00:00"/>
    <x v="35"/>
    <n v="11"/>
    <x v="3"/>
    <x v="2"/>
    <x v="0"/>
    <s v="Diego Freyre"/>
    <n v="5989"/>
    <s v="No"/>
    <x v="0"/>
  </r>
  <r>
    <n v="825270"/>
    <n v="926"/>
    <x v="0"/>
    <d v="2023-01-13T00:00:00"/>
    <x v="137"/>
    <n v="1"/>
    <x v="0"/>
    <x v="9"/>
    <x v="3"/>
    <s v="Paul Henriot"/>
    <n v="9917"/>
    <s v="No"/>
    <x v="11"/>
  </r>
  <r>
    <n v="825424"/>
    <n v="916"/>
    <x v="3"/>
    <d v="2023-06-17T00:00:00"/>
    <x v="0"/>
    <n v="6"/>
    <x v="1"/>
    <x v="7"/>
    <x v="1"/>
    <s v="Sue Frick"/>
    <n v="7143"/>
    <s v="No"/>
    <x v="57"/>
  </r>
  <r>
    <n v="829148"/>
    <n v="1294"/>
    <x v="3"/>
    <d v="2023-01-17T00:00:00"/>
    <x v="21"/>
    <n v="1"/>
    <x v="2"/>
    <x v="9"/>
    <x v="1"/>
    <s v="Sean Connery"/>
    <n v="2908"/>
    <s v="No"/>
    <x v="26"/>
  </r>
  <r>
    <n v="829375"/>
    <n v="956"/>
    <x v="3"/>
    <d v="2023-09-14T00:00:00"/>
    <x v="61"/>
    <n v="9"/>
    <x v="3"/>
    <x v="10"/>
    <x v="0"/>
    <s v="Diego Freyre"/>
    <n v="1515"/>
    <s v="No"/>
    <x v="18"/>
  </r>
  <r>
    <n v="831130"/>
    <n v="315"/>
    <x v="1"/>
    <d v="2023-09-11T00:00:00"/>
    <x v="67"/>
    <n v="9"/>
    <x v="5"/>
    <x v="10"/>
    <x v="2"/>
    <s v="Eric Natividad"/>
    <n v="7205"/>
    <s v="No"/>
    <x v="67"/>
  </r>
  <r>
    <n v="831821"/>
    <n v="609"/>
    <x v="0"/>
    <d v="2023-05-23T00:00:00"/>
    <x v="67"/>
    <n v="5"/>
    <x v="2"/>
    <x v="11"/>
    <x v="3"/>
    <s v="Jeff Young"/>
    <n v="1827"/>
    <s v="No"/>
    <x v="27"/>
  </r>
  <r>
    <n v="831974"/>
    <n v="548"/>
    <x v="0"/>
    <d v="2023-12-26T00:00:00"/>
    <x v="73"/>
    <n v="12"/>
    <x v="2"/>
    <x v="0"/>
    <x v="2"/>
    <s v="Valarie Nelson"/>
    <n v="6182"/>
    <s v="No"/>
    <x v="68"/>
  </r>
  <r>
    <n v="832154"/>
    <n v="1586"/>
    <x v="3"/>
    <d v="2023-05-15T00:00:00"/>
    <x v="42"/>
    <n v="5"/>
    <x v="5"/>
    <x v="11"/>
    <x v="0"/>
    <s v="Tony Calaghan"/>
    <n v="1928"/>
    <s v="No"/>
    <x v="53"/>
  </r>
  <r>
    <n v="832361"/>
    <n v="1891"/>
    <x v="5"/>
    <d v="2023-02-25T00:00:00"/>
    <x v="0"/>
    <n v="2"/>
    <x v="1"/>
    <x v="5"/>
    <x v="0"/>
    <s v="Eric Natividad"/>
    <n v="6245"/>
    <s v="No"/>
    <x v="26"/>
  </r>
  <r>
    <n v="832627"/>
    <n v="1634"/>
    <x v="4"/>
    <d v="2023-06-18T00:00:00"/>
    <x v="138"/>
    <n v="6"/>
    <x v="6"/>
    <x v="7"/>
    <x v="0"/>
    <s v="Maurizio Moroni"/>
    <n v="1375"/>
    <s v="No"/>
    <x v="6"/>
  </r>
  <r>
    <n v="833286"/>
    <n v="1797"/>
    <x v="0"/>
    <d v="2023-12-16T00:00:00"/>
    <x v="38"/>
    <n v="12"/>
    <x v="1"/>
    <x v="0"/>
    <x v="1"/>
    <s v="Wing C Tam"/>
    <n v="1274"/>
    <s v="No"/>
    <x v="23"/>
  </r>
  <r>
    <n v="833957"/>
    <n v="1398"/>
    <x v="13"/>
    <d v="2023-12-24T00:00:00"/>
    <x v="139"/>
    <n v="12"/>
    <x v="6"/>
    <x v="0"/>
    <x v="2"/>
    <s v="Leslie Murphy"/>
    <n v="4953"/>
    <s v="No"/>
    <x v="60"/>
  </r>
  <r>
    <n v="834746"/>
    <n v="1204"/>
    <x v="0"/>
    <d v="2023-03-14T00:00:00"/>
    <x v="93"/>
    <n v="3"/>
    <x v="2"/>
    <x v="4"/>
    <x v="1"/>
    <s v="Valarie Franco"/>
    <n v="3237"/>
    <s v="No"/>
    <x v="20"/>
  </r>
  <r>
    <n v="835376"/>
    <n v="1936"/>
    <x v="6"/>
    <d v="2023-03-23T00:00:00"/>
    <x v="54"/>
    <n v="3"/>
    <x v="3"/>
    <x v="4"/>
    <x v="3"/>
    <s v="Dean Cassidy"/>
    <n v="6418"/>
    <s v="No"/>
    <x v="61"/>
  </r>
  <r>
    <n v="837272"/>
    <n v="924"/>
    <x v="1"/>
    <d v="2023-04-07T00:00:00"/>
    <x v="44"/>
    <n v="4"/>
    <x v="0"/>
    <x v="1"/>
    <x v="3"/>
    <s v="Roland Keitel"/>
    <n v="3774"/>
    <s v="No"/>
    <x v="71"/>
  </r>
  <r>
    <n v="837273"/>
    <n v="226"/>
    <x v="0"/>
    <d v="2023-12-13T00:00:00"/>
    <x v="134"/>
    <n v="12"/>
    <x v="4"/>
    <x v="0"/>
    <x v="0"/>
    <s v="Kalle Suominen"/>
    <n v="2647"/>
    <s v="No"/>
    <x v="34"/>
  </r>
  <r>
    <n v="837435"/>
    <n v="670"/>
    <x v="6"/>
    <d v="2023-09-04T00:00:00"/>
    <x v="94"/>
    <n v="9"/>
    <x v="5"/>
    <x v="10"/>
    <x v="1"/>
    <s v="Kyung Yu"/>
    <n v="4671"/>
    <s v="No"/>
    <x v="56"/>
  </r>
  <r>
    <n v="837592"/>
    <n v="1839"/>
    <x v="7"/>
    <d v="2023-01-06T00:00:00"/>
    <x v="102"/>
    <n v="1"/>
    <x v="0"/>
    <x v="9"/>
    <x v="3"/>
    <s v="Valarie Nelson"/>
    <n v="4917"/>
    <s v="No"/>
    <x v="19"/>
  </r>
  <r>
    <n v="837731"/>
    <n v="783"/>
    <x v="0"/>
    <d v="2023-08-28T00:00:00"/>
    <x v="140"/>
    <n v="8"/>
    <x v="5"/>
    <x v="8"/>
    <x v="0"/>
    <s v="Kwai Yu"/>
    <n v="3632"/>
    <s v="No"/>
    <x v="53"/>
  </r>
  <r>
    <n v="839161"/>
    <n v="1055"/>
    <x v="1"/>
    <d v="2023-08-22T00:00:00"/>
    <x v="85"/>
    <n v="8"/>
    <x v="2"/>
    <x v="8"/>
    <x v="3"/>
    <s v="Victoria Ashworth"/>
    <n v="9736"/>
    <s v="No"/>
    <x v="29"/>
  </r>
  <r>
    <n v="840518"/>
    <n v="1150"/>
    <x v="0"/>
    <d v="2023-09-25T00:00:00"/>
    <x v="27"/>
    <n v="9"/>
    <x v="5"/>
    <x v="10"/>
    <x v="0"/>
    <s v="Palle Ibsen"/>
    <n v="4427"/>
    <s v="No"/>
    <x v="55"/>
  </r>
  <r>
    <n v="840743"/>
    <n v="736"/>
    <x v="0"/>
    <d v="2023-11-01T00:00:00"/>
    <x v="141"/>
    <n v="11"/>
    <x v="4"/>
    <x v="2"/>
    <x v="2"/>
    <s v="Michael Frick"/>
    <n v="3437"/>
    <s v="No"/>
    <x v="63"/>
  </r>
  <r>
    <n v="841079"/>
    <n v="1350"/>
    <x v="4"/>
    <d v="2023-07-03T00:00:00"/>
    <x v="142"/>
    <n v="7"/>
    <x v="5"/>
    <x v="6"/>
    <x v="0"/>
    <s v="Maria Hernandez"/>
    <n v="9133"/>
    <s v="No"/>
    <x v="66"/>
  </r>
  <r>
    <n v="841572"/>
    <n v="622"/>
    <x v="1"/>
    <d v="2023-02-28T00:00:00"/>
    <x v="106"/>
    <n v="2"/>
    <x v="2"/>
    <x v="5"/>
    <x v="3"/>
    <s v="Jeff Young"/>
    <n v="7748"/>
    <s v="No"/>
    <x v="37"/>
  </r>
  <r>
    <n v="844238"/>
    <n v="16"/>
    <x v="8"/>
    <d v="2023-07-24T00:00:00"/>
    <x v="51"/>
    <n v="7"/>
    <x v="5"/>
    <x v="6"/>
    <x v="3"/>
    <s v="Diego Freyre"/>
    <n v="4887"/>
    <s v="No"/>
    <x v="49"/>
  </r>
  <r>
    <n v="844243"/>
    <n v="1897"/>
    <x v="0"/>
    <d v="2023-08-18T00:00:00"/>
    <x v="55"/>
    <n v="8"/>
    <x v="0"/>
    <x v="8"/>
    <x v="0"/>
    <s v="Akiko Shimamura"/>
    <n v="911"/>
    <s v="No"/>
    <x v="9"/>
  </r>
  <r>
    <n v="844669"/>
    <n v="1599"/>
    <x v="0"/>
    <d v="2023-10-03T00:00:00"/>
    <x v="48"/>
    <n v="10"/>
    <x v="2"/>
    <x v="3"/>
    <x v="2"/>
    <s v="Diego Freyre"/>
    <n v="3252"/>
    <s v="No"/>
    <x v="49"/>
  </r>
  <r>
    <n v="844797"/>
    <n v="1785"/>
    <x v="5"/>
    <d v="2023-11-01T00:00:00"/>
    <x v="143"/>
    <n v="11"/>
    <x v="4"/>
    <x v="2"/>
    <x v="1"/>
    <s v="Diego Freyre"/>
    <n v="4452"/>
    <s v="No"/>
    <x v="53"/>
  </r>
  <r>
    <n v="844829"/>
    <n v="1597"/>
    <x v="13"/>
    <d v="2023-02-06T00:00:00"/>
    <x v="53"/>
    <n v="2"/>
    <x v="5"/>
    <x v="5"/>
    <x v="2"/>
    <s v="Julie King"/>
    <n v="6954"/>
    <s v="No"/>
    <x v="60"/>
  </r>
  <r>
    <n v="845718"/>
    <n v="90"/>
    <x v="0"/>
    <d v="2023-02-15T00:00:00"/>
    <x v="144"/>
    <n v="2"/>
    <x v="4"/>
    <x v="5"/>
    <x v="0"/>
    <s v="Valarie Young"/>
    <n v="1208"/>
    <s v="No"/>
    <x v="68"/>
  </r>
  <r>
    <n v="845773"/>
    <n v="509"/>
    <x v="3"/>
    <d v="2023-10-20T00:00:00"/>
    <x v="67"/>
    <n v="10"/>
    <x v="0"/>
    <x v="3"/>
    <x v="0"/>
    <s v="Victoria Ashworth"/>
    <n v="1906"/>
    <s v="No"/>
    <x v="32"/>
  </r>
  <r>
    <n v="846161"/>
    <n v="458"/>
    <x v="10"/>
    <d v="2023-07-17T00:00:00"/>
    <x v="72"/>
    <n v="7"/>
    <x v="5"/>
    <x v="6"/>
    <x v="1"/>
    <s v="Sue King"/>
    <n v="2523"/>
    <s v="No"/>
    <x v="52"/>
  </r>
  <r>
    <n v="846198"/>
    <n v="312"/>
    <x v="2"/>
    <d v="2023-11-05T00:00:00"/>
    <x v="114"/>
    <n v="11"/>
    <x v="6"/>
    <x v="2"/>
    <x v="0"/>
    <s v="Anna O'Hara"/>
    <n v="9762"/>
    <s v="No"/>
    <x v="4"/>
  </r>
  <r>
    <n v="846209"/>
    <n v="1271"/>
    <x v="3"/>
    <d v="2023-02-20T00:00:00"/>
    <x v="28"/>
    <n v="2"/>
    <x v="5"/>
    <x v="5"/>
    <x v="2"/>
    <s v="Julie Brown"/>
    <n v="9945"/>
    <s v="No"/>
    <x v="64"/>
  </r>
  <r>
    <n v="846419"/>
    <n v="1731"/>
    <x v="4"/>
    <d v="2023-06-03T00:00:00"/>
    <x v="145"/>
    <n v="6"/>
    <x v="1"/>
    <x v="7"/>
    <x v="3"/>
    <s v="Giovanni Rovelli"/>
    <n v="3664"/>
    <s v="No"/>
    <x v="48"/>
  </r>
  <r>
    <n v="846919"/>
    <n v="338"/>
    <x v="1"/>
    <d v="2023-08-20T00:00:00"/>
    <x v="131"/>
    <n v="8"/>
    <x v="6"/>
    <x v="8"/>
    <x v="2"/>
    <s v="Valarie Nelson"/>
    <n v="2100"/>
    <s v="No"/>
    <x v="66"/>
  </r>
  <r>
    <n v="847595"/>
    <n v="558"/>
    <x v="1"/>
    <d v="2023-07-08T00:00:00"/>
    <x v="142"/>
    <n v="7"/>
    <x v="1"/>
    <x v="6"/>
    <x v="0"/>
    <s v="Sean Connery"/>
    <n v="7327"/>
    <s v="No"/>
    <x v="54"/>
  </r>
  <r>
    <n v="848551"/>
    <n v="330"/>
    <x v="1"/>
    <d v="2023-01-25T00:00:00"/>
    <x v="19"/>
    <n v="1"/>
    <x v="4"/>
    <x v="9"/>
    <x v="1"/>
    <s v="Jeff Young"/>
    <n v="6624"/>
    <s v="No"/>
    <x v="64"/>
  </r>
  <r>
    <n v="848868"/>
    <n v="1010"/>
    <x v="4"/>
    <d v="2023-07-25T00:00:00"/>
    <x v="146"/>
    <n v="7"/>
    <x v="2"/>
    <x v="6"/>
    <x v="3"/>
    <s v="Thomas Hardy"/>
    <n v="7710"/>
    <s v="No"/>
    <x v="9"/>
  </r>
  <r>
    <n v="849992"/>
    <n v="445"/>
    <x v="0"/>
    <d v="2023-01-14T00:00:00"/>
    <x v="144"/>
    <n v="1"/>
    <x v="1"/>
    <x v="9"/>
    <x v="1"/>
    <s v="Mary Saveley"/>
    <n v="4522"/>
    <s v="No"/>
    <x v="59"/>
  </r>
  <r>
    <n v="850051"/>
    <n v="1914"/>
    <x v="6"/>
    <d v="2023-10-31T00:00:00"/>
    <x v="1"/>
    <n v="10"/>
    <x v="2"/>
    <x v="3"/>
    <x v="3"/>
    <s v="Frederique Citeaux"/>
    <n v="6638"/>
    <s v="No"/>
    <x v="6"/>
  </r>
  <r>
    <n v="850122"/>
    <n v="1112"/>
    <x v="4"/>
    <d v="2023-06-19T00:00:00"/>
    <x v="118"/>
    <n v="6"/>
    <x v="5"/>
    <x v="7"/>
    <x v="2"/>
    <s v="Paolo Accorti"/>
    <n v="8887"/>
    <s v="No"/>
    <x v="35"/>
  </r>
  <r>
    <n v="850897"/>
    <n v="297"/>
    <x v="1"/>
    <d v="2023-05-10T00:00:00"/>
    <x v="51"/>
    <n v="5"/>
    <x v="4"/>
    <x v="11"/>
    <x v="1"/>
    <s v="Wendy Victorino"/>
    <n v="975"/>
    <s v="No"/>
    <x v="5"/>
  </r>
  <r>
    <n v="854481"/>
    <n v="712"/>
    <x v="0"/>
    <d v="2023-12-18T00:00:00"/>
    <x v="147"/>
    <n v="12"/>
    <x v="5"/>
    <x v="0"/>
    <x v="0"/>
    <s v="Elizabeth Devon"/>
    <n v="1745"/>
    <s v="No"/>
    <x v="70"/>
  </r>
  <r>
    <n v="857496"/>
    <n v="597"/>
    <x v="3"/>
    <d v="2023-03-12T00:00:00"/>
    <x v="121"/>
    <n v="3"/>
    <x v="6"/>
    <x v="4"/>
    <x v="2"/>
    <s v="Diego Freyre"/>
    <n v="4933"/>
    <s v="No"/>
    <x v="64"/>
  </r>
  <r>
    <n v="858083"/>
    <n v="569"/>
    <x v="0"/>
    <d v="2023-03-19T00:00:00"/>
    <x v="148"/>
    <n v="3"/>
    <x v="6"/>
    <x v="4"/>
    <x v="2"/>
    <s v="Victoria Ashworth"/>
    <n v="5575"/>
    <s v="No"/>
    <x v="14"/>
  </r>
  <r>
    <n v="858912"/>
    <n v="1105"/>
    <x v="3"/>
    <d v="2023-06-09T00:00:00"/>
    <x v="149"/>
    <n v="6"/>
    <x v="0"/>
    <x v="7"/>
    <x v="0"/>
    <s v="Laurence Lebihan"/>
    <n v="4421"/>
    <s v="No"/>
    <x v="33"/>
  </r>
  <r>
    <n v="859166"/>
    <n v="982"/>
    <x v="0"/>
    <d v="2023-06-26T00:00:00"/>
    <x v="92"/>
    <n v="6"/>
    <x v="5"/>
    <x v="7"/>
    <x v="3"/>
    <s v="Julie Young"/>
    <n v="34"/>
    <s v="No"/>
    <x v="31"/>
  </r>
  <r>
    <n v="860417"/>
    <n v="1546"/>
    <x v="9"/>
    <d v="2023-12-20T00:00:00"/>
    <x v="32"/>
    <n v="12"/>
    <x v="4"/>
    <x v="0"/>
    <x v="2"/>
    <s v="Diego Freyre"/>
    <n v="2332"/>
    <s v="No"/>
    <x v="19"/>
  </r>
  <r>
    <n v="860659"/>
    <n v="1635"/>
    <x v="0"/>
    <d v="2023-11-17T00:00:00"/>
    <x v="150"/>
    <n v="11"/>
    <x v="0"/>
    <x v="2"/>
    <x v="3"/>
    <s v="Sue Frick"/>
    <n v="9192"/>
    <s v="No"/>
    <x v="10"/>
  </r>
  <r>
    <n v="861120"/>
    <n v="1274"/>
    <x v="0"/>
    <d v="2023-06-23T00:00:00"/>
    <x v="151"/>
    <n v="6"/>
    <x v="0"/>
    <x v="7"/>
    <x v="1"/>
    <s v="Adrian Huxley"/>
    <n v="6826"/>
    <s v="No"/>
    <x v="61"/>
  </r>
  <r>
    <n v="861875"/>
    <n v="1398"/>
    <x v="13"/>
    <d v="2023-05-12T00:00:00"/>
    <x v="85"/>
    <n v="5"/>
    <x v="0"/>
    <x v="11"/>
    <x v="1"/>
    <s v="Jytte Petersen"/>
    <n v="3774"/>
    <s v="No"/>
    <x v="60"/>
  </r>
  <r>
    <n v="862127"/>
    <n v="1388"/>
    <x v="5"/>
    <d v="2023-08-02T00:00:00"/>
    <x v="83"/>
    <n v="8"/>
    <x v="4"/>
    <x v="8"/>
    <x v="1"/>
    <s v="Eric Natividad"/>
    <n v="891"/>
    <s v="No"/>
    <x v="48"/>
  </r>
  <r>
    <n v="862595"/>
    <n v="1734"/>
    <x v="0"/>
    <d v="2023-06-24T00:00:00"/>
    <x v="77"/>
    <n v="6"/>
    <x v="1"/>
    <x v="7"/>
    <x v="0"/>
    <s v="Diego Freyre"/>
    <n v="2309"/>
    <s v="No"/>
    <x v="14"/>
  </r>
  <r>
    <n v="862868"/>
    <n v="872"/>
    <x v="3"/>
    <d v="2023-06-17T00:00:00"/>
    <x v="27"/>
    <n v="6"/>
    <x v="1"/>
    <x v="7"/>
    <x v="3"/>
    <s v="Valarie Nelson"/>
    <n v="735"/>
    <s v="No"/>
    <x v="1"/>
  </r>
  <r>
    <n v="863202"/>
    <n v="1103"/>
    <x v="1"/>
    <d v="2023-08-21T00:00:00"/>
    <x v="124"/>
    <n v="8"/>
    <x v="5"/>
    <x v="8"/>
    <x v="1"/>
    <s v="Diego Freyre"/>
    <n v="5136"/>
    <s v="No"/>
    <x v="24"/>
  </r>
  <r>
    <n v="863877"/>
    <n v="1217"/>
    <x v="0"/>
    <d v="2023-12-15T00:00:00"/>
    <x v="44"/>
    <n v="12"/>
    <x v="0"/>
    <x v="0"/>
    <x v="2"/>
    <s v="Violeta Benitez"/>
    <n v="509"/>
    <s v="No"/>
    <x v="17"/>
  </r>
  <r>
    <n v="864174"/>
    <n v="1442"/>
    <x v="0"/>
    <d v="2023-04-11T00:00:00"/>
    <x v="59"/>
    <n v="4"/>
    <x v="2"/>
    <x v="1"/>
    <x v="2"/>
    <s v="Jesus Fernandez"/>
    <n v="1523"/>
    <s v="No"/>
    <x v="43"/>
  </r>
  <r>
    <n v="864744"/>
    <n v="709"/>
    <x v="3"/>
    <d v="2023-01-29T00:00:00"/>
    <x v="101"/>
    <n v="1"/>
    <x v="6"/>
    <x v="9"/>
    <x v="0"/>
    <s v="Wing C Tam"/>
    <n v="2914"/>
    <s v="No"/>
    <x v="30"/>
  </r>
  <r>
    <n v="864760"/>
    <n v="1777"/>
    <x v="0"/>
    <d v="2023-09-26T00:00:00"/>
    <x v="32"/>
    <n v="9"/>
    <x v="2"/>
    <x v="10"/>
    <x v="3"/>
    <s v="Eduardo Saavedra"/>
    <n v="1621"/>
    <s v="No"/>
    <x v="30"/>
  </r>
  <r>
    <n v="865712"/>
    <n v="599"/>
    <x v="6"/>
    <d v="2023-09-05T00:00:00"/>
    <x v="152"/>
    <n v="9"/>
    <x v="2"/>
    <x v="10"/>
    <x v="2"/>
    <s v="Mary Saveley"/>
    <n v="8680"/>
    <s v="No"/>
    <x v="24"/>
  </r>
  <r>
    <n v="866403"/>
    <n v="417"/>
    <x v="3"/>
    <d v="2023-07-02T00:00:00"/>
    <x v="153"/>
    <n v="7"/>
    <x v="6"/>
    <x v="6"/>
    <x v="2"/>
    <s v="Catherine Dewey"/>
    <n v="122"/>
    <s v="No"/>
    <x v="62"/>
  </r>
  <r>
    <n v="867012"/>
    <n v="557"/>
    <x v="7"/>
    <d v="2023-02-26T00:00:00"/>
    <x v="61"/>
    <n v="2"/>
    <x v="6"/>
    <x v="5"/>
    <x v="3"/>
    <s v="Helen Bennett"/>
    <n v="7900"/>
    <s v="No"/>
    <x v="58"/>
  </r>
  <r>
    <n v="867108"/>
    <n v="1310"/>
    <x v="4"/>
    <d v="2023-08-09T00:00:00"/>
    <x v="84"/>
    <n v="8"/>
    <x v="4"/>
    <x v="8"/>
    <x v="0"/>
    <s v="Kwai Yu"/>
    <n v="9531"/>
    <s v="No"/>
    <x v="41"/>
  </r>
  <r>
    <n v="867276"/>
    <n v="360"/>
    <x v="1"/>
    <d v="2023-01-12T00:00:00"/>
    <x v="130"/>
    <n v="1"/>
    <x v="3"/>
    <x v="9"/>
    <x v="3"/>
    <s v="Jean Fresnisre"/>
    <n v="6820"/>
    <s v="No"/>
    <x v="24"/>
  </r>
  <r>
    <n v="867382"/>
    <n v="1007"/>
    <x v="0"/>
    <d v="2023-01-28T00:00:00"/>
    <x v="67"/>
    <n v="1"/>
    <x v="1"/>
    <x v="9"/>
    <x v="2"/>
    <s v="Catherine Dewey"/>
    <n v="2855"/>
    <s v="No"/>
    <x v="14"/>
  </r>
  <r>
    <n v="869884"/>
    <n v="1701"/>
    <x v="0"/>
    <d v="2023-11-26T00:00:00"/>
    <x v="35"/>
    <n v="11"/>
    <x v="6"/>
    <x v="2"/>
    <x v="1"/>
    <s v="Elizabeth Lincoln"/>
    <n v="4256"/>
    <s v="No"/>
    <x v="10"/>
  </r>
  <r>
    <n v="869899"/>
    <n v="623"/>
    <x v="1"/>
    <d v="2023-06-20T00:00:00"/>
    <x v="109"/>
    <n v="6"/>
    <x v="2"/>
    <x v="7"/>
    <x v="3"/>
    <s v="Paolo Accorti"/>
    <n v="7143"/>
    <s v="No"/>
    <x v="16"/>
  </r>
  <r>
    <n v="870081"/>
    <n v="1667"/>
    <x v="3"/>
    <d v="2023-06-22T00:00:00"/>
    <x v="42"/>
    <n v="6"/>
    <x v="3"/>
    <x v="7"/>
    <x v="2"/>
    <s v="Victoria Ashworth"/>
    <n v="1176"/>
    <s v="No"/>
    <x v="38"/>
  </r>
  <r>
    <n v="870973"/>
    <n v="429"/>
    <x v="7"/>
    <d v="2023-10-26T00:00:00"/>
    <x v="154"/>
    <n v="10"/>
    <x v="3"/>
    <x v="3"/>
    <x v="3"/>
    <s v="Janine Labrune"/>
    <n v="2728"/>
    <s v="No"/>
    <x v="30"/>
  </r>
  <r>
    <n v="871057"/>
    <n v="52"/>
    <x v="0"/>
    <d v="2023-11-10T00:00:00"/>
    <x v="39"/>
    <n v="11"/>
    <x v="0"/>
    <x v="2"/>
    <x v="2"/>
    <s v="Christina Berglund"/>
    <n v="6246"/>
    <s v="No"/>
    <x v="21"/>
  </r>
  <r>
    <n v="871258"/>
    <n v="461"/>
    <x v="6"/>
    <d v="2023-05-26T00:00:00"/>
    <x v="21"/>
    <n v="5"/>
    <x v="0"/>
    <x v="11"/>
    <x v="3"/>
    <s v="Maria Hernandez"/>
    <n v="2564"/>
    <s v="No"/>
    <x v="55"/>
  </r>
  <r>
    <n v="872066"/>
    <n v="510"/>
    <x v="0"/>
    <d v="2023-10-04T00:00:00"/>
    <x v="43"/>
    <n v="10"/>
    <x v="4"/>
    <x v="3"/>
    <x v="3"/>
    <s v="Diego Freyre"/>
    <n v="7354"/>
    <s v="No"/>
    <x v="36"/>
  </r>
  <r>
    <n v="874091"/>
    <n v="1236"/>
    <x v="0"/>
    <d v="2023-07-14T00:00:00"/>
    <x v="140"/>
    <n v="7"/>
    <x v="0"/>
    <x v="6"/>
    <x v="2"/>
    <s v="Akiko Shimamura"/>
    <n v="54"/>
    <s v="No"/>
    <x v="59"/>
  </r>
  <r>
    <n v="875005"/>
    <n v="1859"/>
    <x v="4"/>
    <d v="2023-06-23T00:00:00"/>
    <x v="155"/>
    <n v="6"/>
    <x v="0"/>
    <x v="7"/>
    <x v="2"/>
    <s v="Diego Freyre"/>
    <n v="538"/>
    <s v="No"/>
    <x v="71"/>
  </r>
  <r>
    <n v="875015"/>
    <n v="849"/>
    <x v="3"/>
    <d v="2023-08-24T00:00:00"/>
    <x v="148"/>
    <n v="8"/>
    <x v="3"/>
    <x v="8"/>
    <x v="1"/>
    <s v="Valarie Nelson"/>
    <n v="235"/>
    <s v="No"/>
    <x v="11"/>
  </r>
  <r>
    <n v="875813"/>
    <n v="1088"/>
    <x v="1"/>
    <d v="2023-04-30T00:00:00"/>
    <x v="10"/>
    <n v="4"/>
    <x v="6"/>
    <x v="1"/>
    <x v="1"/>
    <s v="Juri Yoshido"/>
    <n v="1198"/>
    <s v="No"/>
    <x v="54"/>
  </r>
  <r>
    <n v="875981"/>
    <n v="991"/>
    <x v="0"/>
    <d v="2023-09-05T00:00:00"/>
    <x v="156"/>
    <n v="9"/>
    <x v="2"/>
    <x v="10"/>
    <x v="2"/>
    <s v="Jonas Bergulfsen"/>
    <n v="6567"/>
    <s v="No"/>
    <x v="39"/>
  </r>
  <r>
    <n v="876685"/>
    <n v="1061"/>
    <x v="10"/>
    <d v="2023-01-24T00:00:00"/>
    <x v="101"/>
    <n v="1"/>
    <x v="2"/>
    <x v="9"/>
    <x v="2"/>
    <s v="Marie Bertrand"/>
    <n v="3507"/>
    <s v="No"/>
    <x v="57"/>
  </r>
  <r>
    <n v="877616"/>
    <n v="1685"/>
    <x v="0"/>
    <d v="2023-12-19T00:00:00"/>
    <x v="126"/>
    <n v="12"/>
    <x v="2"/>
    <x v="0"/>
    <x v="3"/>
    <s v="Mart¡n Sommer"/>
    <n v="6662"/>
    <s v="No"/>
    <x v="8"/>
  </r>
  <r>
    <n v="877681"/>
    <n v="166"/>
    <x v="3"/>
    <d v="2023-12-24T00:00:00"/>
    <x v="102"/>
    <n v="12"/>
    <x v="6"/>
    <x v="0"/>
    <x v="0"/>
    <s v="Juri Hirano"/>
    <n v="2796"/>
    <s v="No"/>
    <x v="18"/>
  </r>
  <r>
    <n v="877784"/>
    <n v="422"/>
    <x v="1"/>
    <d v="2023-02-27T00:00:00"/>
    <x v="133"/>
    <n v="2"/>
    <x v="5"/>
    <x v="5"/>
    <x v="0"/>
    <s v="Eric Natividad"/>
    <n v="9049"/>
    <s v="No"/>
    <x v="71"/>
  </r>
  <r>
    <n v="878611"/>
    <n v="1668"/>
    <x v="0"/>
    <d v="2023-11-24T00:00:00"/>
    <x v="36"/>
    <n v="11"/>
    <x v="0"/>
    <x v="2"/>
    <x v="1"/>
    <s v="Roland Mendel"/>
    <n v="3591"/>
    <s v="No"/>
    <x v="17"/>
  </r>
  <r>
    <n v="878658"/>
    <n v="780"/>
    <x v="1"/>
    <d v="2023-10-18T00:00:00"/>
    <x v="49"/>
    <n v="10"/>
    <x v="4"/>
    <x v="3"/>
    <x v="0"/>
    <s v="Ann Brown"/>
    <n v="3114"/>
    <s v="No"/>
    <x v="64"/>
  </r>
  <r>
    <n v="878771"/>
    <n v="194"/>
    <x v="1"/>
    <d v="2023-07-21T00:00:00"/>
    <x v="157"/>
    <n v="7"/>
    <x v="0"/>
    <x v="6"/>
    <x v="1"/>
    <s v="Francisca Cervantes"/>
    <n v="7705"/>
    <s v="No"/>
    <x v="71"/>
  </r>
  <r>
    <n v="879541"/>
    <n v="907"/>
    <x v="13"/>
    <d v="2023-08-26T00:00:00"/>
    <x v="158"/>
    <n v="8"/>
    <x v="1"/>
    <x v="8"/>
    <x v="1"/>
    <s v="Mary Saveley"/>
    <n v="1465"/>
    <s v="No"/>
    <x v="39"/>
  </r>
  <r>
    <n v="879819"/>
    <n v="286"/>
    <x v="0"/>
    <d v="2023-06-08T00:00:00"/>
    <x v="93"/>
    <n v="6"/>
    <x v="3"/>
    <x v="7"/>
    <x v="0"/>
    <s v="Valarie Franco"/>
    <n v="6894"/>
    <s v="No"/>
    <x v="33"/>
  </r>
  <r>
    <n v="881346"/>
    <n v="327"/>
    <x v="1"/>
    <d v="2023-12-19T00:00:00"/>
    <x v="1"/>
    <n v="12"/>
    <x v="2"/>
    <x v="0"/>
    <x v="0"/>
    <s v="Wendy Victorino"/>
    <n v="8816"/>
    <s v="No"/>
    <x v="24"/>
  </r>
  <r>
    <n v="882347"/>
    <n v="1938"/>
    <x v="0"/>
    <d v="2023-09-18T00:00:00"/>
    <x v="55"/>
    <n v="9"/>
    <x v="5"/>
    <x v="10"/>
    <x v="3"/>
    <s v="Valarie Nelson"/>
    <n v="3811"/>
    <s v="No"/>
    <x v="41"/>
  </r>
  <r>
    <n v="883228"/>
    <n v="1251"/>
    <x v="0"/>
    <d v="2023-04-19T00:00:00"/>
    <x v="124"/>
    <n v="4"/>
    <x v="4"/>
    <x v="1"/>
    <x v="0"/>
    <s v="Leslie Murphy"/>
    <n v="381"/>
    <s v="No"/>
    <x v="34"/>
  </r>
  <r>
    <n v="883461"/>
    <n v="1023"/>
    <x v="7"/>
    <d v="2023-11-05T00:00:00"/>
    <x v="159"/>
    <n v="11"/>
    <x v="6"/>
    <x v="2"/>
    <x v="1"/>
    <s v="Wendy Victorino"/>
    <n v="7192"/>
    <s v="No"/>
    <x v="44"/>
  </r>
  <r>
    <n v="883497"/>
    <n v="954"/>
    <x v="1"/>
    <d v="2023-08-03T00:00:00"/>
    <x v="28"/>
    <n v="8"/>
    <x v="3"/>
    <x v="8"/>
    <x v="2"/>
    <s v="Adrian Huxley"/>
    <n v="1216"/>
    <s v="No"/>
    <x v="31"/>
  </r>
  <r>
    <n v="884628"/>
    <n v="464"/>
    <x v="2"/>
    <d v="2023-12-06T00:00:00"/>
    <x v="63"/>
    <n v="12"/>
    <x v="4"/>
    <x v="0"/>
    <x v="2"/>
    <s v="Kyung Yu"/>
    <n v="7177"/>
    <s v="No"/>
    <x v="47"/>
  </r>
  <r>
    <n v="885377"/>
    <n v="1622"/>
    <x v="3"/>
    <d v="2023-02-11T00:00:00"/>
    <x v="73"/>
    <n v="2"/>
    <x v="1"/>
    <x v="5"/>
    <x v="0"/>
    <s v="Maria Larsson"/>
    <n v="7139"/>
    <s v="No"/>
    <x v="27"/>
  </r>
  <r>
    <n v="885750"/>
    <n v="1837"/>
    <x v="11"/>
    <d v="2023-12-07T00:00:00"/>
    <x v="42"/>
    <n v="12"/>
    <x v="3"/>
    <x v="0"/>
    <x v="3"/>
    <s v="Marta Hernandez"/>
    <n v="1520"/>
    <s v="No"/>
    <x v="27"/>
  </r>
  <r>
    <n v="885987"/>
    <n v="1601"/>
    <x v="3"/>
    <d v="2023-10-27T00:00:00"/>
    <x v="6"/>
    <n v="10"/>
    <x v="0"/>
    <x v="3"/>
    <x v="3"/>
    <s v="Yoshi Tannamuri"/>
    <n v="8973"/>
    <s v="No"/>
    <x v="13"/>
  </r>
  <r>
    <n v="886188"/>
    <n v="581"/>
    <x v="0"/>
    <d v="2023-10-03T00:00:00"/>
    <x v="52"/>
    <n v="10"/>
    <x v="2"/>
    <x v="3"/>
    <x v="2"/>
    <s v="Roland Keitel"/>
    <n v="5000"/>
    <s v="No"/>
    <x v="62"/>
  </r>
  <r>
    <n v="887239"/>
    <n v="1157"/>
    <x v="5"/>
    <d v="2023-06-24T00:00:00"/>
    <x v="160"/>
    <n v="6"/>
    <x v="1"/>
    <x v="7"/>
    <x v="2"/>
    <s v="Christina Berglund"/>
    <n v="9005"/>
    <s v="No"/>
    <x v="41"/>
  </r>
  <r>
    <n v="888702"/>
    <n v="746"/>
    <x v="0"/>
    <d v="2023-09-19T00:00:00"/>
    <x v="30"/>
    <n v="9"/>
    <x v="2"/>
    <x v="10"/>
    <x v="3"/>
    <s v="Peter Ferguson"/>
    <n v="98"/>
    <s v="No"/>
    <x v="21"/>
  </r>
  <r>
    <n v="888938"/>
    <n v="1606"/>
    <x v="3"/>
    <d v="2023-09-01T00:00:00"/>
    <x v="161"/>
    <n v="9"/>
    <x v="0"/>
    <x v="10"/>
    <x v="0"/>
    <s v="Valarie Nelson"/>
    <n v="1061"/>
    <s v="No"/>
    <x v="12"/>
  </r>
  <r>
    <n v="889356"/>
    <n v="1246"/>
    <x v="3"/>
    <d v="2023-03-17T00:00:00"/>
    <x v="11"/>
    <n v="3"/>
    <x v="0"/>
    <x v="4"/>
    <x v="0"/>
    <s v="Anna O'Hara"/>
    <n v="2670"/>
    <s v="No"/>
    <x v="67"/>
  </r>
  <r>
    <n v="890131"/>
    <n v="879"/>
    <x v="0"/>
    <d v="2023-09-28T00:00:00"/>
    <x v="104"/>
    <n v="9"/>
    <x v="3"/>
    <x v="10"/>
    <x v="2"/>
    <s v="Valarie Nelson"/>
    <n v="3832"/>
    <s v="No"/>
    <x v="41"/>
  </r>
  <r>
    <n v="890922"/>
    <n v="1077"/>
    <x v="1"/>
    <d v="2023-08-01T00:00:00"/>
    <x v="137"/>
    <n v="8"/>
    <x v="2"/>
    <x v="8"/>
    <x v="1"/>
    <s v="Jean Fresnisre"/>
    <n v="2256"/>
    <s v="No"/>
    <x v="32"/>
  </r>
  <r>
    <n v="892608"/>
    <n v="417"/>
    <x v="3"/>
    <d v="2023-12-10T00:00:00"/>
    <x v="61"/>
    <n v="12"/>
    <x v="6"/>
    <x v="0"/>
    <x v="0"/>
    <s v="Janine Labrune"/>
    <n v="9919"/>
    <s v="No"/>
    <x v="62"/>
  </r>
  <r>
    <n v="892773"/>
    <n v="1804"/>
    <x v="6"/>
    <d v="2023-12-15T00:00:00"/>
    <x v="15"/>
    <n v="12"/>
    <x v="0"/>
    <x v="0"/>
    <x v="0"/>
    <s v="Jonas Bergulfsen"/>
    <n v="999"/>
    <s v="No"/>
    <x v="49"/>
  </r>
  <r>
    <n v="893103"/>
    <n v="1877"/>
    <x v="4"/>
    <d v="2023-02-08T00:00:00"/>
    <x v="62"/>
    <n v="2"/>
    <x v="4"/>
    <x v="5"/>
    <x v="0"/>
    <s v="Valarie Nelson"/>
    <n v="1604"/>
    <s v="No"/>
    <x v="13"/>
  </r>
  <r>
    <n v="893771"/>
    <n v="416"/>
    <x v="1"/>
    <d v="2023-09-01T00:00:00"/>
    <x v="21"/>
    <n v="9"/>
    <x v="0"/>
    <x v="10"/>
    <x v="1"/>
    <s v="Mart¡n Sommer"/>
    <n v="1398"/>
    <s v="No"/>
    <x v="71"/>
  </r>
  <r>
    <n v="894762"/>
    <n v="393"/>
    <x v="1"/>
    <d v="2023-08-03T00:00:00"/>
    <x v="51"/>
    <n v="8"/>
    <x v="3"/>
    <x v="8"/>
    <x v="3"/>
    <s v="Juri Hirano"/>
    <n v="4907"/>
    <s v="No"/>
    <x v="11"/>
  </r>
  <r>
    <n v="894938"/>
    <n v="1376"/>
    <x v="0"/>
    <d v="2023-01-19T00:00:00"/>
    <x v="71"/>
    <n v="1"/>
    <x v="3"/>
    <x v="9"/>
    <x v="3"/>
    <s v="Eric Natividad"/>
    <n v="7358"/>
    <s v="No"/>
    <x v="8"/>
  </r>
  <r>
    <n v="895383"/>
    <n v="854"/>
    <x v="0"/>
    <d v="2023-06-13T00:00:00"/>
    <x v="14"/>
    <n v="6"/>
    <x v="2"/>
    <x v="7"/>
    <x v="0"/>
    <s v="Roland Mendel"/>
    <n v="7452"/>
    <s v="No"/>
    <x v="57"/>
  </r>
  <r>
    <n v="895436"/>
    <n v="346"/>
    <x v="4"/>
    <d v="2023-09-08T00:00:00"/>
    <x v="162"/>
    <n v="9"/>
    <x v="0"/>
    <x v="10"/>
    <x v="0"/>
    <s v="Tony Calaghan"/>
    <n v="6750"/>
    <s v="No"/>
    <x v="18"/>
  </r>
  <r>
    <n v="896228"/>
    <n v="741"/>
    <x v="0"/>
    <d v="2023-11-05T00:00:00"/>
    <x v="19"/>
    <n v="11"/>
    <x v="6"/>
    <x v="2"/>
    <x v="1"/>
    <s v="Francisca Cervantes"/>
    <n v="3208"/>
    <s v="No"/>
    <x v="5"/>
  </r>
  <r>
    <n v="897460"/>
    <n v="711"/>
    <x v="0"/>
    <d v="2023-09-24T00:00:00"/>
    <x v="159"/>
    <n v="9"/>
    <x v="6"/>
    <x v="10"/>
    <x v="3"/>
    <s v="Mary Saveley"/>
    <n v="3851"/>
    <s v="No"/>
    <x v="72"/>
  </r>
  <r>
    <n v="897997"/>
    <n v="1884"/>
    <x v="0"/>
    <d v="2023-04-08T00:00:00"/>
    <x v="163"/>
    <n v="4"/>
    <x v="1"/>
    <x v="1"/>
    <x v="3"/>
    <s v="Yoshi Tannamuri"/>
    <n v="1149"/>
    <s v="No"/>
    <x v="34"/>
  </r>
  <r>
    <n v="899461"/>
    <n v="1382"/>
    <x v="4"/>
    <d v="2023-03-21T00:00:00"/>
    <x v="139"/>
    <n v="3"/>
    <x v="2"/>
    <x v="4"/>
    <x v="3"/>
    <s v="Steve Thompson"/>
    <n v="6071"/>
    <s v="No"/>
    <x v="45"/>
  </r>
  <r>
    <n v="899739"/>
    <n v="842"/>
    <x v="3"/>
    <d v="2023-01-06T00:00:00"/>
    <x v="88"/>
    <n v="1"/>
    <x v="0"/>
    <x v="9"/>
    <x v="3"/>
    <s v="Valarie Nelson"/>
    <n v="3937"/>
    <s v="No"/>
    <x v="10"/>
  </r>
  <r>
    <n v="899991"/>
    <n v="980"/>
    <x v="0"/>
    <d v="2023-01-09T00:00:00"/>
    <x v="164"/>
    <n v="1"/>
    <x v="5"/>
    <x v="9"/>
    <x v="3"/>
    <s v="Leslie Murphy"/>
    <n v="4447"/>
    <s v="No"/>
    <x v="34"/>
  </r>
  <r>
    <n v="901917"/>
    <n v="195"/>
    <x v="0"/>
    <d v="2023-07-17T00:00:00"/>
    <x v="152"/>
    <n v="7"/>
    <x v="5"/>
    <x v="6"/>
    <x v="0"/>
    <s v="Akiko Shimamura"/>
    <n v="1318"/>
    <s v="No"/>
    <x v="66"/>
  </r>
  <r>
    <n v="903650"/>
    <n v="1971"/>
    <x v="4"/>
    <d v="2023-03-14T00:00:00"/>
    <x v="9"/>
    <n v="3"/>
    <x v="2"/>
    <x v="4"/>
    <x v="1"/>
    <s v="Adrian Huxley"/>
    <n v="8993"/>
    <s v="No"/>
    <x v="60"/>
  </r>
  <r>
    <n v="904533"/>
    <n v="223"/>
    <x v="1"/>
    <d v="2023-06-06T00:00:00"/>
    <x v="83"/>
    <n v="6"/>
    <x v="2"/>
    <x v="7"/>
    <x v="3"/>
    <s v="Kyung Yu"/>
    <n v="6781"/>
    <s v="No"/>
    <x v="10"/>
  </r>
  <r>
    <n v="904997"/>
    <n v="909"/>
    <x v="1"/>
    <d v="2023-11-07T00:00:00"/>
    <x v="165"/>
    <n v="11"/>
    <x v="2"/>
    <x v="2"/>
    <x v="2"/>
    <s v="Maria Larsson"/>
    <n v="9811"/>
    <s v="No"/>
    <x v="37"/>
  </r>
  <r>
    <n v="906886"/>
    <n v="373"/>
    <x v="1"/>
    <d v="2023-03-09T00:00:00"/>
    <x v="75"/>
    <n v="3"/>
    <x v="3"/>
    <x v="4"/>
    <x v="0"/>
    <s v="Daniel Tonini"/>
    <n v="7915"/>
    <s v="No"/>
    <x v="20"/>
  </r>
  <r>
    <n v="908364"/>
    <n v="617"/>
    <x v="0"/>
    <d v="2023-06-01T00:00:00"/>
    <x v="166"/>
    <n v="6"/>
    <x v="3"/>
    <x v="7"/>
    <x v="0"/>
    <s v="Valarie Nelson"/>
    <n v="5116"/>
    <s v="No"/>
    <x v="23"/>
  </r>
  <r>
    <n v="908702"/>
    <n v="1392"/>
    <x v="12"/>
    <d v="2023-09-14T00:00:00"/>
    <x v="140"/>
    <n v="9"/>
    <x v="3"/>
    <x v="10"/>
    <x v="2"/>
    <s v="Michael Frick"/>
    <n v="8379"/>
    <s v="No"/>
    <x v="49"/>
  </r>
  <r>
    <n v="909180"/>
    <n v="667"/>
    <x v="3"/>
    <d v="2023-06-01T00:00:00"/>
    <x v="88"/>
    <n v="6"/>
    <x v="3"/>
    <x v="7"/>
    <x v="1"/>
    <s v="Julie Murphy"/>
    <n v="1650"/>
    <s v="No"/>
    <x v="71"/>
  </r>
  <r>
    <n v="910034"/>
    <n v="1798"/>
    <x v="0"/>
    <d v="2023-09-08T00:00:00"/>
    <x v="57"/>
    <n v="9"/>
    <x v="0"/>
    <x v="10"/>
    <x v="2"/>
    <s v="Mart¡n Sommer"/>
    <n v="3805"/>
    <s v="No"/>
    <x v="34"/>
  </r>
  <r>
    <n v="910121"/>
    <n v="549"/>
    <x v="0"/>
    <d v="2023-08-16T00:00:00"/>
    <x v="167"/>
    <n v="8"/>
    <x v="4"/>
    <x v="8"/>
    <x v="3"/>
    <s v="Diego Freyre"/>
    <n v="767"/>
    <s v="No"/>
    <x v="41"/>
  </r>
  <r>
    <n v="911307"/>
    <n v="1606"/>
    <x v="3"/>
    <d v="2023-08-27T00:00:00"/>
    <x v="91"/>
    <n v="8"/>
    <x v="6"/>
    <x v="8"/>
    <x v="1"/>
    <s v="Anna O'Hara"/>
    <n v="8205"/>
    <s v="No"/>
    <x v="12"/>
  </r>
  <r>
    <n v="911597"/>
    <n v="844"/>
    <x v="2"/>
    <d v="2023-01-15T00:00:00"/>
    <x v="105"/>
    <n v="1"/>
    <x v="6"/>
    <x v="9"/>
    <x v="2"/>
    <s v="Valarie Nelson"/>
    <n v="5409"/>
    <s v="No"/>
    <x v="70"/>
  </r>
  <r>
    <n v="912904"/>
    <n v="349"/>
    <x v="13"/>
    <d v="2023-12-06T00:00:00"/>
    <x v="87"/>
    <n v="12"/>
    <x v="4"/>
    <x v="0"/>
    <x v="0"/>
    <s v="Jean Fresnisre"/>
    <n v="2520"/>
    <s v="No"/>
    <x v="39"/>
  </r>
  <r>
    <n v="912973"/>
    <n v="646"/>
    <x v="5"/>
    <d v="2023-12-20T00:00:00"/>
    <x v="141"/>
    <n v="12"/>
    <x v="4"/>
    <x v="0"/>
    <x v="1"/>
    <s v="Diego Freyre"/>
    <n v="816"/>
    <s v="No"/>
    <x v="45"/>
  </r>
  <r>
    <n v="914101"/>
    <n v="1839"/>
    <x v="7"/>
    <d v="2023-08-14T00:00:00"/>
    <x v="123"/>
    <n v="8"/>
    <x v="5"/>
    <x v="8"/>
    <x v="2"/>
    <s v="Arnold Cruz"/>
    <n v="8372"/>
    <s v="No"/>
    <x v="19"/>
  </r>
  <r>
    <n v="914288"/>
    <n v="1090"/>
    <x v="3"/>
    <d v="2023-05-29T00:00:00"/>
    <x v="30"/>
    <n v="5"/>
    <x v="5"/>
    <x v="11"/>
    <x v="3"/>
    <s v="Laurence Lebihan"/>
    <n v="1968"/>
    <s v="No"/>
    <x v="11"/>
  </r>
  <r>
    <n v="914311"/>
    <n v="1127"/>
    <x v="8"/>
    <d v="2023-04-05T00:00:00"/>
    <x v="20"/>
    <n v="4"/>
    <x v="4"/>
    <x v="1"/>
    <x v="1"/>
    <s v="Valarie Nelson"/>
    <n v="6090"/>
    <s v="No"/>
    <x v="69"/>
  </r>
  <r>
    <n v="914647"/>
    <n v="1671"/>
    <x v="0"/>
    <d v="2023-03-25T00:00:00"/>
    <x v="157"/>
    <n v="3"/>
    <x v="1"/>
    <x v="4"/>
    <x v="2"/>
    <s v="Dan Lewis"/>
    <n v="7025"/>
    <s v="No"/>
    <x v="72"/>
  </r>
  <r>
    <n v="914814"/>
    <n v="1729"/>
    <x v="6"/>
    <d v="2023-11-05T00:00:00"/>
    <x v="91"/>
    <n v="11"/>
    <x v="6"/>
    <x v="2"/>
    <x v="1"/>
    <s v="Julie Brown"/>
    <n v="6744"/>
    <s v="No"/>
    <x v="54"/>
  </r>
  <r>
    <n v="915353"/>
    <n v="48"/>
    <x v="0"/>
    <d v="2023-07-24T00:00:00"/>
    <x v="47"/>
    <n v="7"/>
    <x v="5"/>
    <x v="6"/>
    <x v="1"/>
    <s v="Anna O'Hara"/>
    <n v="2128"/>
    <s v="No"/>
    <x v="50"/>
  </r>
  <r>
    <n v="916383"/>
    <n v="1746"/>
    <x v="2"/>
    <d v="2023-12-27T00:00:00"/>
    <x v="168"/>
    <n v="12"/>
    <x v="4"/>
    <x v="0"/>
    <x v="1"/>
    <s v="Martine Rance"/>
    <n v="3491"/>
    <s v="No"/>
    <x v="50"/>
  </r>
  <r>
    <n v="917785"/>
    <n v="789"/>
    <x v="3"/>
    <d v="2023-05-07T00:00:00"/>
    <x v="89"/>
    <n v="5"/>
    <x v="6"/>
    <x v="11"/>
    <x v="1"/>
    <s v="Henriette Pfalzheim"/>
    <n v="9379"/>
    <s v="No"/>
    <x v="14"/>
  </r>
  <r>
    <n v="918151"/>
    <n v="981"/>
    <x v="0"/>
    <d v="2023-04-27T00:00:00"/>
    <x v="84"/>
    <n v="4"/>
    <x v="3"/>
    <x v="1"/>
    <x v="3"/>
    <s v="Dominique Perrier"/>
    <n v="1322"/>
    <s v="No"/>
    <x v="61"/>
  </r>
  <r>
    <n v="918183"/>
    <n v="1795"/>
    <x v="3"/>
    <d v="2023-09-27T00:00:00"/>
    <x v="37"/>
    <n v="9"/>
    <x v="4"/>
    <x v="10"/>
    <x v="2"/>
    <s v="Michael Holz"/>
    <n v="4196"/>
    <s v="No"/>
    <x v="62"/>
  </r>
  <r>
    <n v="918347"/>
    <n v="449"/>
    <x v="0"/>
    <d v="2023-08-02T00:00:00"/>
    <x v="100"/>
    <n v="8"/>
    <x v="4"/>
    <x v="8"/>
    <x v="2"/>
    <s v="Jytte Petersen"/>
    <n v="1241"/>
    <s v="No"/>
    <x v="62"/>
  </r>
  <r>
    <n v="919424"/>
    <n v="1079"/>
    <x v="1"/>
    <d v="2023-06-12T00:00:00"/>
    <x v="169"/>
    <n v="6"/>
    <x v="5"/>
    <x v="7"/>
    <x v="3"/>
    <s v="Dominique Perrier"/>
    <n v="9932"/>
    <s v="No"/>
    <x v="3"/>
  </r>
  <r>
    <n v="920294"/>
    <n v="474"/>
    <x v="10"/>
    <d v="2023-10-05T00:00:00"/>
    <x v="128"/>
    <n v="10"/>
    <x v="3"/>
    <x v="3"/>
    <x v="1"/>
    <s v="Juri Yoshido"/>
    <n v="6177"/>
    <s v="No"/>
    <x v="8"/>
  </r>
  <r>
    <n v="920645"/>
    <n v="1851"/>
    <x v="4"/>
    <d v="2023-03-05T00:00:00"/>
    <x v="28"/>
    <n v="3"/>
    <x v="6"/>
    <x v="4"/>
    <x v="2"/>
    <s v="Miguel Barajas"/>
    <n v="620"/>
    <s v="No"/>
    <x v="15"/>
  </r>
  <r>
    <n v="921540"/>
    <n v="499"/>
    <x v="6"/>
    <d v="2023-12-20T00:00:00"/>
    <x v="87"/>
    <n v="12"/>
    <x v="4"/>
    <x v="0"/>
    <x v="3"/>
    <s v="Michael Holz"/>
    <n v="2164"/>
    <s v="No"/>
    <x v="20"/>
  </r>
  <r>
    <n v="921826"/>
    <n v="1677"/>
    <x v="2"/>
    <d v="2023-04-11T00:00:00"/>
    <x v="96"/>
    <n v="4"/>
    <x v="2"/>
    <x v="1"/>
    <x v="0"/>
    <s v="Matti Karttunen"/>
    <n v="1726"/>
    <s v="No"/>
    <x v="66"/>
  </r>
  <r>
    <n v="922883"/>
    <n v="243"/>
    <x v="0"/>
    <d v="2023-12-18T00:00:00"/>
    <x v="103"/>
    <n v="12"/>
    <x v="5"/>
    <x v="0"/>
    <x v="1"/>
    <s v="Henriette Pfalzheim"/>
    <n v="4141"/>
    <s v="No"/>
    <x v="65"/>
  </r>
  <r>
    <n v="923178"/>
    <n v="1561"/>
    <x v="11"/>
    <d v="2023-10-26T00:00:00"/>
    <x v="96"/>
    <n v="10"/>
    <x v="3"/>
    <x v="3"/>
    <x v="0"/>
    <s v="Kee Kuo"/>
    <n v="6590"/>
    <s v="No"/>
    <x v="9"/>
  </r>
  <r>
    <n v="924191"/>
    <n v="1970"/>
    <x v="3"/>
    <d v="2023-10-15T00:00:00"/>
    <x v="12"/>
    <n v="10"/>
    <x v="6"/>
    <x v="3"/>
    <x v="0"/>
    <s v="Arnold Cruz"/>
    <n v="925"/>
    <s v="No"/>
    <x v="33"/>
  </r>
  <r>
    <n v="924407"/>
    <n v="1824"/>
    <x v="0"/>
    <d v="2023-09-08T00:00:00"/>
    <x v="170"/>
    <n v="9"/>
    <x v="0"/>
    <x v="10"/>
    <x v="2"/>
    <s v="Peter Ferguson"/>
    <n v="2760"/>
    <s v="No"/>
    <x v="31"/>
  </r>
  <r>
    <n v="924612"/>
    <n v="549"/>
    <x v="0"/>
    <d v="2023-03-16T00:00:00"/>
    <x v="73"/>
    <n v="3"/>
    <x v="3"/>
    <x v="4"/>
    <x v="3"/>
    <s v="Diego Freyre"/>
    <n v="7323"/>
    <s v="No"/>
    <x v="41"/>
  </r>
  <r>
    <n v="926206"/>
    <n v="41"/>
    <x v="6"/>
    <d v="2023-02-25T00:00:00"/>
    <x v="171"/>
    <n v="2"/>
    <x v="1"/>
    <x v="5"/>
    <x v="3"/>
    <s v="Kalle Suominen"/>
    <n v="3952"/>
    <s v="No"/>
    <x v="53"/>
  </r>
  <r>
    <n v="926690"/>
    <n v="1286"/>
    <x v="0"/>
    <d v="2023-05-12T00:00:00"/>
    <x v="64"/>
    <n v="5"/>
    <x v="0"/>
    <x v="11"/>
    <x v="2"/>
    <s v="Diego Freyre"/>
    <n v="197"/>
    <s v="No"/>
    <x v="57"/>
  </r>
  <r>
    <n v="929955"/>
    <n v="349"/>
    <x v="13"/>
    <d v="2023-01-21T00:00:00"/>
    <x v="38"/>
    <n v="1"/>
    <x v="1"/>
    <x v="9"/>
    <x v="2"/>
    <s v="Valarie Nelson"/>
    <n v="3242"/>
    <s v="No"/>
    <x v="39"/>
  </r>
  <r>
    <n v="930116"/>
    <n v="918"/>
    <x v="6"/>
    <d v="2023-08-18T00:00:00"/>
    <x v="78"/>
    <n v="8"/>
    <x v="0"/>
    <x v="8"/>
    <x v="3"/>
    <s v="Victoria Ashworth"/>
    <n v="4873"/>
    <s v="No"/>
    <x v="21"/>
  </r>
  <r>
    <n v="930552"/>
    <n v="1605"/>
    <x v="4"/>
    <d v="2023-04-05T00:00:00"/>
    <x v="172"/>
    <n v="4"/>
    <x v="4"/>
    <x v="1"/>
    <x v="0"/>
    <s v="Sue King"/>
    <n v="6840"/>
    <s v="No"/>
    <x v="23"/>
  </r>
  <r>
    <n v="930811"/>
    <n v="1778"/>
    <x v="0"/>
    <d v="2023-01-09T00:00:00"/>
    <x v="87"/>
    <n v="1"/>
    <x v="5"/>
    <x v="9"/>
    <x v="0"/>
    <s v="Anna O'Hara"/>
    <n v="3666"/>
    <s v="No"/>
    <x v="1"/>
  </r>
  <r>
    <n v="930878"/>
    <n v="1606"/>
    <x v="3"/>
    <d v="2023-07-06T00:00:00"/>
    <x v="157"/>
    <n v="7"/>
    <x v="3"/>
    <x v="6"/>
    <x v="2"/>
    <s v="Palle Ibsen"/>
    <n v="3069"/>
    <s v="No"/>
    <x v="12"/>
  </r>
  <r>
    <n v="931367"/>
    <n v="981"/>
    <x v="0"/>
    <d v="2023-06-12T00:00:00"/>
    <x v="102"/>
    <n v="6"/>
    <x v="5"/>
    <x v="7"/>
    <x v="2"/>
    <s v="Giovanni Rovelli"/>
    <n v="2393"/>
    <s v="No"/>
    <x v="61"/>
  </r>
  <r>
    <n v="931763"/>
    <n v="1355"/>
    <x v="4"/>
    <d v="2023-05-26T00:00:00"/>
    <x v="19"/>
    <n v="5"/>
    <x v="0"/>
    <x v="11"/>
    <x v="0"/>
    <s v="Valarie Nelson"/>
    <n v="2372"/>
    <s v="No"/>
    <x v="69"/>
  </r>
  <r>
    <n v="933463"/>
    <n v="1401"/>
    <x v="10"/>
    <d v="2023-07-08T00:00:00"/>
    <x v="94"/>
    <n v="7"/>
    <x v="1"/>
    <x v="6"/>
    <x v="2"/>
    <s v="Sean Connery"/>
    <n v="7754"/>
    <s v="No"/>
    <x v="62"/>
  </r>
  <r>
    <n v="935343"/>
    <n v="1143"/>
    <x v="2"/>
    <d v="2023-09-27T00:00:00"/>
    <x v="134"/>
    <n v="9"/>
    <x v="4"/>
    <x v="10"/>
    <x v="2"/>
    <s v="Jeff Young"/>
    <n v="1325"/>
    <s v="No"/>
    <x v="0"/>
  </r>
  <r>
    <n v="935551"/>
    <n v="712"/>
    <x v="0"/>
    <d v="2023-12-14T00:00:00"/>
    <x v="173"/>
    <n v="12"/>
    <x v="3"/>
    <x v="0"/>
    <x v="1"/>
    <s v="Thomas Hardy"/>
    <n v="6779"/>
    <s v="No"/>
    <x v="70"/>
  </r>
  <r>
    <n v="935674"/>
    <n v="442"/>
    <x v="0"/>
    <d v="2023-08-04T00:00:00"/>
    <x v="73"/>
    <n v="8"/>
    <x v="0"/>
    <x v="8"/>
    <x v="0"/>
    <s v="Mary Saveley"/>
    <n v="5395"/>
    <s v="No"/>
    <x v="14"/>
  </r>
  <r>
    <n v="935947"/>
    <n v="1267"/>
    <x v="2"/>
    <d v="2023-07-09T00:00:00"/>
    <x v="95"/>
    <n v="7"/>
    <x v="6"/>
    <x v="6"/>
    <x v="3"/>
    <s v="Frederique Citeaux"/>
    <n v="5054"/>
    <s v="No"/>
    <x v="14"/>
  </r>
  <r>
    <n v="935965"/>
    <n v="1578"/>
    <x v="2"/>
    <d v="2023-07-30T00:00:00"/>
    <x v="116"/>
    <n v="7"/>
    <x v="6"/>
    <x v="6"/>
    <x v="3"/>
    <s v="Jeff Young"/>
    <n v="4078"/>
    <s v="No"/>
    <x v="32"/>
  </r>
  <r>
    <n v="936199"/>
    <n v="734"/>
    <x v="2"/>
    <d v="2023-06-07T00:00:00"/>
    <x v="6"/>
    <n v="6"/>
    <x v="4"/>
    <x v="7"/>
    <x v="2"/>
    <s v="Diego Freyre"/>
    <n v="6734"/>
    <s v="No"/>
    <x v="21"/>
  </r>
  <r>
    <n v="936455"/>
    <n v="452"/>
    <x v="4"/>
    <d v="2023-01-14T00:00:00"/>
    <x v="77"/>
    <n v="1"/>
    <x v="1"/>
    <x v="9"/>
    <x v="1"/>
    <s v="Wendy Victorino"/>
    <n v="9527"/>
    <s v="No"/>
    <x v="21"/>
  </r>
  <r>
    <n v="937222"/>
    <n v="1095"/>
    <x v="1"/>
    <d v="2023-01-27T00:00:00"/>
    <x v="121"/>
    <n v="1"/>
    <x v="0"/>
    <x v="9"/>
    <x v="0"/>
    <s v="Elizabeth Devon"/>
    <n v="2890"/>
    <s v="No"/>
    <x v="30"/>
  </r>
  <r>
    <n v="937462"/>
    <n v="1858"/>
    <x v="0"/>
    <d v="2023-10-20T00:00:00"/>
    <x v="174"/>
    <n v="10"/>
    <x v="0"/>
    <x v="3"/>
    <x v="3"/>
    <s v="Diego Freyre"/>
    <n v="2327"/>
    <s v="No"/>
    <x v="0"/>
  </r>
  <r>
    <n v="938620"/>
    <n v="1556"/>
    <x v="6"/>
    <d v="2023-04-04T00:00:00"/>
    <x v="143"/>
    <n v="4"/>
    <x v="2"/>
    <x v="1"/>
    <x v="2"/>
    <s v="Victoria Ashworth"/>
    <n v="1142"/>
    <s v="No"/>
    <x v="15"/>
  </r>
  <r>
    <n v="940084"/>
    <n v="239"/>
    <x v="1"/>
    <d v="2023-09-19T00:00:00"/>
    <x v="48"/>
    <n v="9"/>
    <x v="2"/>
    <x v="10"/>
    <x v="1"/>
    <s v="Laurence Lebihan"/>
    <n v="2257"/>
    <s v="No"/>
    <x v="55"/>
  </r>
  <r>
    <n v="941028"/>
    <n v="1311"/>
    <x v="0"/>
    <d v="2023-09-19T00:00:00"/>
    <x v="79"/>
    <n v="9"/>
    <x v="2"/>
    <x v="10"/>
    <x v="3"/>
    <s v="Julie Young"/>
    <n v="9422"/>
    <s v="No"/>
    <x v="1"/>
  </r>
  <r>
    <n v="941315"/>
    <n v="1856"/>
    <x v="0"/>
    <d v="2023-04-07T00:00:00"/>
    <x v="10"/>
    <n v="4"/>
    <x v="0"/>
    <x v="1"/>
    <x v="3"/>
    <s v="Diego Freyre"/>
    <n v="6848"/>
    <s v="No"/>
    <x v="61"/>
  </r>
  <r>
    <n v="942316"/>
    <n v="608"/>
    <x v="13"/>
    <d v="2023-01-04T00:00:00"/>
    <x v="88"/>
    <n v="1"/>
    <x v="4"/>
    <x v="9"/>
    <x v="1"/>
    <s v="Sue Frick"/>
    <n v="455"/>
    <s v="No"/>
    <x v="56"/>
  </r>
  <r>
    <n v="942544"/>
    <n v="233"/>
    <x v="2"/>
    <d v="2023-06-29T00:00:00"/>
    <x v="175"/>
    <n v="6"/>
    <x v="3"/>
    <x v="7"/>
    <x v="0"/>
    <s v="Adrian Huxley"/>
    <n v="5264"/>
    <s v="No"/>
    <x v="35"/>
  </r>
  <r>
    <n v="942561"/>
    <n v="1263"/>
    <x v="0"/>
    <d v="2023-10-13T00:00:00"/>
    <x v="94"/>
    <n v="10"/>
    <x v="0"/>
    <x v="3"/>
    <x v="0"/>
    <s v="Victoria Ashworth"/>
    <n v="1046"/>
    <s v="No"/>
    <x v="61"/>
  </r>
  <r>
    <n v="943149"/>
    <n v="640"/>
    <x v="3"/>
    <d v="2023-09-24T00:00:00"/>
    <x v="165"/>
    <n v="9"/>
    <x v="6"/>
    <x v="10"/>
    <x v="1"/>
    <s v="Sue King"/>
    <n v="6730"/>
    <s v="No"/>
    <x v="66"/>
  </r>
  <r>
    <n v="943915"/>
    <n v="778"/>
    <x v="3"/>
    <d v="2023-03-04T00:00:00"/>
    <x v="117"/>
    <n v="3"/>
    <x v="1"/>
    <x v="4"/>
    <x v="0"/>
    <s v="Anna O'Hara"/>
    <n v="8064"/>
    <s v="No"/>
    <x v="47"/>
  </r>
  <r>
    <n v="944561"/>
    <n v="1343"/>
    <x v="0"/>
    <d v="2023-02-24T00:00:00"/>
    <x v="171"/>
    <n v="2"/>
    <x v="0"/>
    <x v="5"/>
    <x v="3"/>
    <s v="Palle Ibsen"/>
    <n v="439"/>
    <s v="No"/>
    <x v="24"/>
  </r>
  <r>
    <n v="946141"/>
    <n v="1208"/>
    <x v="0"/>
    <d v="2023-04-20T00:00:00"/>
    <x v="65"/>
    <n v="4"/>
    <x v="3"/>
    <x v="1"/>
    <x v="0"/>
    <s v="Julie King"/>
    <n v="6931"/>
    <s v="No"/>
    <x v="38"/>
  </r>
  <r>
    <n v="946167"/>
    <n v="1512"/>
    <x v="13"/>
    <d v="2023-12-04T00:00:00"/>
    <x v="174"/>
    <n v="12"/>
    <x v="5"/>
    <x v="0"/>
    <x v="2"/>
    <s v="Valarie Nelson"/>
    <n v="236"/>
    <s v="No"/>
    <x v="9"/>
  </r>
  <r>
    <n v="946580"/>
    <n v="91"/>
    <x v="4"/>
    <d v="2023-11-27T00:00:00"/>
    <x v="114"/>
    <n v="11"/>
    <x v="5"/>
    <x v="2"/>
    <x v="3"/>
    <s v="Valarie Young"/>
    <n v="8726"/>
    <s v="No"/>
    <x v="57"/>
  </r>
  <r>
    <n v="946964"/>
    <n v="281"/>
    <x v="0"/>
    <d v="2023-02-24T00:00:00"/>
    <x v="85"/>
    <n v="2"/>
    <x v="0"/>
    <x v="5"/>
    <x v="2"/>
    <s v="Jeff Young"/>
    <n v="6535"/>
    <s v="No"/>
    <x v="21"/>
  </r>
  <r>
    <n v="947335"/>
    <n v="1539"/>
    <x v="0"/>
    <d v="2023-08-16T00:00:00"/>
    <x v="20"/>
    <n v="8"/>
    <x v="4"/>
    <x v="8"/>
    <x v="2"/>
    <s v="Diego Freyre"/>
    <n v="4146"/>
    <s v="No"/>
    <x v="38"/>
  </r>
  <r>
    <n v="947369"/>
    <n v="1510"/>
    <x v="8"/>
    <d v="2023-07-10T00:00:00"/>
    <x v="68"/>
    <n v="7"/>
    <x v="5"/>
    <x v="6"/>
    <x v="3"/>
    <s v="Valarie Thompson"/>
    <n v="5208"/>
    <s v="No"/>
    <x v="12"/>
  </r>
  <r>
    <n v="950100"/>
    <n v="567"/>
    <x v="6"/>
    <d v="2023-12-07T00:00:00"/>
    <x v="176"/>
    <n v="12"/>
    <x v="3"/>
    <x v="0"/>
    <x v="2"/>
    <s v="Frederique Citeaux"/>
    <n v="4903"/>
    <s v="No"/>
    <x v="2"/>
  </r>
  <r>
    <n v="950345"/>
    <n v="608"/>
    <x v="13"/>
    <d v="2023-02-13T00:00:00"/>
    <x v="23"/>
    <n v="2"/>
    <x v="5"/>
    <x v="5"/>
    <x v="0"/>
    <s v="Jeff Young"/>
    <n v="4841"/>
    <s v="No"/>
    <x v="56"/>
  </r>
  <r>
    <n v="951047"/>
    <n v="753"/>
    <x v="0"/>
    <d v="2023-01-12T00:00:00"/>
    <x v="164"/>
    <n v="1"/>
    <x v="3"/>
    <x v="9"/>
    <x v="1"/>
    <s v="Diego Freyre"/>
    <n v="1714"/>
    <s v="No"/>
    <x v="65"/>
  </r>
  <r>
    <n v="951353"/>
    <n v="1243"/>
    <x v="4"/>
    <d v="2023-07-10T00:00:00"/>
    <x v="50"/>
    <n v="7"/>
    <x v="5"/>
    <x v="6"/>
    <x v="3"/>
    <s v="Wendy Victorino"/>
    <n v="9524"/>
    <s v="No"/>
    <x v="32"/>
  </r>
  <r>
    <n v="951780"/>
    <n v="1945"/>
    <x v="0"/>
    <d v="2023-07-24T00:00:00"/>
    <x v="67"/>
    <n v="7"/>
    <x v="5"/>
    <x v="6"/>
    <x v="1"/>
    <s v="Jan Klaeboe"/>
    <n v="6963"/>
    <s v="No"/>
    <x v="14"/>
  </r>
  <r>
    <n v="952497"/>
    <n v="1649"/>
    <x v="0"/>
    <d v="2023-10-16T00:00:00"/>
    <x v="62"/>
    <n v="10"/>
    <x v="5"/>
    <x v="3"/>
    <x v="0"/>
    <s v="Diego Freyre"/>
    <n v="1132"/>
    <s v="No"/>
    <x v="18"/>
  </r>
  <r>
    <n v="952618"/>
    <n v="1539"/>
    <x v="0"/>
    <d v="2023-04-07T00:00:00"/>
    <x v="92"/>
    <n v="4"/>
    <x v="0"/>
    <x v="1"/>
    <x v="0"/>
    <s v="Violeta Benitez"/>
    <n v="1048"/>
    <s v="No"/>
    <x v="38"/>
  </r>
  <r>
    <n v="953006"/>
    <n v="1500"/>
    <x v="0"/>
    <d v="2023-11-16T00:00:00"/>
    <x v="21"/>
    <n v="11"/>
    <x v="3"/>
    <x v="2"/>
    <x v="2"/>
    <s v="Victoria Ashworth"/>
    <n v="9376"/>
    <s v="No"/>
    <x v="11"/>
  </r>
  <r>
    <n v="953922"/>
    <n v="1112"/>
    <x v="4"/>
    <d v="2023-10-07T00:00:00"/>
    <x v="64"/>
    <n v="10"/>
    <x v="1"/>
    <x v="3"/>
    <x v="2"/>
    <s v="Laurence Lebihan"/>
    <n v="4161"/>
    <s v="No"/>
    <x v="35"/>
  </r>
  <r>
    <n v="953981"/>
    <n v="1513"/>
    <x v="0"/>
    <d v="2023-10-05T00:00:00"/>
    <x v="39"/>
    <n v="10"/>
    <x v="3"/>
    <x v="3"/>
    <x v="0"/>
    <s v="Julie Young"/>
    <n v="9670"/>
    <s v="No"/>
    <x v="15"/>
  </r>
  <r>
    <n v="954429"/>
    <n v="1544"/>
    <x v="0"/>
    <d v="2023-11-24T00:00:00"/>
    <x v="100"/>
    <n v="11"/>
    <x v="0"/>
    <x v="2"/>
    <x v="3"/>
    <s v="Diego Freyre"/>
    <n v="4753"/>
    <s v="No"/>
    <x v="55"/>
  </r>
  <r>
    <n v="954631"/>
    <n v="1868"/>
    <x v="3"/>
    <d v="2023-03-03T00:00:00"/>
    <x v="39"/>
    <n v="3"/>
    <x v="0"/>
    <x v="4"/>
    <x v="0"/>
    <s v="Sue Frick"/>
    <n v="8020"/>
    <s v="No"/>
    <x v="22"/>
  </r>
  <r>
    <n v="957373"/>
    <n v="580"/>
    <x v="0"/>
    <d v="2023-06-16T00:00:00"/>
    <x v="159"/>
    <n v="6"/>
    <x v="0"/>
    <x v="7"/>
    <x v="0"/>
    <s v="Adrian Huxley"/>
    <n v="4659"/>
    <s v="No"/>
    <x v="32"/>
  </r>
  <r>
    <n v="957446"/>
    <n v="49"/>
    <x v="3"/>
    <d v="2023-09-18T00:00:00"/>
    <x v="20"/>
    <n v="9"/>
    <x v="5"/>
    <x v="10"/>
    <x v="0"/>
    <s v="Diego Freyre"/>
    <n v="5585"/>
    <s v="No"/>
    <x v="35"/>
  </r>
  <r>
    <n v="958196"/>
    <n v="1922"/>
    <x v="4"/>
    <d v="2023-01-08T00:00:00"/>
    <x v="88"/>
    <n v="1"/>
    <x v="6"/>
    <x v="9"/>
    <x v="0"/>
    <s v="Maria Hernandez"/>
    <n v="3813"/>
    <s v="No"/>
    <x v="0"/>
  </r>
  <r>
    <n v="959426"/>
    <n v="801"/>
    <x v="3"/>
    <d v="2023-11-06T00:00:00"/>
    <x v="81"/>
    <n v="11"/>
    <x v="5"/>
    <x v="2"/>
    <x v="3"/>
    <s v="Jeff Young"/>
    <n v="6481"/>
    <s v="No"/>
    <x v="55"/>
  </r>
  <r>
    <n v="959447"/>
    <n v="336"/>
    <x v="4"/>
    <d v="2023-04-10T00:00:00"/>
    <x v="177"/>
    <n v="4"/>
    <x v="5"/>
    <x v="1"/>
    <x v="1"/>
    <s v="Kalle Suominen"/>
    <n v="7839"/>
    <s v="No"/>
    <x v="47"/>
  </r>
  <r>
    <n v="960053"/>
    <n v="651"/>
    <x v="0"/>
    <d v="2023-08-01T00:00:00"/>
    <x v="68"/>
    <n v="8"/>
    <x v="2"/>
    <x v="8"/>
    <x v="2"/>
    <s v="Tony Calaghan"/>
    <n v="3417"/>
    <s v="No"/>
    <x v="57"/>
  </r>
  <r>
    <n v="960685"/>
    <n v="522"/>
    <x v="0"/>
    <d v="2023-11-24T00:00:00"/>
    <x v="0"/>
    <n v="11"/>
    <x v="0"/>
    <x v="2"/>
    <x v="1"/>
    <s v="Eric Natividad"/>
    <n v="9772"/>
    <s v="No"/>
    <x v="55"/>
  </r>
  <r>
    <n v="961277"/>
    <n v="1721"/>
    <x v="7"/>
    <d v="2023-04-30T00:00:00"/>
    <x v="101"/>
    <n v="4"/>
    <x v="6"/>
    <x v="1"/>
    <x v="2"/>
    <s v="Maurizio Moroni"/>
    <n v="8615"/>
    <s v="No"/>
    <x v="13"/>
  </r>
  <r>
    <n v="961533"/>
    <n v="424"/>
    <x v="4"/>
    <d v="2023-03-28T00:00:00"/>
    <x v="150"/>
    <n v="3"/>
    <x v="2"/>
    <x v="4"/>
    <x v="2"/>
    <s v="Jose Pedro Roel"/>
    <n v="1084"/>
    <s v="No"/>
    <x v="50"/>
  </r>
  <r>
    <n v="961949"/>
    <n v="1076"/>
    <x v="1"/>
    <d v="2023-10-05T00:00:00"/>
    <x v="63"/>
    <n v="10"/>
    <x v="3"/>
    <x v="3"/>
    <x v="2"/>
    <s v="Steve Frick"/>
    <n v="2153"/>
    <s v="No"/>
    <x v="65"/>
  </r>
  <r>
    <n v="962603"/>
    <n v="1743"/>
    <x v="0"/>
    <d v="2023-05-07T00:00:00"/>
    <x v="68"/>
    <n v="5"/>
    <x v="6"/>
    <x v="11"/>
    <x v="2"/>
    <s v="Valarie Franco"/>
    <n v="6171"/>
    <s v="No"/>
    <x v="35"/>
  </r>
  <r>
    <n v="962712"/>
    <n v="340"/>
    <x v="3"/>
    <d v="2023-03-08T00:00:00"/>
    <x v="167"/>
    <n v="3"/>
    <x v="4"/>
    <x v="4"/>
    <x v="2"/>
    <s v="Dean Cassidy"/>
    <n v="1633"/>
    <s v="No"/>
    <x v="17"/>
  </r>
  <r>
    <n v="963906"/>
    <n v="1098"/>
    <x v="5"/>
    <d v="2023-05-19T00:00:00"/>
    <x v="11"/>
    <n v="5"/>
    <x v="0"/>
    <x v="11"/>
    <x v="2"/>
    <s v="Roland Keitel"/>
    <n v="3431"/>
    <s v="No"/>
    <x v="34"/>
  </r>
  <r>
    <n v="964075"/>
    <n v="162"/>
    <x v="0"/>
    <d v="2023-04-17T00:00:00"/>
    <x v="137"/>
    <n v="4"/>
    <x v="5"/>
    <x v="1"/>
    <x v="0"/>
    <s v="Diego Freyre"/>
    <n v="1275"/>
    <s v="No"/>
    <x v="42"/>
  </r>
  <r>
    <n v="964231"/>
    <n v="759"/>
    <x v="0"/>
    <d v="2023-10-27T00:00:00"/>
    <x v="156"/>
    <n v="10"/>
    <x v="0"/>
    <x v="3"/>
    <x v="2"/>
    <s v="Wendy Victorino"/>
    <n v="6583"/>
    <s v="No"/>
    <x v="11"/>
  </r>
  <r>
    <n v="964791"/>
    <n v="1085"/>
    <x v="4"/>
    <d v="2023-10-27T00:00:00"/>
    <x v="64"/>
    <n v="10"/>
    <x v="0"/>
    <x v="3"/>
    <x v="1"/>
    <s v="Valarie Nelson"/>
    <n v="4514"/>
    <s v="No"/>
    <x v="61"/>
  </r>
  <r>
    <n v="965923"/>
    <n v="1883"/>
    <x v="0"/>
    <d v="2023-03-27T00:00:00"/>
    <x v="76"/>
    <n v="3"/>
    <x v="5"/>
    <x v="4"/>
    <x v="0"/>
    <s v="Valarie Nelson"/>
    <n v="1548"/>
    <s v="No"/>
    <x v="1"/>
  </r>
  <r>
    <n v="966739"/>
    <n v="881"/>
    <x v="3"/>
    <d v="2023-08-20T00:00:00"/>
    <x v="60"/>
    <n v="8"/>
    <x v="6"/>
    <x v="8"/>
    <x v="0"/>
    <s v="Kwai Yu"/>
    <n v="4693"/>
    <s v="No"/>
    <x v="25"/>
  </r>
  <r>
    <n v="967619"/>
    <n v="897"/>
    <x v="0"/>
    <d v="2023-06-27T00:00:00"/>
    <x v="69"/>
    <n v="6"/>
    <x v="2"/>
    <x v="7"/>
    <x v="3"/>
    <s v="Marta Hernandez"/>
    <n v="3504"/>
    <s v="No"/>
    <x v="7"/>
  </r>
  <r>
    <n v="968469"/>
    <n v="711"/>
    <x v="0"/>
    <d v="2023-09-17T00:00:00"/>
    <x v="123"/>
    <n v="9"/>
    <x v="6"/>
    <x v="10"/>
    <x v="3"/>
    <s v="Palle Ibsen"/>
    <n v="187"/>
    <s v="No"/>
    <x v="72"/>
  </r>
  <r>
    <n v="968501"/>
    <n v="534"/>
    <x v="1"/>
    <d v="2023-09-26T00:00:00"/>
    <x v="75"/>
    <n v="9"/>
    <x v="2"/>
    <x v="10"/>
    <x v="1"/>
    <s v="Michael Frick"/>
    <n v="98"/>
    <s v="No"/>
    <x v="70"/>
  </r>
  <r>
    <n v="968680"/>
    <n v="362"/>
    <x v="1"/>
    <d v="2023-04-04T00:00:00"/>
    <x v="178"/>
    <n v="4"/>
    <x v="2"/>
    <x v="1"/>
    <x v="0"/>
    <s v="Marie Bertrand"/>
    <n v="4761"/>
    <s v="No"/>
    <x v="17"/>
  </r>
  <r>
    <n v="968730"/>
    <n v="407"/>
    <x v="3"/>
    <d v="2023-05-24T00:00:00"/>
    <x v="73"/>
    <n v="5"/>
    <x v="4"/>
    <x v="11"/>
    <x v="1"/>
    <s v="Jeff Young"/>
    <n v="6326"/>
    <s v="No"/>
    <x v="70"/>
  </r>
  <r>
    <n v="969517"/>
    <n v="1794"/>
    <x v="6"/>
    <d v="2023-12-28T00:00:00"/>
    <x v="156"/>
    <n v="12"/>
    <x v="3"/>
    <x v="0"/>
    <x v="2"/>
    <s v="Diego Freyre"/>
    <n v="7435"/>
    <s v="No"/>
    <x v="10"/>
  </r>
  <r>
    <n v="969765"/>
    <n v="850"/>
    <x v="0"/>
    <d v="2023-02-16T00:00:00"/>
    <x v="129"/>
    <n v="2"/>
    <x v="3"/>
    <x v="5"/>
    <x v="3"/>
    <s v="Valarie Nelson"/>
    <n v="3206"/>
    <s v="No"/>
    <x v="44"/>
  </r>
  <r>
    <n v="971123"/>
    <n v="197"/>
    <x v="0"/>
    <d v="2023-02-02T00:00:00"/>
    <x v="58"/>
    <n v="2"/>
    <x v="3"/>
    <x v="5"/>
    <x v="1"/>
    <s v="Diego Freyre"/>
    <n v="4194"/>
    <s v="No"/>
    <x v="4"/>
  </r>
  <r>
    <n v="971900"/>
    <n v="1424"/>
    <x v="4"/>
    <d v="2023-03-19T00:00:00"/>
    <x v="61"/>
    <n v="3"/>
    <x v="6"/>
    <x v="4"/>
    <x v="1"/>
    <s v="Diego Freyre"/>
    <n v="4454"/>
    <s v="No"/>
    <x v="36"/>
  </r>
  <r>
    <n v="972030"/>
    <n v="854"/>
    <x v="0"/>
    <d v="2023-03-31T00:00:00"/>
    <x v="129"/>
    <n v="3"/>
    <x v="0"/>
    <x v="4"/>
    <x v="1"/>
    <s v="Diego Freyre"/>
    <n v="6426"/>
    <s v="No"/>
    <x v="57"/>
  </r>
  <r>
    <n v="973367"/>
    <n v="1170"/>
    <x v="7"/>
    <d v="2023-09-01T00:00:00"/>
    <x v="84"/>
    <n v="9"/>
    <x v="0"/>
    <x v="10"/>
    <x v="3"/>
    <s v="Janine Labrune"/>
    <n v="8512"/>
    <s v="No"/>
    <x v="48"/>
  </r>
  <r>
    <n v="974557"/>
    <n v="1874"/>
    <x v="0"/>
    <d v="2023-01-15T00:00:00"/>
    <x v="37"/>
    <n v="1"/>
    <x v="6"/>
    <x v="9"/>
    <x v="1"/>
    <s v="Kwai Yu"/>
    <n v="2721"/>
    <s v="No"/>
    <x v="66"/>
  </r>
  <r>
    <n v="975249"/>
    <n v="1044"/>
    <x v="1"/>
    <d v="2023-12-22T00:00:00"/>
    <x v="128"/>
    <n v="12"/>
    <x v="0"/>
    <x v="0"/>
    <x v="0"/>
    <s v="Peter Ferguson"/>
    <n v="3988"/>
    <s v="No"/>
    <x v="47"/>
  </r>
  <r>
    <n v="976000"/>
    <n v="484"/>
    <x v="0"/>
    <d v="2023-06-12T00:00:00"/>
    <x v="169"/>
    <n v="6"/>
    <x v="5"/>
    <x v="7"/>
    <x v="3"/>
    <s v="Daniel Da Cunha"/>
    <n v="6536"/>
    <s v="No"/>
    <x v="41"/>
  </r>
  <r>
    <n v="976435"/>
    <n v="704"/>
    <x v="0"/>
    <d v="2023-09-26T00:00:00"/>
    <x v="8"/>
    <n v="9"/>
    <x v="2"/>
    <x v="10"/>
    <x v="2"/>
    <s v="Julie Young"/>
    <n v="5887"/>
    <s v="No"/>
    <x v="15"/>
  </r>
  <r>
    <n v="976870"/>
    <n v="357"/>
    <x v="8"/>
    <d v="2023-06-28T00:00:00"/>
    <x v="10"/>
    <n v="6"/>
    <x v="4"/>
    <x v="7"/>
    <x v="3"/>
    <s v="Julie Brown"/>
    <n v="1226"/>
    <s v="No"/>
    <x v="41"/>
  </r>
  <r>
    <n v="978487"/>
    <n v="767"/>
    <x v="0"/>
    <d v="2023-06-20T00:00:00"/>
    <x v="57"/>
    <n v="6"/>
    <x v="2"/>
    <x v="7"/>
    <x v="0"/>
    <s v="Juri Hirano"/>
    <n v="8162"/>
    <s v="No"/>
    <x v="35"/>
  </r>
  <r>
    <n v="978518"/>
    <n v="1078"/>
    <x v="6"/>
    <d v="2023-01-01T00:00:00"/>
    <x v="121"/>
    <n v="1"/>
    <x v="6"/>
    <x v="9"/>
    <x v="2"/>
    <s v="Martine Rance"/>
    <n v="448"/>
    <s v="No"/>
    <x v="39"/>
  </r>
  <r>
    <n v="978704"/>
    <n v="307"/>
    <x v="3"/>
    <d v="2023-08-18T00:00:00"/>
    <x v="35"/>
    <n v="8"/>
    <x v="0"/>
    <x v="8"/>
    <x v="0"/>
    <s v="Veysel Oeztan"/>
    <n v="5631"/>
    <s v="No"/>
    <x v="48"/>
  </r>
  <r>
    <n v="979166"/>
    <n v="995"/>
    <x v="3"/>
    <d v="2023-03-12T00:00:00"/>
    <x v="135"/>
    <n v="3"/>
    <x v="6"/>
    <x v="4"/>
    <x v="3"/>
    <s v="Julie Murphy"/>
    <n v="6809"/>
    <s v="No"/>
    <x v="43"/>
  </r>
  <r>
    <n v="982672"/>
    <n v="1590"/>
    <x v="5"/>
    <d v="2023-12-21T00:00:00"/>
    <x v="179"/>
    <n v="12"/>
    <x v="3"/>
    <x v="0"/>
    <x v="1"/>
    <s v="Dominique Perrier"/>
    <n v="7371"/>
    <s v="No"/>
    <x v="45"/>
  </r>
  <r>
    <n v="982983"/>
    <n v="1842"/>
    <x v="5"/>
    <d v="2023-01-12T00:00:00"/>
    <x v="21"/>
    <n v="1"/>
    <x v="3"/>
    <x v="9"/>
    <x v="3"/>
    <s v="Peter Ferguson"/>
    <n v="6411"/>
    <s v="No"/>
    <x v="57"/>
  </r>
  <r>
    <n v="983456"/>
    <n v="177"/>
    <x v="1"/>
    <d v="2023-04-25T00:00:00"/>
    <x v="109"/>
    <n v="4"/>
    <x v="2"/>
    <x v="1"/>
    <x v="0"/>
    <s v="Michael Frick"/>
    <n v="2938"/>
    <s v="No"/>
    <x v="21"/>
  </r>
  <r>
    <n v="984155"/>
    <n v="1399"/>
    <x v="6"/>
    <d v="2023-10-25T00:00:00"/>
    <x v="149"/>
    <n v="10"/>
    <x v="4"/>
    <x v="3"/>
    <x v="1"/>
    <s v="William Brown"/>
    <n v="5521"/>
    <s v="No"/>
    <x v="32"/>
  </r>
  <r>
    <n v="985800"/>
    <n v="1225"/>
    <x v="4"/>
    <d v="2023-12-16T00:00:00"/>
    <x v="36"/>
    <n v="12"/>
    <x v="1"/>
    <x v="0"/>
    <x v="2"/>
    <s v="Julie King"/>
    <n v="3508"/>
    <s v="No"/>
    <x v="58"/>
  </r>
  <r>
    <n v="986036"/>
    <n v="1064"/>
    <x v="9"/>
    <d v="2023-10-30T00:00:00"/>
    <x v="17"/>
    <n v="10"/>
    <x v="5"/>
    <x v="3"/>
    <x v="3"/>
    <s v="Janine Labrune"/>
    <n v="855"/>
    <s v="No"/>
    <x v="21"/>
  </r>
  <r>
    <n v="988105"/>
    <n v="1877"/>
    <x v="4"/>
    <d v="2023-06-25T00:00:00"/>
    <x v="84"/>
    <n v="6"/>
    <x v="6"/>
    <x v="7"/>
    <x v="3"/>
    <s v="Marta Hernandez"/>
    <n v="9254"/>
    <s v="No"/>
    <x v="13"/>
  </r>
  <r>
    <n v="988444"/>
    <n v="430"/>
    <x v="1"/>
    <d v="2023-08-04T00:00:00"/>
    <x v="92"/>
    <n v="8"/>
    <x v="0"/>
    <x v="8"/>
    <x v="0"/>
    <s v="Matti Karttunen"/>
    <n v="9958"/>
    <s v="No"/>
    <x v="43"/>
  </r>
  <r>
    <n v="990534"/>
    <n v="249"/>
    <x v="0"/>
    <d v="2023-07-15T00:00:00"/>
    <x v="165"/>
    <n v="7"/>
    <x v="1"/>
    <x v="6"/>
    <x v="1"/>
    <s v="Jonas Bergulfsen"/>
    <n v="3459"/>
    <s v="No"/>
    <x v="30"/>
  </r>
  <r>
    <n v="990780"/>
    <n v="1068"/>
    <x v="4"/>
    <d v="2023-11-06T00:00:00"/>
    <x v="100"/>
    <n v="11"/>
    <x v="5"/>
    <x v="2"/>
    <x v="0"/>
    <s v="Kyung Yu"/>
    <n v="6407"/>
    <s v="No"/>
    <x v="72"/>
  </r>
  <r>
    <n v="990832"/>
    <n v="9"/>
    <x v="3"/>
    <d v="2023-07-30T00:00:00"/>
    <x v="139"/>
    <n v="7"/>
    <x v="6"/>
    <x v="6"/>
    <x v="0"/>
    <s v="Kwai Yu"/>
    <n v="8202"/>
    <s v="No"/>
    <x v="21"/>
  </r>
  <r>
    <n v="990950"/>
    <n v="1948"/>
    <x v="0"/>
    <d v="2023-06-24T00:00:00"/>
    <x v="19"/>
    <n v="6"/>
    <x v="1"/>
    <x v="7"/>
    <x v="1"/>
    <s v="Akiko Shimamura"/>
    <n v="2414"/>
    <s v="No"/>
    <x v="33"/>
  </r>
  <r>
    <n v="991491"/>
    <n v="1789"/>
    <x v="7"/>
    <d v="2023-11-09T00:00:00"/>
    <x v="155"/>
    <n v="11"/>
    <x v="3"/>
    <x v="2"/>
    <x v="2"/>
    <s v="Juri Hirano"/>
    <n v="5990"/>
    <s v="No"/>
    <x v="31"/>
  </r>
  <r>
    <n v="991744"/>
    <n v="303"/>
    <x v="1"/>
    <d v="2023-10-17T00:00:00"/>
    <x v="180"/>
    <n v="10"/>
    <x v="2"/>
    <x v="3"/>
    <x v="0"/>
    <s v="Tony Calaghan"/>
    <n v="6212"/>
    <s v="No"/>
    <x v="38"/>
  </r>
  <r>
    <n v="992007"/>
    <n v="576"/>
    <x v="0"/>
    <d v="2023-08-02T00:00:00"/>
    <x v="116"/>
    <n v="8"/>
    <x v="4"/>
    <x v="8"/>
    <x v="3"/>
    <s v="Maria Larsson"/>
    <n v="839"/>
    <s v="No"/>
    <x v="59"/>
  </r>
  <r>
    <n v="992535"/>
    <n v="1239"/>
    <x v="4"/>
    <d v="2023-01-12T00:00:00"/>
    <x v="125"/>
    <n v="1"/>
    <x v="3"/>
    <x v="9"/>
    <x v="0"/>
    <s v="Elizabeth Devon"/>
    <n v="2549"/>
    <s v="No"/>
    <x v="46"/>
  </r>
  <r>
    <n v="993121"/>
    <n v="864"/>
    <x v="0"/>
    <d v="2023-05-08T00:00:00"/>
    <x v="138"/>
    <n v="5"/>
    <x v="5"/>
    <x v="11"/>
    <x v="0"/>
    <s v="Diego Freyre"/>
    <n v="4384"/>
    <s v="No"/>
    <x v="61"/>
  </r>
  <r>
    <n v="993369"/>
    <n v="1454"/>
    <x v="4"/>
    <d v="2023-08-12T00:00:00"/>
    <x v="77"/>
    <n v="8"/>
    <x v="1"/>
    <x v="8"/>
    <x v="0"/>
    <s v="Victoria Ashworth"/>
    <n v="8577"/>
    <s v="No"/>
    <x v="37"/>
  </r>
  <r>
    <n v="993889"/>
    <n v="562"/>
    <x v="5"/>
    <d v="2023-03-21T00:00:00"/>
    <x v="135"/>
    <n v="3"/>
    <x v="2"/>
    <x v="4"/>
    <x v="0"/>
    <s v="Carine Schmitt"/>
    <n v="2862"/>
    <s v="No"/>
    <x v="21"/>
  </r>
  <r>
    <n v="993964"/>
    <n v="1143"/>
    <x v="2"/>
    <d v="2023-12-28T00:00:00"/>
    <x v="181"/>
    <n v="12"/>
    <x v="3"/>
    <x v="0"/>
    <x v="1"/>
    <s v="Paul Henriot"/>
    <n v="8644"/>
    <s v="No"/>
    <x v="0"/>
  </r>
  <r>
    <n v="995268"/>
    <n v="1434"/>
    <x v="0"/>
    <d v="2023-06-03T00:00:00"/>
    <x v="50"/>
    <n v="6"/>
    <x v="1"/>
    <x v="7"/>
    <x v="2"/>
    <s v="Anna O'Hara"/>
    <n v="3688"/>
    <s v="No"/>
    <x v="48"/>
  </r>
  <r>
    <n v="995410"/>
    <n v="1355"/>
    <x v="4"/>
    <d v="2023-04-29T00:00:00"/>
    <x v="168"/>
    <n v="4"/>
    <x v="1"/>
    <x v="1"/>
    <x v="2"/>
    <s v="Palle Ibsen"/>
    <n v="114"/>
    <s v="No"/>
    <x v="69"/>
  </r>
  <r>
    <n v="996729"/>
    <n v="1416"/>
    <x v="0"/>
    <d v="2023-03-30T00:00:00"/>
    <x v="115"/>
    <n v="3"/>
    <x v="3"/>
    <x v="4"/>
    <x v="2"/>
    <s v="Julie King"/>
    <n v="3726"/>
    <s v="No"/>
    <x v="58"/>
  </r>
  <r>
    <n v="996929"/>
    <n v="1209"/>
    <x v="10"/>
    <d v="2023-05-27T00:00:00"/>
    <x v="0"/>
    <n v="5"/>
    <x v="1"/>
    <x v="11"/>
    <x v="1"/>
    <s v="Veysel Oeztan"/>
    <n v="3144"/>
    <s v="No"/>
    <x v="4"/>
  </r>
  <r>
    <n v="997669"/>
    <n v="475"/>
    <x v="0"/>
    <d v="2023-01-22T00:00:00"/>
    <x v="24"/>
    <n v="1"/>
    <x v="6"/>
    <x v="9"/>
    <x v="3"/>
    <s v="Valarie Young"/>
    <n v="4684"/>
    <s v="No"/>
    <x v="66"/>
  </r>
  <r>
    <n v="998784"/>
    <n v="30"/>
    <x v="3"/>
    <d v="2023-05-08T00:00:00"/>
    <x v="120"/>
    <n v="5"/>
    <x v="5"/>
    <x v="11"/>
    <x v="0"/>
    <s v="Jeff Young"/>
    <n v="3801"/>
    <s v="No"/>
    <x v="54"/>
  </r>
  <r>
    <n v="998926"/>
    <n v="1677"/>
    <x v="2"/>
    <d v="2023-08-05T00:00:00"/>
    <x v="103"/>
    <n v="8"/>
    <x v="1"/>
    <x v="8"/>
    <x v="3"/>
    <s v="Diego Freyre"/>
    <n v="9356"/>
    <s v="No"/>
    <x v="66"/>
  </r>
  <r>
    <n v="999060"/>
    <n v="773"/>
    <x v="0"/>
    <d v="2023-05-17T00:00:00"/>
    <x v="150"/>
    <n v="5"/>
    <x v="4"/>
    <x v="11"/>
    <x v="1"/>
    <s v="Valarie Thompson"/>
    <n v="2259"/>
    <s v="No"/>
    <x v="55"/>
  </r>
  <r>
    <n v="999352"/>
    <n v="214"/>
    <x v="0"/>
    <d v="2023-12-07T00:00:00"/>
    <x v="153"/>
    <n v="12"/>
    <x v="3"/>
    <x v="0"/>
    <x v="2"/>
    <s v="Frederique Citeaux"/>
    <n v="8616"/>
    <s v="No"/>
    <x v="65"/>
  </r>
  <r>
    <n v="999621"/>
    <n v="1643"/>
    <x v="6"/>
    <d v="2023-07-31T00:00:00"/>
    <x v="6"/>
    <n v="7"/>
    <x v="5"/>
    <x v="6"/>
    <x v="2"/>
    <s v="Maurizio Moroni"/>
    <n v="4264"/>
    <s v="No"/>
    <x v="3"/>
  </r>
  <r>
    <n v="1000209"/>
    <n v="240"/>
    <x v="0"/>
    <d v="2023-08-22T00:00:00"/>
    <x v="168"/>
    <n v="8"/>
    <x v="2"/>
    <x v="8"/>
    <x v="3"/>
    <s v="Sue King"/>
    <n v="3641"/>
    <s v="No"/>
    <x v="42"/>
  </r>
  <r>
    <n v="1000225"/>
    <n v="1329"/>
    <x v="0"/>
    <d v="2023-08-25T00:00:00"/>
    <x v="182"/>
    <n v="8"/>
    <x v="0"/>
    <x v="8"/>
    <x v="2"/>
    <s v="Wendy Victorino"/>
    <n v="3066"/>
    <s v="No"/>
    <x v="14"/>
  </r>
  <r>
    <n v="1000578"/>
    <n v="1344"/>
    <x v="4"/>
    <d v="2023-05-24T00:00:00"/>
    <x v="91"/>
    <n v="5"/>
    <x v="4"/>
    <x v="11"/>
    <x v="3"/>
    <s v="Jan Klaeboe"/>
    <n v="2515"/>
    <s v="No"/>
    <x v="28"/>
  </r>
  <r>
    <n v="1000651"/>
    <n v="1883"/>
    <x v="0"/>
    <d v="2023-03-25T00:00:00"/>
    <x v="165"/>
    <n v="3"/>
    <x v="1"/>
    <x v="4"/>
    <x v="1"/>
    <s v="Diego Freyre"/>
    <n v="1594"/>
    <s v="No"/>
    <x v="1"/>
  </r>
  <r>
    <n v="1001243"/>
    <n v="318"/>
    <x v="1"/>
    <d v="2023-05-16T00:00:00"/>
    <x v="52"/>
    <n v="5"/>
    <x v="2"/>
    <x v="11"/>
    <x v="1"/>
    <s v="Violeta Benitez"/>
    <n v="3114"/>
    <s v="No"/>
    <x v="31"/>
  </r>
  <r>
    <n v="1001621"/>
    <n v="1506"/>
    <x v="0"/>
    <d v="2023-12-08T00:00:00"/>
    <x v="29"/>
    <n v="12"/>
    <x v="0"/>
    <x v="0"/>
    <x v="3"/>
    <s v="Victoria Ashworth"/>
    <n v="9768"/>
    <s v="No"/>
    <x v="65"/>
  </r>
  <r>
    <n v="1001825"/>
    <n v="1304"/>
    <x v="2"/>
    <d v="2023-06-01T00:00:00"/>
    <x v="183"/>
    <n v="6"/>
    <x v="3"/>
    <x v="7"/>
    <x v="2"/>
    <s v="Paul Henriot"/>
    <n v="7174"/>
    <s v="No"/>
    <x v="65"/>
  </r>
  <r>
    <n v="1003235"/>
    <n v="1435"/>
    <x v="3"/>
    <d v="2023-04-05T00:00:00"/>
    <x v="41"/>
    <n v="4"/>
    <x v="4"/>
    <x v="1"/>
    <x v="1"/>
    <s v="Julie Young"/>
    <n v="9029"/>
    <s v="No"/>
    <x v="23"/>
  </r>
  <r>
    <n v="1003833"/>
    <n v="1270"/>
    <x v="0"/>
    <d v="2023-03-14T00:00:00"/>
    <x v="78"/>
    <n v="3"/>
    <x v="2"/>
    <x v="4"/>
    <x v="3"/>
    <s v="Diego Freyre"/>
    <n v="5170"/>
    <s v="No"/>
    <x v="68"/>
  </r>
  <r>
    <n v="1004136"/>
    <n v="305"/>
    <x v="6"/>
    <d v="2023-04-25T00:00:00"/>
    <x v="146"/>
    <n v="4"/>
    <x v="2"/>
    <x v="1"/>
    <x v="1"/>
    <s v="Sue Frick"/>
    <n v="4465"/>
    <s v="No"/>
    <x v="30"/>
  </r>
  <r>
    <n v="1004148"/>
    <n v="9"/>
    <x v="3"/>
    <d v="2023-10-01T00:00:00"/>
    <x v="130"/>
    <n v="10"/>
    <x v="6"/>
    <x v="3"/>
    <x v="1"/>
    <s v="Adrian Huxley"/>
    <n v="9670"/>
    <s v="No"/>
    <x v="21"/>
  </r>
  <r>
    <n v="1004722"/>
    <n v="1176"/>
    <x v="0"/>
    <d v="2023-06-04T00:00:00"/>
    <x v="128"/>
    <n v="6"/>
    <x v="6"/>
    <x v="7"/>
    <x v="1"/>
    <s v="Giovanni Rovelli"/>
    <n v="315"/>
    <s v="No"/>
    <x v="20"/>
  </r>
  <r>
    <n v="1004737"/>
    <n v="324"/>
    <x v="6"/>
    <d v="2023-08-06T00:00:00"/>
    <x v="23"/>
    <n v="8"/>
    <x v="6"/>
    <x v="8"/>
    <x v="0"/>
    <s v="Peter Ferguson"/>
    <n v="9848"/>
    <s v="No"/>
    <x v="9"/>
  </r>
  <r>
    <n v="1005091"/>
    <n v="750"/>
    <x v="10"/>
    <d v="2023-03-29T00:00:00"/>
    <x v="24"/>
    <n v="3"/>
    <x v="4"/>
    <x v="4"/>
    <x v="3"/>
    <s v="Diego Freyre"/>
    <n v="6680"/>
    <s v="No"/>
    <x v="28"/>
  </r>
  <r>
    <n v="1006791"/>
    <n v="425"/>
    <x v="1"/>
    <d v="2023-07-18T00:00:00"/>
    <x v="184"/>
    <n v="7"/>
    <x v="2"/>
    <x v="6"/>
    <x v="2"/>
    <s v="Julie Young"/>
    <n v="8280"/>
    <s v="No"/>
    <x v="66"/>
  </r>
  <r>
    <n v="1007141"/>
    <n v="50"/>
    <x v="8"/>
    <d v="2023-12-12T00:00:00"/>
    <x v="185"/>
    <n v="12"/>
    <x v="2"/>
    <x v="0"/>
    <x v="3"/>
    <s v="Juri Hirano"/>
    <n v="2689"/>
    <s v="No"/>
    <x v="69"/>
  </r>
  <r>
    <n v="1007700"/>
    <n v="841"/>
    <x v="0"/>
    <d v="2023-09-10T00:00:00"/>
    <x v="99"/>
    <n v="9"/>
    <x v="6"/>
    <x v="10"/>
    <x v="2"/>
    <s v="Mory Kentary"/>
    <n v="7646"/>
    <s v="No"/>
    <x v="53"/>
  </r>
  <r>
    <n v="1008914"/>
    <n v="247"/>
    <x v="3"/>
    <d v="2023-03-14T00:00:00"/>
    <x v="162"/>
    <n v="3"/>
    <x v="2"/>
    <x v="4"/>
    <x v="2"/>
    <s v="Peter Ferguson"/>
    <n v="1718"/>
    <s v="No"/>
    <x v="23"/>
  </r>
  <r>
    <n v="1011917"/>
    <n v="1586"/>
    <x v="3"/>
    <d v="2023-06-21T00:00:00"/>
    <x v="84"/>
    <n v="6"/>
    <x v="4"/>
    <x v="7"/>
    <x v="3"/>
    <s v="Elizabeth Lincoln"/>
    <n v="498"/>
    <s v="No"/>
    <x v="53"/>
  </r>
  <r>
    <n v="1012304"/>
    <n v="1253"/>
    <x v="0"/>
    <d v="2023-01-22T00:00:00"/>
    <x v="115"/>
    <n v="1"/>
    <x v="6"/>
    <x v="9"/>
    <x v="2"/>
    <s v="Sue Frick"/>
    <n v="6132"/>
    <s v="No"/>
    <x v="33"/>
  </r>
  <r>
    <n v="1013457"/>
    <n v="313"/>
    <x v="1"/>
    <d v="2023-07-17T00:00:00"/>
    <x v="85"/>
    <n v="7"/>
    <x v="5"/>
    <x v="6"/>
    <x v="2"/>
    <s v="Diego Freyre"/>
    <n v="3289"/>
    <s v="No"/>
    <x v="57"/>
  </r>
  <r>
    <n v="1013492"/>
    <n v="1294"/>
    <x v="3"/>
    <d v="2023-11-23T00:00:00"/>
    <x v="101"/>
    <n v="11"/>
    <x v="3"/>
    <x v="2"/>
    <x v="3"/>
    <s v="Janine Labrune"/>
    <n v="4442"/>
    <s v="No"/>
    <x v="26"/>
  </r>
  <r>
    <n v="1014185"/>
    <n v="1359"/>
    <x v="0"/>
    <d v="2023-11-15T00:00:00"/>
    <x v="148"/>
    <n v="11"/>
    <x v="4"/>
    <x v="2"/>
    <x v="3"/>
    <s v="Jan Klaeboe"/>
    <n v="2585"/>
    <s v="No"/>
    <x v="61"/>
  </r>
  <r>
    <n v="1014215"/>
    <n v="1558"/>
    <x v="10"/>
    <d v="2023-06-10T00:00:00"/>
    <x v="186"/>
    <n v="6"/>
    <x v="1"/>
    <x v="7"/>
    <x v="3"/>
    <s v="Dean Cassidy"/>
    <n v="858"/>
    <s v="No"/>
    <x v="69"/>
  </r>
  <r>
    <n v="1014724"/>
    <n v="744"/>
    <x v="10"/>
    <d v="2023-12-17T00:00:00"/>
    <x v="187"/>
    <n v="12"/>
    <x v="6"/>
    <x v="0"/>
    <x v="0"/>
    <s v="Steve Frick"/>
    <n v="231"/>
    <s v="No"/>
    <x v="19"/>
  </r>
  <r>
    <n v="1015146"/>
    <n v="1469"/>
    <x v="2"/>
    <d v="2023-04-11T00:00:00"/>
    <x v="142"/>
    <n v="4"/>
    <x v="2"/>
    <x v="1"/>
    <x v="2"/>
    <s v="Helen Bennett"/>
    <n v="9395"/>
    <s v="No"/>
    <x v="4"/>
  </r>
  <r>
    <n v="1016109"/>
    <n v="1256"/>
    <x v="4"/>
    <d v="2023-12-30T00:00:00"/>
    <x v="70"/>
    <n v="12"/>
    <x v="1"/>
    <x v="0"/>
    <x v="0"/>
    <s v="Giovanni Rovelli"/>
    <n v="8981"/>
    <s v="No"/>
    <x v="3"/>
  </r>
  <r>
    <n v="1016456"/>
    <n v="69"/>
    <x v="0"/>
    <d v="2023-09-25T00:00:00"/>
    <x v="188"/>
    <n v="9"/>
    <x v="5"/>
    <x v="10"/>
    <x v="1"/>
    <s v="Akiko Shimamura"/>
    <n v="1984"/>
    <s v="No"/>
    <x v="36"/>
  </r>
  <r>
    <n v="1016563"/>
    <n v="216"/>
    <x v="1"/>
    <d v="2023-11-08T00:00:00"/>
    <x v="187"/>
    <n v="11"/>
    <x v="4"/>
    <x v="2"/>
    <x v="3"/>
    <s v="Dan Lewis"/>
    <n v="8735"/>
    <s v="No"/>
    <x v="23"/>
  </r>
  <r>
    <n v="1017548"/>
    <n v="187"/>
    <x v="3"/>
    <d v="2023-02-13T00:00:00"/>
    <x v="83"/>
    <n v="2"/>
    <x v="5"/>
    <x v="5"/>
    <x v="2"/>
    <s v="Tony Calaghan"/>
    <n v="7555"/>
    <s v="No"/>
    <x v="17"/>
  </r>
  <r>
    <n v="1018145"/>
    <n v="523"/>
    <x v="0"/>
    <d v="2023-11-09T00:00:00"/>
    <x v="27"/>
    <n v="11"/>
    <x v="3"/>
    <x v="2"/>
    <x v="0"/>
    <s v="Diego Freyre"/>
    <n v="9449"/>
    <s v="No"/>
    <x v="47"/>
  </r>
  <r>
    <n v="1018282"/>
    <n v="814"/>
    <x v="0"/>
    <d v="2023-12-07T00:00:00"/>
    <x v="53"/>
    <n v="12"/>
    <x v="3"/>
    <x v="0"/>
    <x v="3"/>
    <s v="Paul Henriot"/>
    <n v="6590"/>
    <s v="No"/>
    <x v="52"/>
  </r>
  <r>
    <n v="1018548"/>
    <n v="442"/>
    <x v="0"/>
    <d v="2023-03-07T00:00:00"/>
    <x v="56"/>
    <n v="3"/>
    <x v="2"/>
    <x v="4"/>
    <x v="3"/>
    <s v="William Brown"/>
    <n v="8622"/>
    <s v="No"/>
    <x v="14"/>
  </r>
  <r>
    <n v="1019737"/>
    <n v="1970"/>
    <x v="3"/>
    <d v="2023-06-04T00:00:00"/>
    <x v="164"/>
    <n v="6"/>
    <x v="6"/>
    <x v="7"/>
    <x v="1"/>
    <s v="Maurizio Moroni"/>
    <n v="5789"/>
    <s v="No"/>
    <x v="33"/>
  </r>
  <r>
    <n v="1020737"/>
    <n v="575"/>
    <x v="1"/>
    <d v="2023-12-07T00:00:00"/>
    <x v="157"/>
    <n v="12"/>
    <x v="3"/>
    <x v="0"/>
    <x v="3"/>
    <s v="Roland Keitel"/>
    <n v="7392"/>
    <s v="No"/>
    <x v="67"/>
  </r>
  <r>
    <n v="1021024"/>
    <n v="283"/>
    <x v="0"/>
    <d v="2023-07-05T00:00:00"/>
    <x v="50"/>
    <n v="7"/>
    <x v="4"/>
    <x v="6"/>
    <x v="1"/>
    <s v="Victoria Ashworth"/>
    <n v="2928"/>
    <s v="No"/>
    <x v="65"/>
  </r>
  <r>
    <n v="1023043"/>
    <n v="1237"/>
    <x v="0"/>
    <d v="2023-08-28T00:00:00"/>
    <x v="148"/>
    <n v="8"/>
    <x v="5"/>
    <x v="8"/>
    <x v="3"/>
    <s v="Sue King"/>
    <n v="534"/>
    <s v="No"/>
    <x v="27"/>
  </r>
  <r>
    <n v="1024120"/>
    <n v="1323"/>
    <x v="11"/>
    <d v="2023-02-07T00:00:00"/>
    <x v="88"/>
    <n v="2"/>
    <x v="2"/>
    <x v="5"/>
    <x v="2"/>
    <s v="Sue Taylor"/>
    <n v="2228"/>
    <s v="No"/>
    <x v="49"/>
  </r>
  <r>
    <n v="1024270"/>
    <n v="1292"/>
    <x v="0"/>
    <d v="2023-05-04T00:00:00"/>
    <x v="179"/>
    <n v="5"/>
    <x v="3"/>
    <x v="11"/>
    <x v="1"/>
    <s v="Julie Brown"/>
    <n v="114"/>
    <s v="No"/>
    <x v="4"/>
  </r>
  <r>
    <n v="1025204"/>
    <n v="1504"/>
    <x v="3"/>
    <d v="2023-07-15T00:00:00"/>
    <x v="20"/>
    <n v="7"/>
    <x v="1"/>
    <x v="6"/>
    <x v="2"/>
    <s v="Giovanni Rovelli"/>
    <n v="1043"/>
    <s v="No"/>
    <x v="19"/>
  </r>
  <r>
    <n v="1025560"/>
    <n v="1534"/>
    <x v="0"/>
    <d v="2023-04-13T00:00:00"/>
    <x v="189"/>
    <n v="4"/>
    <x v="3"/>
    <x v="1"/>
    <x v="0"/>
    <s v="Valarie Nelson"/>
    <n v="3748"/>
    <s v="No"/>
    <x v="65"/>
  </r>
  <r>
    <n v="1026131"/>
    <n v="1642"/>
    <x v="2"/>
    <d v="2023-01-19T00:00:00"/>
    <x v="151"/>
    <n v="1"/>
    <x v="3"/>
    <x v="9"/>
    <x v="2"/>
    <s v="Sean Connery"/>
    <n v="2027"/>
    <s v="No"/>
    <x v="9"/>
  </r>
  <r>
    <n v="1026611"/>
    <n v="899"/>
    <x v="0"/>
    <d v="2023-01-31T00:00:00"/>
    <x v="28"/>
    <n v="1"/>
    <x v="2"/>
    <x v="9"/>
    <x v="2"/>
    <s v="Diego Freyre"/>
    <n v="2950"/>
    <s v="No"/>
    <x v="21"/>
  </r>
  <r>
    <n v="1028549"/>
    <n v="950"/>
    <x v="3"/>
    <d v="2023-06-05T00:00:00"/>
    <x v="121"/>
    <n v="6"/>
    <x v="5"/>
    <x v="7"/>
    <x v="2"/>
    <s v="Mart¡n Sommer"/>
    <n v="6236"/>
    <s v="No"/>
    <x v="54"/>
  </r>
  <r>
    <n v="1028877"/>
    <n v="1695"/>
    <x v="4"/>
    <d v="2023-07-31T00:00:00"/>
    <x v="91"/>
    <n v="7"/>
    <x v="5"/>
    <x v="6"/>
    <x v="2"/>
    <s v="Mary Saveley"/>
    <n v="8062"/>
    <s v="No"/>
    <x v="2"/>
  </r>
  <r>
    <n v="1029432"/>
    <n v="169"/>
    <x v="3"/>
    <d v="2023-08-10T00:00:00"/>
    <x v="183"/>
    <n v="8"/>
    <x v="3"/>
    <x v="8"/>
    <x v="3"/>
    <s v="Valarie Franco"/>
    <n v="9527"/>
    <s v="No"/>
    <x v="53"/>
  </r>
  <r>
    <n v="1031465"/>
    <n v="808"/>
    <x v="0"/>
    <d v="2023-11-22T00:00:00"/>
    <x v="190"/>
    <n v="11"/>
    <x v="4"/>
    <x v="2"/>
    <x v="2"/>
    <s v="Paolo Accorti"/>
    <n v="7817"/>
    <s v="No"/>
    <x v="10"/>
  </r>
  <r>
    <n v="1031756"/>
    <n v="1053"/>
    <x v="1"/>
    <d v="2023-04-08T00:00:00"/>
    <x v="138"/>
    <n v="4"/>
    <x v="1"/>
    <x v="1"/>
    <x v="2"/>
    <s v="Wendy Victorino"/>
    <n v="8172"/>
    <s v="No"/>
    <x v="25"/>
  </r>
  <r>
    <n v="1032588"/>
    <n v="588"/>
    <x v="2"/>
    <d v="2023-11-11T00:00:00"/>
    <x v="0"/>
    <n v="11"/>
    <x v="1"/>
    <x v="2"/>
    <x v="0"/>
    <s v="Daniel Tonini"/>
    <n v="6085"/>
    <s v="No"/>
    <x v="53"/>
  </r>
  <r>
    <n v="1033000"/>
    <n v="327"/>
    <x v="1"/>
    <d v="2023-03-10T00:00:00"/>
    <x v="191"/>
    <n v="3"/>
    <x v="0"/>
    <x v="4"/>
    <x v="1"/>
    <s v="Valarie Nelson"/>
    <n v="3478"/>
    <s v="No"/>
    <x v="24"/>
  </r>
  <r>
    <n v="1033341"/>
    <n v="537"/>
    <x v="6"/>
    <d v="2023-12-06T00:00:00"/>
    <x v="85"/>
    <n v="12"/>
    <x v="4"/>
    <x v="0"/>
    <x v="0"/>
    <s v="Valarie Young"/>
    <n v="1935"/>
    <s v="No"/>
    <x v="30"/>
  </r>
  <r>
    <n v="1033877"/>
    <n v="13"/>
    <x v="4"/>
    <d v="2023-02-26T00:00:00"/>
    <x v="14"/>
    <n v="2"/>
    <x v="6"/>
    <x v="5"/>
    <x v="1"/>
    <s v="Victoria Ashworth"/>
    <n v="4612"/>
    <s v="No"/>
    <x v="58"/>
  </r>
  <r>
    <n v="1034415"/>
    <n v="427"/>
    <x v="1"/>
    <d v="2023-04-03T00:00:00"/>
    <x v="192"/>
    <n v="4"/>
    <x v="5"/>
    <x v="1"/>
    <x v="2"/>
    <s v="Laurence Lebihan"/>
    <n v="3464"/>
    <s v="No"/>
    <x v="0"/>
  </r>
  <r>
    <n v="1036614"/>
    <n v="898"/>
    <x v="0"/>
    <d v="2023-01-20T00:00:00"/>
    <x v="126"/>
    <n v="1"/>
    <x v="0"/>
    <x v="9"/>
    <x v="1"/>
    <s v="Daniel Da Cunha"/>
    <n v="4272"/>
    <s v="No"/>
    <x v="71"/>
  </r>
  <r>
    <n v="1036624"/>
    <n v="1607"/>
    <x v="6"/>
    <d v="2023-07-22T00:00:00"/>
    <x v="85"/>
    <n v="7"/>
    <x v="1"/>
    <x v="6"/>
    <x v="3"/>
    <s v="Julie Young"/>
    <n v="667"/>
    <s v="No"/>
    <x v="48"/>
  </r>
  <r>
    <n v="1036642"/>
    <n v="24"/>
    <x v="4"/>
    <d v="2023-05-03T00:00:00"/>
    <x v="83"/>
    <n v="5"/>
    <x v="4"/>
    <x v="11"/>
    <x v="0"/>
    <s v="Diego Freyre"/>
    <n v="9159"/>
    <s v="No"/>
    <x v="59"/>
  </r>
  <r>
    <n v="1038558"/>
    <n v="840"/>
    <x v="10"/>
    <d v="2023-07-03T00:00:00"/>
    <x v="129"/>
    <n v="7"/>
    <x v="5"/>
    <x v="6"/>
    <x v="3"/>
    <s v="Anna O'Hara"/>
    <n v="5596"/>
    <s v="No"/>
    <x v="59"/>
  </r>
  <r>
    <n v="1038672"/>
    <n v="1878"/>
    <x v="4"/>
    <d v="2023-11-03T00:00:00"/>
    <x v="193"/>
    <n v="11"/>
    <x v="0"/>
    <x v="2"/>
    <x v="0"/>
    <s v="Wendy Victorino"/>
    <n v="5918"/>
    <s v="No"/>
    <x v="32"/>
  </r>
  <r>
    <n v="1039481"/>
    <n v="194"/>
    <x v="1"/>
    <d v="2023-05-14T00:00:00"/>
    <x v="182"/>
    <n v="5"/>
    <x v="6"/>
    <x v="11"/>
    <x v="1"/>
    <s v="Adrian Huxley"/>
    <n v="8428"/>
    <s v="No"/>
    <x v="71"/>
  </r>
  <r>
    <n v="1039541"/>
    <n v="694"/>
    <x v="10"/>
    <d v="2023-01-23T00:00:00"/>
    <x v="6"/>
    <n v="1"/>
    <x v="5"/>
    <x v="9"/>
    <x v="0"/>
    <s v="Kwai Yu"/>
    <n v="8648"/>
    <s v="No"/>
    <x v="40"/>
  </r>
  <r>
    <n v="1041039"/>
    <n v="1826"/>
    <x v="2"/>
    <d v="2023-01-04T00:00:00"/>
    <x v="190"/>
    <n v="1"/>
    <x v="4"/>
    <x v="9"/>
    <x v="1"/>
    <s v="Peter Ferguson"/>
    <n v="7801"/>
    <s v="No"/>
    <x v="29"/>
  </r>
  <r>
    <n v="1041266"/>
    <n v="1598"/>
    <x v="11"/>
    <d v="2023-05-23T00:00:00"/>
    <x v="112"/>
    <n v="5"/>
    <x v="2"/>
    <x v="11"/>
    <x v="0"/>
    <s v="Daniel Da Cunha"/>
    <n v="1369"/>
    <s v="No"/>
    <x v="3"/>
  </r>
  <r>
    <n v="1042847"/>
    <n v="1524"/>
    <x v="3"/>
    <d v="2023-02-04T00:00:00"/>
    <x v="91"/>
    <n v="2"/>
    <x v="1"/>
    <x v="5"/>
    <x v="2"/>
    <s v="Julie Young"/>
    <n v="2979"/>
    <s v="No"/>
    <x v="21"/>
  </r>
  <r>
    <n v="1043105"/>
    <n v="288"/>
    <x v="0"/>
    <d v="2023-08-08T00:00:00"/>
    <x v="125"/>
    <n v="8"/>
    <x v="2"/>
    <x v="8"/>
    <x v="0"/>
    <s v="Jonas Bergulfsen"/>
    <n v="9185"/>
    <s v="No"/>
    <x v="4"/>
  </r>
  <r>
    <n v="1043175"/>
    <n v="644"/>
    <x v="5"/>
    <d v="2023-06-29T00:00:00"/>
    <x v="99"/>
    <n v="6"/>
    <x v="3"/>
    <x v="7"/>
    <x v="2"/>
    <s v="Juri Hirano"/>
    <n v="3317"/>
    <s v="No"/>
    <x v="57"/>
  </r>
  <r>
    <n v="1044084"/>
    <n v="1073"/>
    <x v="4"/>
    <d v="2023-04-24T00:00:00"/>
    <x v="52"/>
    <n v="4"/>
    <x v="5"/>
    <x v="1"/>
    <x v="1"/>
    <s v="Martine Rance"/>
    <n v="1891"/>
    <s v="No"/>
    <x v="52"/>
  </r>
  <r>
    <n v="1044744"/>
    <n v="1780"/>
    <x v="5"/>
    <d v="2023-02-11T00:00:00"/>
    <x v="72"/>
    <n v="2"/>
    <x v="1"/>
    <x v="5"/>
    <x v="2"/>
    <s v="Veysel Oeztan"/>
    <n v="5782"/>
    <s v="No"/>
    <x v="22"/>
  </r>
  <r>
    <n v="1045182"/>
    <n v="862"/>
    <x v="0"/>
    <d v="2023-02-26T00:00:00"/>
    <x v="76"/>
    <n v="2"/>
    <x v="6"/>
    <x v="5"/>
    <x v="1"/>
    <s v="Julie Murphy"/>
    <n v="8821"/>
    <s v="No"/>
    <x v="17"/>
  </r>
  <r>
    <n v="1045700"/>
    <n v="539"/>
    <x v="1"/>
    <d v="2023-12-02T00:00:00"/>
    <x v="162"/>
    <n v="12"/>
    <x v="1"/>
    <x v="0"/>
    <x v="1"/>
    <s v="Mory Kentary"/>
    <n v="5012"/>
    <s v="No"/>
    <x v="32"/>
  </r>
  <r>
    <n v="1046125"/>
    <n v="1258"/>
    <x v="0"/>
    <d v="2023-04-08T00:00:00"/>
    <x v="50"/>
    <n v="4"/>
    <x v="1"/>
    <x v="1"/>
    <x v="0"/>
    <s v="Peter Ferguson"/>
    <n v="9104"/>
    <s v="No"/>
    <x v="27"/>
  </r>
  <r>
    <n v="1046974"/>
    <n v="1060"/>
    <x v="1"/>
    <d v="2023-12-20T00:00:00"/>
    <x v="25"/>
    <n v="12"/>
    <x v="4"/>
    <x v="0"/>
    <x v="3"/>
    <s v="Rosa Hernandez"/>
    <n v="2067"/>
    <s v="No"/>
    <x v="14"/>
  </r>
  <r>
    <n v="1047821"/>
    <n v="1259"/>
    <x v="0"/>
    <d v="2023-06-27T00:00:00"/>
    <x v="159"/>
    <n v="6"/>
    <x v="2"/>
    <x v="7"/>
    <x v="1"/>
    <s v="Sue Frick"/>
    <n v="4812"/>
    <s v="No"/>
    <x v="23"/>
  </r>
  <r>
    <n v="1047874"/>
    <n v="420"/>
    <x v="4"/>
    <d v="2023-09-12T00:00:00"/>
    <x v="171"/>
    <n v="9"/>
    <x v="2"/>
    <x v="10"/>
    <x v="3"/>
    <s v="Julie King"/>
    <n v="4920"/>
    <s v="No"/>
    <x v="54"/>
  </r>
  <r>
    <n v="1050256"/>
    <n v="1770"/>
    <x v="9"/>
    <d v="2023-04-25T00:00:00"/>
    <x v="117"/>
    <n v="4"/>
    <x v="2"/>
    <x v="1"/>
    <x v="0"/>
    <s v="Janine Labrune"/>
    <n v="9723"/>
    <s v="No"/>
    <x v="51"/>
  </r>
  <r>
    <n v="1050351"/>
    <n v="497"/>
    <x v="0"/>
    <d v="2023-07-14T00:00:00"/>
    <x v="63"/>
    <n v="7"/>
    <x v="0"/>
    <x v="6"/>
    <x v="3"/>
    <s v="Marta Hernandez"/>
    <n v="9863"/>
    <s v="No"/>
    <x v="51"/>
  </r>
  <r>
    <n v="1050970"/>
    <n v="47"/>
    <x v="4"/>
    <d v="2023-05-09T00:00:00"/>
    <x v="32"/>
    <n v="5"/>
    <x v="2"/>
    <x v="11"/>
    <x v="2"/>
    <s v="Dean Cassidy"/>
    <n v="2859"/>
    <s v="No"/>
    <x v="5"/>
  </r>
  <r>
    <n v="1051057"/>
    <n v="482"/>
    <x v="3"/>
    <d v="2023-05-02T00:00:00"/>
    <x v="116"/>
    <n v="5"/>
    <x v="2"/>
    <x v="11"/>
    <x v="0"/>
    <s v="Steve Frick"/>
    <n v="4768"/>
    <s v="No"/>
    <x v="43"/>
  </r>
  <r>
    <n v="1051553"/>
    <n v="231"/>
    <x v="0"/>
    <d v="2023-09-29T00:00:00"/>
    <x v="151"/>
    <n v="9"/>
    <x v="0"/>
    <x v="10"/>
    <x v="1"/>
    <s v="Kyung Yu"/>
    <n v="8153"/>
    <s v="No"/>
    <x v="10"/>
  </r>
  <r>
    <n v="1052119"/>
    <n v="634"/>
    <x v="0"/>
    <d v="2023-08-15T00:00:00"/>
    <x v="107"/>
    <n v="8"/>
    <x v="2"/>
    <x v="8"/>
    <x v="1"/>
    <s v="Kwai Yu"/>
    <n v="4462"/>
    <s v="No"/>
    <x v="14"/>
  </r>
  <r>
    <n v="1052606"/>
    <n v="577"/>
    <x v="3"/>
    <d v="2023-11-03T00:00:00"/>
    <x v="107"/>
    <n v="11"/>
    <x v="0"/>
    <x v="2"/>
    <x v="3"/>
    <s v="Eduardo Saavedra"/>
    <n v="701"/>
    <s v="No"/>
    <x v="8"/>
  </r>
  <r>
    <n v="1053680"/>
    <n v="1618"/>
    <x v="0"/>
    <d v="2023-11-03T00:00:00"/>
    <x v="132"/>
    <n v="11"/>
    <x v="0"/>
    <x v="2"/>
    <x v="0"/>
    <s v="Kalle Suominen"/>
    <n v="6474"/>
    <s v="No"/>
    <x v="63"/>
  </r>
  <r>
    <n v="1054349"/>
    <n v="1473"/>
    <x v="0"/>
    <d v="2023-04-10T00:00:00"/>
    <x v="71"/>
    <n v="4"/>
    <x v="5"/>
    <x v="1"/>
    <x v="0"/>
    <s v="Janine Labrune"/>
    <n v="4060"/>
    <s v="No"/>
    <x v="28"/>
  </r>
  <r>
    <n v="1054639"/>
    <n v="1865"/>
    <x v="3"/>
    <d v="2023-02-26T00:00:00"/>
    <x v="126"/>
    <n v="2"/>
    <x v="6"/>
    <x v="5"/>
    <x v="1"/>
    <s v="Maria Larsson"/>
    <n v="4421"/>
    <s v="No"/>
    <x v="70"/>
  </r>
  <r>
    <n v="1055786"/>
    <n v="1205"/>
    <x v="4"/>
    <d v="2023-08-05T00:00:00"/>
    <x v="84"/>
    <n v="8"/>
    <x v="1"/>
    <x v="8"/>
    <x v="3"/>
    <s v="Dominique Perrier"/>
    <n v="7809"/>
    <s v="No"/>
    <x v="20"/>
  </r>
  <r>
    <n v="1055810"/>
    <n v="1362"/>
    <x v="10"/>
    <d v="2023-01-09T00:00:00"/>
    <x v="43"/>
    <n v="1"/>
    <x v="5"/>
    <x v="9"/>
    <x v="3"/>
    <s v="Maurizio Moroni"/>
    <n v="563"/>
    <s v="No"/>
    <x v="28"/>
  </r>
  <r>
    <n v="1055817"/>
    <n v="1697"/>
    <x v="3"/>
    <d v="2023-06-02T00:00:00"/>
    <x v="171"/>
    <n v="6"/>
    <x v="0"/>
    <x v="7"/>
    <x v="2"/>
    <s v="Jytte Petersen"/>
    <n v="8477"/>
    <s v="No"/>
    <x v="48"/>
  </r>
  <r>
    <n v="1056320"/>
    <n v="856"/>
    <x v="0"/>
    <d v="2023-04-08T00:00:00"/>
    <x v="32"/>
    <n v="4"/>
    <x v="1"/>
    <x v="1"/>
    <x v="1"/>
    <s v="Eric Natividad"/>
    <n v="6535"/>
    <s v="No"/>
    <x v="0"/>
  </r>
  <r>
    <n v="1056575"/>
    <n v="1149"/>
    <x v="0"/>
    <d v="2023-04-01T00:00:00"/>
    <x v="83"/>
    <n v="4"/>
    <x v="1"/>
    <x v="1"/>
    <x v="0"/>
    <s v="Ann Brown"/>
    <n v="1439"/>
    <s v="No"/>
    <x v="34"/>
  </r>
  <r>
    <n v="1056710"/>
    <n v="1243"/>
    <x v="4"/>
    <d v="2023-07-31T00:00:00"/>
    <x v="51"/>
    <n v="7"/>
    <x v="5"/>
    <x v="6"/>
    <x v="1"/>
    <s v="Valarie Nelson"/>
    <n v="1855"/>
    <s v="No"/>
    <x v="32"/>
  </r>
  <r>
    <n v="1057228"/>
    <n v="1029"/>
    <x v="4"/>
    <d v="2023-09-30T00:00:00"/>
    <x v="194"/>
    <n v="9"/>
    <x v="1"/>
    <x v="10"/>
    <x v="2"/>
    <s v="Diego Freyre"/>
    <n v="9442"/>
    <s v="No"/>
    <x v="23"/>
  </r>
  <r>
    <n v="1058164"/>
    <n v="1215"/>
    <x v="0"/>
    <d v="2023-07-22T00:00:00"/>
    <x v="76"/>
    <n v="7"/>
    <x v="1"/>
    <x v="6"/>
    <x v="3"/>
    <s v="Maria Larsson"/>
    <n v="4073"/>
    <s v="No"/>
    <x v="19"/>
  </r>
  <r>
    <n v="1058847"/>
    <n v="977"/>
    <x v="1"/>
    <d v="2023-09-09T00:00:00"/>
    <x v="176"/>
    <n v="9"/>
    <x v="1"/>
    <x v="10"/>
    <x v="2"/>
    <s v="Jesus Fernandez"/>
    <n v="2786"/>
    <s v="No"/>
    <x v="34"/>
  </r>
  <r>
    <n v="1059637"/>
    <n v="463"/>
    <x v="7"/>
    <d v="2023-08-09T00:00:00"/>
    <x v="65"/>
    <n v="8"/>
    <x v="4"/>
    <x v="8"/>
    <x v="3"/>
    <s v="Wing C Tam"/>
    <n v="3285"/>
    <s v="No"/>
    <x v="39"/>
  </r>
  <r>
    <n v="1059711"/>
    <n v="1479"/>
    <x v="0"/>
    <d v="2023-03-15T00:00:00"/>
    <x v="16"/>
    <n v="3"/>
    <x v="4"/>
    <x v="4"/>
    <x v="0"/>
    <s v="Eduardo Saavedra"/>
    <n v="5593"/>
    <s v="No"/>
    <x v="27"/>
  </r>
  <r>
    <n v="1060684"/>
    <n v="1252"/>
    <x v="0"/>
    <d v="2023-04-07T00:00:00"/>
    <x v="194"/>
    <n v="4"/>
    <x v="0"/>
    <x v="1"/>
    <x v="0"/>
    <s v="Mary Saveley"/>
    <n v="4684"/>
    <s v="No"/>
    <x v="50"/>
  </r>
  <r>
    <n v="1061016"/>
    <n v="1561"/>
    <x v="11"/>
    <d v="2023-09-10T00:00:00"/>
    <x v="177"/>
    <n v="9"/>
    <x v="6"/>
    <x v="10"/>
    <x v="3"/>
    <s v="Catherine Dewey"/>
    <n v="7486"/>
    <s v="No"/>
    <x v="9"/>
  </r>
  <r>
    <n v="1061210"/>
    <n v="721"/>
    <x v="1"/>
    <d v="2023-12-07T00:00:00"/>
    <x v="81"/>
    <n v="12"/>
    <x v="3"/>
    <x v="0"/>
    <x v="1"/>
    <s v="Helen Bennett"/>
    <n v="1496"/>
    <s v="No"/>
    <x v="7"/>
  </r>
  <r>
    <n v="1061320"/>
    <n v="1874"/>
    <x v="0"/>
    <d v="2023-06-25T00:00:00"/>
    <x v="162"/>
    <n v="6"/>
    <x v="6"/>
    <x v="7"/>
    <x v="1"/>
    <s v="Kwai Yu"/>
    <n v="2899"/>
    <s v="No"/>
    <x v="66"/>
  </r>
  <r>
    <n v="1061512"/>
    <n v="666"/>
    <x v="3"/>
    <d v="2023-03-02T00:00:00"/>
    <x v="124"/>
    <n v="3"/>
    <x v="3"/>
    <x v="4"/>
    <x v="1"/>
    <s v="Jean Fresnisre"/>
    <n v="1743"/>
    <s v="No"/>
    <x v="32"/>
  </r>
  <r>
    <n v="1062871"/>
    <n v="1248"/>
    <x v="0"/>
    <d v="2023-02-06T00:00:00"/>
    <x v="195"/>
    <n v="2"/>
    <x v="5"/>
    <x v="5"/>
    <x v="2"/>
    <s v="Catherine Dewey"/>
    <n v="6459"/>
    <s v="No"/>
    <x v="27"/>
  </r>
  <r>
    <n v="1063239"/>
    <n v="1639"/>
    <x v="6"/>
    <d v="2023-09-25T00:00:00"/>
    <x v="79"/>
    <n v="9"/>
    <x v="5"/>
    <x v="10"/>
    <x v="0"/>
    <s v="Elizabeth Lincoln"/>
    <n v="3101"/>
    <s v="No"/>
    <x v="56"/>
  </r>
  <r>
    <n v="1063742"/>
    <n v="212"/>
    <x v="7"/>
    <d v="2023-10-17T00:00:00"/>
    <x v="85"/>
    <n v="10"/>
    <x v="2"/>
    <x v="3"/>
    <x v="1"/>
    <s v="Paolo Accorti"/>
    <n v="359"/>
    <s v="No"/>
    <x v="11"/>
  </r>
  <r>
    <n v="1063767"/>
    <n v="1616"/>
    <x v="0"/>
    <d v="2023-07-26T00:00:00"/>
    <x v="146"/>
    <n v="7"/>
    <x v="4"/>
    <x v="6"/>
    <x v="3"/>
    <s v="Victoria Ashworth"/>
    <n v="1893"/>
    <s v="No"/>
    <x v="4"/>
  </r>
  <r>
    <n v="1064483"/>
    <n v="1571"/>
    <x v="0"/>
    <d v="2023-06-20T00:00:00"/>
    <x v="45"/>
    <n v="6"/>
    <x v="2"/>
    <x v="7"/>
    <x v="0"/>
    <s v="Janine Labrune"/>
    <n v="6345"/>
    <s v="No"/>
    <x v="37"/>
  </r>
  <r>
    <n v="1064762"/>
    <n v="1018"/>
    <x v="3"/>
    <d v="2023-10-25T00:00:00"/>
    <x v="36"/>
    <n v="10"/>
    <x v="4"/>
    <x v="3"/>
    <x v="1"/>
    <s v="Christina Berglund"/>
    <n v="1726"/>
    <s v="No"/>
    <x v="44"/>
  </r>
  <r>
    <n v="1064785"/>
    <n v="1063"/>
    <x v="1"/>
    <d v="2023-03-25T00:00:00"/>
    <x v="28"/>
    <n v="3"/>
    <x v="1"/>
    <x v="4"/>
    <x v="1"/>
    <s v="Maria Hernandez"/>
    <n v="9830"/>
    <s v="No"/>
    <x v="43"/>
  </r>
  <r>
    <n v="1064900"/>
    <n v="1928"/>
    <x v="6"/>
    <d v="2023-10-12T00:00:00"/>
    <x v="85"/>
    <n v="10"/>
    <x v="3"/>
    <x v="3"/>
    <x v="2"/>
    <s v="Diego Freyre"/>
    <n v="7612"/>
    <s v="No"/>
    <x v="14"/>
  </r>
  <r>
    <n v="1068168"/>
    <n v="1101"/>
    <x v="1"/>
    <d v="2023-03-08T00:00:00"/>
    <x v="142"/>
    <n v="3"/>
    <x v="4"/>
    <x v="4"/>
    <x v="3"/>
    <s v="Akiko Shimamura"/>
    <n v="5967"/>
    <s v="No"/>
    <x v="18"/>
  </r>
  <r>
    <n v="1068397"/>
    <n v="3"/>
    <x v="0"/>
    <d v="2023-04-12T00:00:00"/>
    <x v="16"/>
    <n v="4"/>
    <x v="4"/>
    <x v="1"/>
    <x v="0"/>
    <s v="Julie Brown"/>
    <n v="9183"/>
    <s v="No"/>
    <x v="36"/>
  </r>
  <r>
    <n v="1069023"/>
    <n v="739"/>
    <x v="1"/>
    <d v="2023-02-14T00:00:00"/>
    <x v="60"/>
    <n v="2"/>
    <x v="2"/>
    <x v="5"/>
    <x v="3"/>
    <s v="Valarie Nelson"/>
    <n v="4804"/>
    <s v="No"/>
    <x v="66"/>
  </r>
  <r>
    <n v="1069094"/>
    <n v="1854"/>
    <x v="0"/>
    <d v="2023-08-27T00:00:00"/>
    <x v="122"/>
    <n v="8"/>
    <x v="6"/>
    <x v="8"/>
    <x v="0"/>
    <s v="Juri Yoshido"/>
    <n v="8536"/>
    <s v="No"/>
    <x v="27"/>
  </r>
  <r>
    <n v="1069668"/>
    <n v="517"/>
    <x v="6"/>
    <d v="2023-04-07T00:00:00"/>
    <x v="168"/>
    <n v="4"/>
    <x v="0"/>
    <x v="1"/>
    <x v="2"/>
    <s v="Roland Keitel"/>
    <n v="8146"/>
    <s v="No"/>
    <x v="55"/>
  </r>
  <r>
    <n v="1070209"/>
    <n v="973"/>
    <x v="0"/>
    <d v="2023-08-10T00:00:00"/>
    <x v="58"/>
    <n v="8"/>
    <x v="3"/>
    <x v="8"/>
    <x v="0"/>
    <s v="Victoria Ashworth"/>
    <n v="7741"/>
    <s v="No"/>
    <x v="63"/>
  </r>
  <r>
    <n v="1070297"/>
    <n v="1978"/>
    <x v="4"/>
    <d v="2023-03-08T00:00:00"/>
    <x v="196"/>
    <n v="3"/>
    <x v="4"/>
    <x v="4"/>
    <x v="1"/>
    <s v="Sue King"/>
    <n v="904"/>
    <s v="No"/>
    <x v="12"/>
  </r>
  <r>
    <n v="1070438"/>
    <n v="1420"/>
    <x v="0"/>
    <d v="2023-09-27T00:00:00"/>
    <x v="197"/>
    <n v="9"/>
    <x v="4"/>
    <x v="10"/>
    <x v="2"/>
    <s v="Sue Taylor"/>
    <n v="9991"/>
    <s v="No"/>
    <x v="9"/>
  </r>
  <r>
    <n v="1071701"/>
    <n v="1367"/>
    <x v="2"/>
    <d v="2023-01-16T00:00:00"/>
    <x v="36"/>
    <n v="1"/>
    <x v="5"/>
    <x v="9"/>
    <x v="2"/>
    <s v="Julie Brown"/>
    <n v="1445"/>
    <s v="No"/>
    <x v="5"/>
  </r>
  <r>
    <n v="1074617"/>
    <n v="158"/>
    <x v="0"/>
    <d v="2023-05-04T00:00:00"/>
    <x v="167"/>
    <n v="5"/>
    <x v="3"/>
    <x v="11"/>
    <x v="1"/>
    <s v="Giovanni Rovelli"/>
    <n v="4729"/>
    <s v="No"/>
    <x v="10"/>
  </r>
  <r>
    <n v="1074708"/>
    <n v="647"/>
    <x v="6"/>
    <d v="2023-03-12T00:00:00"/>
    <x v="135"/>
    <n v="3"/>
    <x v="6"/>
    <x v="4"/>
    <x v="3"/>
    <s v="Valarie Nelson"/>
    <n v="7648"/>
    <s v="No"/>
    <x v="15"/>
  </r>
  <r>
    <n v="1075036"/>
    <n v="587"/>
    <x v="0"/>
    <d v="2023-05-16T00:00:00"/>
    <x v="71"/>
    <n v="5"/>
    <x v="2"/>
    <x v="11"/>
    <x v="1"/>
    <s v="Sean Connery"/>
    <n v="5378"/>
    <s v="No"/>
    <x v="66"/>
  </r>
  <r>
    <n v="1075177"/>
    <n v="161"/>
    <x v="3"/>
    <d v="2023-03-07T00:00:00"/>
    <x v="106"/>
    <n v="3"/>
    <x v="2"/>
    <x v="4"/>
    <x v="3"/>
    <s v="Diego Freyre"/>
    <n v="1124"/>
    <s v="No"/>
    <x v="17"/>
  </r>
  <r>
    <n v="1075183"/>
    <n v="1971"/>
    <x v="4"/>
    <d v="2023-04-24T00:00:00"/>
    <x v="133"/>
    <n v="4"/>
    <x v="5"/>
    <x v="1"/>
    <x v="1"/>
    <s v="Mart¡n Sommer"/>
    <n v="3747"/>
    <s v="No"/>
    <x v="60"/>
  </r>
  <r>
    <n v="1075762"/>
    <n v="1612"/>
    <x v="4"/>
    <d v="2023-10-02T00:00:00"/>
    <x v="198"/>
    <n v="10"/>
    <x v="5"/>
    <x v="3"/>
    <x v="3"/>
    <s v="Mary Saveley"/>
    <n v="3402"/>
    <s v="No"/>
    <x v="21"/>
  </r>
  <r>
    <n v="1076092"/>
    <n v="1938"/>
    <x v="0"/>
    <d v="2023-03-01T00:00:00"/>
    <x v="161"/>
    <n v="3"/>
    <x v="4"/>
    <x v="4"/>
    <x v="0"/>
    <s v="Diego Freyre"/>
    <n v="698"/>
    <s v="No"/>
    <x v="41"/>
  </r>
  <r>
    <n v="1076764"/>
    <n v="1162"/>
    <x v="0"/>
    <d v="2023-12-04T00:00:00"/>
    <x v="11"/>
    <n v="12"/>
    <x v="5"/>
    <x v="0"/>
    <x v="2"/>
    <s v="Frederique Citeaux"/>
    <n v="1938"/>
    <s v="No"/>
    <x v="27"/>
  </r>
  <r>
    <n v="1077723"/>
    <n v="868"/>
    <x v="11"/>
    <d v="2023-01-02T00:00:00"/>
    <x v="115"/>
    <n v="1"/>
    <x v="5"/>
    <x v="9"/>
    <x v="1"/>
    <s v="Paolo Accorti"/>
    <n v="3711"/>
    <s v="No"/>
    <x v="34"/>
  </r>
  <r>
    <n v="1078422"/>
    <n v="1917"/>
    <x v="0"/>
    <d v="2023-12-06T00:00:00"/>
    <x v="199"/>
    <n v="12"/>
    <x v="4"/>
    <x v="0"/>
    <x v="1"/>
    <s v="Veysel Oeztan"/>
    <n v="3916"/>
    <s v="No"/>
    <x v="42"/>
  </r>
  <r>
    <n v="1078820"/>
    <n v="1431"/>
    <x v="0"/>
    <d v="2023-08-09T00:00:00"/>
    <x v="186"/>
    <n v="8"/>
    <x v="4"/>
    <x v="8"/>
    <x v="3"/>
    <s v="Daniel Tonini"/>
    <n v="5495"/>
    <s v="No"/>
    <x v="42"/>
  </r>
  <r>
    <n v="1079090"/>
    <n v="1368"/>
    <x v="0"/>
    <d v="2023-04-02T00:00:00"/>
    <x v="123"/>
    <n v="4"/>
    <x v="6"/>
    <x v="1"/>
    <x v="2"/>
    <s v="Valarie Nelson"/>
    <n v="6597"/>
    <s v="No"/>
    <x v="26"/>
  </r>
  <r>
    <n v="1079225"/>
    <n v="1393"/>
    <x v="2"/>
    <d v="2023-02-24T00:00:00"/>
    <x v="66"/>
    <n v="2"/>
    <x v="0"/>
    <x v="5"/>
    <x v="0"/>
    <s v="Valarie Young"/>
    <n v="3345"/>
    <s v="No"/>
    <x v="15"/>
  </r>
  <r>
    <n v="1079355"/>
    <n v="1469"/>
    <x v="2"/>
    <d v="2023-03-19T00:00:00"/>
    <x v="9"/>
    <n v="3"/>
    <x v="6"/>
    <x v="4"/>
    <x v="2"/>
    <s v="Victoria Ashworth"/>
    <n v="3196"/>
    <s v="No"/>
    <x v="4"/>
  </r>
  <r>
    <n v="1079761"/>
    <n v="1873"/>
    <x v="6"/>
    <d v="2023-09-18T00:00:00"/>
    <x v="52"/>
    <n v="9"/>
    <x v="5"/>
    <x v="10"/>
    <x v="1"/>
    <s v="Carine Schmitt"/>
    <n v="9752"/>
    <s v="No"/>
    <x v="1"/>
  </r>
  <r>
    <n v="1081409"/>
    <n v="1084"/>
    <x v="1"/>
    <d v="2023-10-01T00:00:00"/>
    <x v="28"/>
    <n v="10"/>
    <x v="6"/>
    <x v="3"/>
    <x v="1"/>
    <s v="Daniel Da Cunha"/>
    <n v="7433"/>
    <s v="No"/>
    <x v="21"/>
  </r>
  <r>
    <n v="1081894"/>
    <n v="787"/>
    <x v="9"/>
    <d v="2023-02-08T00:00:00"/>
    <x v="200"/>
    <n v="2"/>
    <x v="4"/>
    <x v="5"/>
    <x v="0"/>
    <s v="Julie Young"/>
    <n v="5113"/>
    <s v="No"/>
    <x v="28"/>
  </r>
  <r>
    <n v="1083336"/>
    <n v="441"/>
    <x v="0"/>
    <d v="2023-02-19T00:00:00"/>
    <x v="34"/>
    <n v="2"/>
    <x v="6"/>
    <x v="5"/>
    <x v="2"/>
    <s v="Diego Freyre"/>
    <n v="5859"/>
    <s v="No"/>
    <x v="55"/>
  </r>
  <r>
    <n v="1085382"/>
    <n v="969"/>
    <x v="0"/>
    <d v="2023-03-10T00:00:00"/>
    <x v="7"/>
    <n v="3"/>
    <x v="0"/>
    <x v="4"/>
    <x v="0"/>
    <s v="Anna O'Hara"/>
    <n v="5959"/>
    <s v="No"/>
    <x v="18"/>
  </r>
  <r>
    <n v="1085556"/>
    <n v="217"/>
    <x v="0"/>
    <d v="2023-12-29T00:00:00"/>
    <x v="177"/>
    <n v="12"/>
    <x v="0"/>
    <x v="0"/>
    <x v="3"/>
    <s v="Valarie Nelson"/>
    <n v="6006"/>
    <s v="No"/>
    <x v="52"/>
  </r>
  <r>
    <n v="1086091"/>
    <n v="863"/>
    <x v="12"/>
    <d v="2023-09-10T00:00:00"/>
    <x v="99"/>
    <n v="9"/>
    <x v="6"/>
    <x v="10"/>
    <x v="3"/>
    <s v="Jonas Bergulfsen"/>
    <n v="6063"/>
    <s v="No"/>
    <x v="42"/>
  </r>
  <r>
    <n v="1086104"/>
    <n v="654"/>
    <x v="3"/>
    <d v="2023-09-22T00:00:00"/>
    <x v="54"/>
    <n v="9"/>
    <x v="0"/>
    <x v="10"/>
    <x v="2"/>
    <s v="Marie Bertrand"/>
    <n v="1737"/>
    <s v="No"/>
    <x v="66"/>
  </r>
  <r>
    <n v="1086327"/>
    <n v="62"/>
    <x v="0"/>
    <d v="2023-01-13T00:00:00"/>
    <x v="157"/>
    <n v="1"/>
    <x v="0"/>
    <x v="9"/>
    <x v="3"/>
    <s v="Mart¡n Sommer"/>
    <n v="4910"/>
    <s v="No"/>
    <x v="53"/>
  </r>
  <r>
    <n v="1086644"/>
    <n v="940"/>
    <x v="0"/>
    <d v="2023-08-21T00:00:00"/>
    <x v="83"/>
    <n v="8"/>
    <x v="5"/>
    <x v="8"/>
    <x v="2"/>
    <s v="Juri Hirano"/>
    <n v="9735"/>
    <s v="No"/>
    <x v="33"/>
  </r>
  <r>
    <n v="1087661"/>
    <n v="1776"/>
    <x v="0"/>
    <d v="2023-12-23T00:00:00"/>
    <x v="175"/>
    <n v="12"/>
    <x v="1"/>
    <x v="0"/>
    <x v="1"/>
    <s v="Pirkko Koskitalo"/>
    <n v="10"/>
    <s v="No"/>
    <x v="55"/>
  </r>
  <r>
    <n v="1088292"/>
    <n v="337"/>
    <x v="5"/>
    <d v="2023-01-18T00:00:00"/>
    <x v="68"/>
    <n v="1"/>
    <x v="4"/>
    <x v="9"/>
    <x v="1"/>
    <s v="Eric Natividad"/>
    <n v="3551"/>
    <s v="No"/>
    <x v="30"/>
  </r>
  <r>
    <n v="1088350"/>
    <n v="606"/>
    <x v="0"/>
    <d v="2023-11-26T00:00:00"/>
    <x v="201"/>
    <n v="11"/>
    <x v="6"/>
    <x v="2"/>
    <x v="2"/>
    <s v="Ann Brown"/>
    <n v="3144"/>
    <s v="No"/>
    <x v="65"/>
  </r>
  <r>
    <n v="1089032"/>
    <n v="144"/>
    <x v="13"/>
    <d v="2023-06-08T00:00:00"/>
    <x v="53"/>
    <n v="6"/>
    <x v="3"/>
    <x v="7"/>
    <x v="0"/>
    <s v="Jose Pedro Roel"/>
    <n v="9067"/>
    <s v="No"/>
    <x v="18"/>
  </r>
  <r>
    <n v="1091560"/>
    <n v="1294"/>
    <x v="3"/>
    <d v="2023-05-24T00:00:00"/>
    <x v="140"/>
    <n v="5"/>
    <x v="4"/>
    <x v="11"/>
    <x v="3"/>
    <s v="Mary Saveley"/>
    <n v="8903"/>
    <s v="No"/>
    <x v="26"/>
  </r>
  <r>
    <n v="1093212"/>
    <n v="60"/>
    <x v="0"/>
    <d v="2023-07-22T00:00:00"/>
    <x v="121"/>
    <n v="7"/>
    <x v="1"/>
    <x v="6"/>
    <x v="0"/>
    <s v="Valarie Franco"/>
    <n v="799"/>
    <s v="No"/>
    <x v="52"/>
  </r>
  <r>
    <n v="1093314"/>
    <n v="1576"/>
    <x v="0"/>
    <d v="2023-04-19T00:00:00"/>
    <x v="85"/>
    <n v="4"/>
    <x v="4"/>
    <x v="1"/>
    <x v="2"/>
    <s v="Wendy Victorino"/>
    <n v="1562"/>
    <s v="No"/>
    <x v="41"/>
  </r>
  <r>
    <n v="1093757"/>
    <n v="127"/>
    <x v="13"/>
    <d v="2023-12-04T00:00:00"/>
    <x v="126"/>
    <n v="12"/>
    <x v="5"/>
    <x v="0"/>
    <x v="2"/>
    <s v="Valarie Nelson"/>
    <n v="5671"/>
    <s v="No"/>
    <x v="56"/>
  </r>
  <r>
    <n v="1094900"/>
    <n v="1616"/>
    <x v="0"/>
    <d v="2023-04-30T00:00:00"/>
    <x v="28"/>
    <n v="4"/>
    <x v="6"/>
    <x v="1"/>
    <x v="0"/>
    <s v="Diego Freyre"/>
    <n v="2968"/>
    <s v="No"/>
    <x v="4"/>
  </r>
  <r>
    <n v="1095387"/>
    <n v="1251"/>
    <x v="0"/>
    <d v="2023-11-16T00:00:00"/>
    <x v="202"/>
    <n v="11"/>
    <x v="3"/>
    <x v="2"/>
    <x v="1"/>
    <s v="Wendy Victorino"/>
    <n v="2942"/>
    <s v="No"/>
    <x v="34"/>
  </r>
  <r>
    <n v="1097967"/>
    <n v="1097"/>
    <x v="1"/>
    <d v="2023-03-11T00:00:00"/>
    <x v="203"/>
    <n v="3"/>
    <x v="1"/>
    <x v="4"/>
    <x v="0"/>
    <s v="Valarie Nelson"/>
    <n v="9517"/>
    <s v="No"/>
    <x v="49"/>
  </r>
  <r>
    <n v="1098350"/>
    <n v="1983"/>
    <x v="4"/>
    <d v="2023-02-09T00:00:00"/>
    <x v="152"/>
    <n v="2"/>
    <x v="3"/>
    <x v="5"/>
    <x v="2"/>
    <s v="Kyung Yu"/>
    <n v="7342"/>
    <s v="No"/>
    <x v="31"/>
  </r>
  <r>
    <n v="1099712"/>
    <n v="772"/>
    <x v="3"/>
    <d v="2023-09-06T00:00:00"/>
    <x v="103"/>
    <n v="9"/>
    <x v="4"/>
    <x v="10"/>
    <x v="3"/>
    <s v="Maria Larsson"/>
    <n v="9284"/>
    <s v="No"/>
    <x v="2"/>
  </r>
  <r>
    <n v="1100277"/>
    <n v="1886"/>
    <x v="6"/>
    <d v="2023-09-27T00:00:00"/>
    <x v="12"/>
    <n v="9"/>
    <x v="4"/>
    <x v="10"/>
    <x v="0"/>
    <s v="Marta Hernandez"/>
    <n v="1924"/>
    <s v="No"/>
    <x v="9"/>
  </r>
  <r>
    <n v="1101025"/>
    <n v="289"/>
    <x v="3"/>
    <d v="2023-05-02T00:00:00"/>
    <x v="111"/>
    <n v="5"/>
    <x v="2"/>
    <x v="11"/>
    <x v="3"/>
    <s v="Yoshi Tannamuri"/>
    <n v="5344"/>
    <s v="No"/>
    <x v="43"/>
  </r>
  <r>
    <n v="1101866"/>
    <n v="986"/>
    <x v="6"/>
    <d v="2023-06-17T00:00:00"/>
    <x v="16"/>
    <n v="6"/>
    <x v="1"/>
    <x v="7"/>
    <x v="2"/>
    <s v="Michael Frick"/>
    <n v="9741"/>
    <s v="No"/>
    <x v="60"/>
  </r>
  <r>
    <n v="1102470"/>
    <n v="1686"/>
    <x v="3"/>
    <d v="2023-02-16T00:00:00"/>
    <x v="80"/>
    <n v="2"/>
    <x v="3"/>
    <x v="5"/>
    <x v="1"/>
    <s v="Christina Berglund"/>
    <n v="7654"/>
    <s v="No"/>
    <x v="62"/>
  </r>
  <r>
    <n v="1102591"/>
    <n v="874"/>
    <x v="0"/>
    <d v="2023-09-01T00:00:00"/>
    <x v="204"/>
    <n v="9"/>
    <x v="0"/>
    <x v="10"/>
    <x v="3"/>
    <s v="Mart¡n Sommer"/>
    <n v="8227"/>
    <s v="No"/>
    <x v="28"/>
  </r>
  <r>
    <n v="1102910"/>
    <n v="347"/>
    <x v="13"/>
    <d v="2023-11-02T00:00:00"/>
    <x v="169"/>
    <n v="11"/>
    <x v="3"/>
    <x v="2"/>
    <x v="0"/>
    <s v="Diego Freyre"/>
    <n v="5043"/>
    <s v="No"/>
    <x v="0"/>
  </r>
  <r>
    <n v="1103132"/>
    <n v="213"/>
    <x v="0"/>
    <d v="2023-10-28T00:00:00"/>
    <x v="108"/>
    <n v="10"/>
    <x v="1"/>
    <x v="3"/>
    <x v="1"/>
    <s v="Valarie Nelson"/>
    <n v="2021"/>
    <s v="No"/>
    <x v="44"/>
  </r>
  <r>
    <n v="1103298"/>
    <n v="1505"/>
    <x v="0"/>
    <d v="2023-12-31T00:00:00"/>
    <x v="11"/>
    <n v="12"/>
    <x v="6"/>
    <x v="0"/>
    <x v="2"/>
    <s v="Valarie Nelson"/>
    <n v="1147"/>
    <s v="No"/>
    <x v="68"/>
  </r>
  <r>
    <n v="1104089"/>
    <n v="1775"/>
    <x v="0"/>
    <d v="2023-07-01T00:00:00"/>
    <x v="59"/>
    <n v="7"/>
    <x v="1"/>
    <x v="6"/>
    <x v="1"/>
    <s v="Diego Freyre"/>
    <n v="6964"/>
    <s v="No"/>
    <x v="53"/>
  </r>
  <r>
    <n v="1104509"/>
    <n v="20"/>
    <x v="0"/>
    <d v="2023-05-27T00:00:00"/>
    <x v="65"/>
    <n v="5"/>
    <x v="1"/>
    <x v="11"/>
    <x v="0"/>
    <s v="Janine Labrune"/>
    <n v="5599"/>
    <s v="No"/>
    <x v="4"/>
  </r>
  <r>
    <n v="1104723"/>
    <n v="584"/>
    <x v="0"/>
    <d v="2023-01-26T00:00:00"/>
    <x v="1"/>
    <n v="1"/>
    <x v="3"/>
    <x v="9"/>
    <x v="2"/>
    <s v="Arnold Cruz"/>
    <n v="1066"/>
    <s v="No"/>
    <x v="41"/>
  </r>
  <r>
    <n v="1105163"/>
    <n v="1591"/>
    <x v="0"/>
    <d v="2023-04-26T00:00:00"/>
    <x v="124"/>
    <n v="4"/>
    <x v="4"/>
    <x v="1"/>
    <x v="0"/>
    <s v="Paul Henriot"/>
    <n v="9903"/>
    <s v="No"/>
    <x v="57"/>
  </r>
  <r>
    <n v="1105875"/>
    <n v="1722"/>
    <x v="0"/>
    <d v="2023-12-15T00:00:00"/>
    <x v="191"/>
    <n v="12"/>
    <x v="0"/>
    <x v="0"/>
    <x v="1"/>
    <s v="Valarie Nelson"/>
    <n v="4863"/>
    <s v="No"/>
    <x v="7"/>
  </r>
  <r>
    <n v="1106456"/>
    <n v="378"/>
    <x v="11"/>
    <d v="2023-08-03T00:00:00"/>
    <x v="5"/>
    <n v="8"/>
    <x v="3"/>
    <x v="8"/>
    <x v="0"/>
    <s v="Julie Young"/>
    <n v="9636"/>
    <s v="No"/>
    <x v="45"/>
  </r>
  <r>
    <n v="1107821"/>
    <n v="581"/>
    <x v="0"/>
    <d v="2023-10-18T00:00:00"/>
    <x v="148"/>
    <n v="10"/>
    <x v="4"/>
    <x v="3"/>
    <x v="2"/>
    <s v="Julie Brown"/>
    <n v="3452"/>
    <s v="No"/>
    <x v="62"/>
  </r>
  <r>
    <n v="1107986"/>
    <n v="632"/>
    <x v="0"/>
    <d v="2023-09-18T00:00:00"/>
    <x v="111"/>
    <n v="9"/>
    <x v="5"/>
    <x v="10"/>
    <x v="0"/>
    <s v="Anna O'Hara"/>
    <n v="384"/>
    <s v="No"/>
    <x v="25"/>
  </r>
  <r>
    <n v="1108968"/>
    <n v="255"/>
    <x v="2"/>
    <d v="2023-11-14T00:00:00"/>
    <x v="52"/>
    <n v="11"/>
    <x v="2"/>
    <x v="2"/>
    <x v="3"/>
    <s v="Martine Rance"/>
    <n v="2300"/>
    <s v="No"/>
    <x v="14"/>
  </r>
  <r>
    <n v="1110547"/>
    <n v="1438"/>
    <x v="5"/>
    <d v="2023-02-14T00:00:00"/>
    <x v="125"/>
    <n v="2"/>
    <x v="2"/>
    <x v="5"/>
    <x v="1"/>
    <s v="Diego Freyre"/>
    <n v="8840"/>
    <s v="No"/>
    <x v="31"/>
  </r>
  <r>
    <n v="1111675"/>
    <n v="665"/>
    <x v="3"/>
    <d v="2023-02-26T00:00:00"/>
    <x v="135"/>
    <n v="2"/>
    <x v="6"/>
    <x v="5"/>
    <x v="0"/>
    <s v="Dominique Perrier"/>
    <n v="5031"/>
    <s v="No"/>
    <x v="53"/>
  </r>
  <r>
    <n v="1112646"/>
    <n v="1355"/>
    <x v="4"/>
    <d v="2023-09-27T00:00:00"/>
    <x v="108"/>
    <n v="9"/>
    <x v="4"/>
    <x v="10"/>
    <x v="1"/>
    <s v="Martine Rance"/>
    <n v="8949"/>
    <s v="No"/>
    <x v="69"/>
  </r>
  <r>
    <n v="1114314"/>
    <n v="1192"/>
    <x v="0"/>
    <d v="2023-04-01T00:00:00"/>
    <x v="150"/>
    <n v="4"/>
    <x v="1"/>
    <x v="1"/>
    <x v="0"/>
    <s v="Michael Frick"/>
    <n v="3962"/>
    <s v="No"/>
    <x v="27"/>
  </r>
  <r>
    <n v="1115197"/>
    <n v="1108"/>
    <x v="1"/>
    <d v="2023-07-29T00:00:00"/>
    <x v="89"/>
    <n v="7"/>
    <x v="1"/>
    <x v="6"/>
    <x v="2"/>
    <s v="Dominique Perrier"/>
    <n v="1278"/>
    <s v="No"/>
    <x v="59"/>
  </r>
  <r>
    <n v="1115208"/>
    <n v="1777"/>
    <x v="0"/>
    <d v="2023-03-15T00:00:00"/>
    <x v="90"/>
    <n v="3"/>
    <x v="4"/>
    <x v="4"/>
    <x v="1"/>
    <s v="Juri Yoshido"/>
    <n v="1807"/>
    <s v="No"/>
    <x v="30"/>
  </r>
  <r>
    <n v="1115751"/>
    <n v="587"/>
    <x v="0"/>
    <d v="2023-06-06T00:00:00"/>
    <x v="153"/>
    <n v="6"/>
    <x v="2"/>
    <x v="7"/>
    <x v="1"/>
    <s v="Miguel Barajas"/>
    <n v="3833"/>
    <s v="No"/>
    <x v="66"/>
  </r>
  <r>
    <n v="1115759"/>
    <n v="378"/>
    <x v="11"/>
    <d v="2023-02-10T00:00:00"/>
    <x v="22"/>
    <n v="2"/>
    <x v="0"/>
    <x v="5"/>
    <x v="2"/>
    <s v="Marta Hernandez"/>
    <n v="6504"/>
    <s v="No"/>
    <x v="45"/>
  </r>
  <r>
    <n v="1118626"/>
    <n v="1552"/>
    <x v="2"/>
    <d v="2023-12-12T00:00:00"/>
    <x v="109"/>
    <n v="12"/>
    <x v="2"/>
    <x v="0"/>
    <x v="2"/>
    <s v="Matti Karttunen"/>
    <n v="1623"/>
    <s v="No"/>
    <x v="2"/>
  </r>
  <r>
    <n v="1119156"/>
    <n v="837"/>
    <x v="6"/>
    <d v="2023-12-25T00:00:00"/>
    <x v="195"/>
    <n v="12"/>
    <x v="5"/>
    <x v="0"/>
    <x v="3"/>
    <s v="Jonas Bergulfsen"/>
    <n v="2932"/>
    <s v="No"/>
    <x v="39"/>
  </r>
  <r>
    <n v="1119400"/>
    <n v="1428"/>
    <x v="3"/>
    <d v="2023-06-07T00:00:00"/>
    <x v="66"/>
    <n v="6"/>
    <x v="4"/>
    <x v="7"/>
    <x v="1"/>
    <s v="Kee Kuo"/>
    <n v="1558"/>
    <s v="No"/>
    <x v="56"/>
  </r>
  <r>
    <n v="1121011"/>
    <n v="1757"/>
    <x v="4"/>
    <d v="2023-10-03T00:00:00"/>
    <x v="186"/>
    <n v="10"/>
    <x v="2"/>
    <x v="3"/>
    <x v="0"/>
    <s v="Arnold Cruz"/>
    <n v="1675"/>
    <s v="No"/>
    <x v="1"/>
  </r>
  <r>
    <n v="1122327"/>
    <n v="1295"/>
    <x v="10"/>
    <d v="2023-08-02T00:00:00"/>
    <x v="205"/>
    <n v="8"/>
    <x v="4"/>
    <x v="8"/>
    <x v="3"/>
    <s v="Georg Pipps"/>
    <n v="6240"/>
    <s v="No"/>
    <x v="46"/>
  </r>
  <r>
    <n v="1123688"/>
    <n v="66"/>
    <x v="6"/>
    <d v="2023-04-25T00:00:00"/>
    <x v="31"/>
    <n v="4"/>
    <x v="2"/>
    <x v="1"/>
    <x v="2"/>
    <s v="Diego Freyre"/>
    <n v="1398"/>
    <s v="No"/>
    <x v="35"/>
  </r>
  <r>
    <n v="1124146"/>
    <n v="1501"/>
    <x v="0"/>
    <d v="2023-04-21T00:00:00"/>
    <x v="115"/>
    <n v="4"/>
    <x v="0"/>
    <x v="1"/>
    <x v="2"/>
    <s v="Kalle Suominen"/>
    <n v="3329"/>
    <s v="No"/>
    <x v="66"/>
  </r>
  <r>
    <n v="1125245"/>
    <n v="1611"/>
    <x v="3"/>
    <d v="2023-05-28T00:00:00"/>
    <x v="166"/>
    <n v="5"/>
    <x v="6"/>
    <x v="11"/>
    <x v="3"/>
    <s v="Janine Labrune"/>
    <n v="4618"/>
    <s v="No"/>
    <x v="2"/>
  </r>
  <r>
    <n v="1125247"/>
    <n v="1574"/>
    <x v="9"/>
    <d v="2023-07-21T00:00:00"/>
    <x v="149"/>
    <n v="7"/>
    <x v="0"/>
    <x v="6"/>
    <x v="0"/>
    <s v="Valarie Nelson"/>
    <n v="905"/>
    <s v="No"/>
    <x v="40"/>
  </r>
  <r>
    <n v="1125352"/>
    <n v="1633"/>
    <x v="6"/>
    <d v="2023-04-27T00:00:00"/>
    <x v="47"/>
    <n v="4"/>
    <x v="3"/>
    <x v="1"/>
    <x v="3"/>
    <s v="Elizabeth Devon"/>
    <n v="4193"/>
    <s v="No"/>
    <x v="71"/>
  </r>
  <r>
    <n v="1127154"/>
    <n v="87"/>
    <x v="1"/>
    <d v="2023-06-09T00:00:00"/>
    <x v="64"/>
    <n v="6"/>
    <x v="0"/>
    <x v="7"/>
    <x v="0"/>
    <s v="Victoria Ashworth"/>
    <n v="9219"/>
    <s v="No"/>
    <x v="14"/>
  </r>
  <r>
    <n v="1127303"/>
    <n v="1778"/>
    <x v="0"/>
    <d v="2023-02-14T00:00:00"/>
    <x v="28"/>
    <n v="2"/>
    <x v="2"/>
    <x v="5"/>
    <x v="0"/>
    <s v="Sue King"/>
    <n v="866"/>
    <s v="No"/>
    <x v="1"/>
  </r>
  <r>
    <n v="1127861"/>
    <n v="1385"/>
    <x v="0"/>
    <d v="2023-07-20T00:00:00"/>
    <x v="127"/>
    <n v="7"/>
    <x v="3"/>
    <x v="6"/>
    <x v="3"/>
    <s v="Anna O'Hara"/>
    <n v="8302"/>
    <s v="No"/>
    <x v="24"/>
  </r>
  <r>
    <n v="1127964"/>
    <n v="934"/>
    <x v="0"/>
    <d v="2023-11-05T00:00:00"/>
    <x v="6"/>
    <n v="11"/>
    <x v="6"/>
    <x v="2"/>
    <x v="3"/>
    <s v="Palle Ibsen"/>
    <n v="927"/>
    <s v="No"/>
    <x v="41"/>
  </r>
  <r>
    <n v="1129422"/>
    <n v="327"/>
    <x v="1"/>
    <d v="2023-10-21T00:00:00"/>
    <x v="65"/>
    <n v="10"/>
    <x v="1"/>
    <x v="3"/>
    <x v="2"/>
    <s v="Julie King"/>
    <n v="1595"/>
    <s v="No"/>
    <x v="24"/>
  </r>
  <r>
    <n v="1129509"/>
    <n v="1097"/>
    <x v="1"/>
    <d v="2023-06-04T00:00:00"/>
    <x v="84"/>
    <n v="6"/>
    <x v="6"/>
    <x v="7"/>
    <x v="2"/>
    <s v="Valarie Nelson"/>
    <n v="7051"/>
    <s v="No"/>
    <x v="49"/>
  </r>
  <r>
    <n v="1129725"/>
    <n v="1250"/>
    <x v="0"/>
    <d v="2023-11-09T00:00:00"/>
    <x v="149"/>
    <n v="11"/>
    <x v="3"/>
    <x v="2"/>
    <x v="1"/>
    <s v="Valarie Young"/>
    <n v="9660"/>
    <s v="No"/>
    <x v="56"/>
  </r>
  <r>
    <n v="1130025"/>
    <n v="5"/>
    <x v="13"/>
    <d v="2023-06-09T00:00:00"/>
    <x v="114"/>
    <n v="6"/>
    <x v="0"/>
    <x v="7"/>
    <x v="0"/>
    <s v="Jeff Young"/>
    <n v="5739"/>
    <s v="No"/>
    <x v="49"/>
  </r>
  <r>
    <n v="1130287"/>
    <n v="362"/>
    <x v="1"/>
    <d v="2023-08-30T00:00:00"/>
    <x v="36"/>
    <n v="8"/>
    <x v="4"/>
    <x v="8"/>
    <x v="2"/>
    <s v="Diego Freyre"/>
    <n v="7662"/>
    <s v="No"/>
    <x v="17"/>
  </r>
  <r>
    <n v="1130380"/>
    <n v="745"/>
    <x v="6"/>
    <d v="2023-11-20T00:00:00"/>
    <x v="125"/>
    <n v="11"/>
    <x v="5"/>
    <x v="2"/>
    <x v="2"/>
    <s v="Mary Saveley"/>
    <n v="7425"/>
    <s v="No"/>
    <x v="18"/>
  </r>
  <r>
    <n v="1131650"/>
    <n v="1676"/>
    <x v="9"/>
    <d v="2023-01-18T00:00:00"/>
    <x v="66"/>
    <n v="1"/>
    <x v="4"/>
    <x v="9"/>
    <x v="1"/>
    <s v="Frederique Citeaux"/>
    <n v="3121"/>
    <s v="No"/>
    <x v="5"/>
  </r>
  <r>
    <n v="1132855"/>
    <n v="16"/>
    <x v="8"/>
    <d v="2023-06-20T00:00:00"/>
    <x v="23"/>
    <n v="6"/>
    <x v="2"/>
    <x v="7"/>
    <x v="3"/>
    <s v="Jeff Young"/>
    <n v="4518"/>
    <s v="No"/>
    <x v="49"/>
  </r>
  <r>
    <n v="1133062"/>
    <n v="226"/>
    <x v="0"/>
    <d v="2023-10-01T00:00:00"/>
    <x v="171"/>
    <n v="10"/>
    <x v="6"/>
    <x v="3"/>
    <x v="2"/>
    <s v="Diego Freyre"/>
    <n v="3501"/>
    <s v="No"/>
    <x v="34"/>
  </r>
  <r>
    <n v="1133882"/>
    <n v="291"/>
    <x v="1"/>
    <d v="2023-08-07T00:00:00"/>
    <x v="166"/>
    <n v="8"/>
    <x v="5"/>
    <x v="8"/>
    <x v="2"/>
    <s v="Wendy Victorino"/>
    <n v="3789"/>
    <s v="No"/>
    <x v="60"/>
  </r>
  <r>
    <n v="1134072"/>
    <n v="662"/>
    <x v="0"/>
    <d v="2023-12-06T00:00:00"/>
    <x v="35"/>
    <n v="12"/>
    <x v="4"/>
    <x v="0"/>
    <x v="3"/>
    <s v="Elizabeth Devon"/>
    <n v="3885"/>
    <s v="No"/>
    <x v="12"/>
  </r>
  <r>
    <n v="1134801"/>
    <n v="430"/>
    <x v="1"/>
    <d v="2023-03-12T00:00:00"/>
    <x v="71"/>
    <n v="3"/>
    <x v="6"/>
    <x v="4"/>
    <x v="2"/>
    <s v="Diego Freyre"/>
    <n v="3505"/>
    <s v="No"/>
    <x v="43"/>
  </r>
  <r>
    <n v="1135081"/>
    <n v="48"/>
    <x v="0"/>
    <d v="2023-01-11T00:00:00"/>
    <x v="72"/>
    <n v="1"/>
    <x v="4"/>
    <x v="9"/>
    <x v="1"/>
    <s v="Violeta Benitez"/>
    <n v="7107"/>
    <s v="No"/>
    <x v="50"/>
  </r>
  <r>
    <n v="1136468"/>
    <n v="1179"/>
    <x v="4"/>
    <d v="2023-11-06T00:00:00"/>
    <x v="31"/>
    <n v="11"/>
    <x v="5"/>
    <x v="2"/>
    <x v="0"/>
    <s v="Victoria Ashworth"/>
    <n v="8751"/>
    <s v="No"/>
    <x v="22"/>
  </r>
  <r>
    <n v="1137562"/>
    <n v="1456"/>
    <x v="4"/>
    <d v="2023-10-28T00:00:00"/>
    <x v="81"/>
    <n v="10"/>
    <x v="1"/>
    <x v="3"/>
    <x v="3"/>
    <s v="Sue King"/>
    <n v="9253"/>
    <s v="No"/>
    <x v="31"/>
  </r>
  <r>
    <n v="1137891"/>
    <n v="1447"/>
    <x v="5"/>
    <d v="2023-12-19T00:00:00"/>
    <x v="105"/>
    <n v="12"/>
    <x v="2"/>
    <x v="0"/>
    <x v="1"/>
    <s v="Valarie Nelson"/>
    <n v="1289"/>
    <s v="No"/>
    <x v="1"/>
  </r>
  <r>
    <n v="1138694"/>
    <n v="1525"/>
    <x v="2"/>
    <d v="2023-03-01T00:00:00"/>
    <x v="49"/>
    <n v="3"/>
    <x v="4"/>
    <x v="4"/>
    <x v="2"/>
    <s v="Diego Freyre"/>
    <n v="1217"/>
    <s v="No"/>
    <x v="27"/>
  </r>
  <r>
    <n v="1139025"/>
    <n v="1855"/>
    <x v="13"/>
    <d v="2023-08-10T00:00:00"/>
    <x v="72"/>
    <n v="8"/>
    <x v="3"/>
    <x v="8"/>
    <x v="0"/>
    <s v="Sue Frick"/>
    <n v="8569"/>
    <s v="No"/>
    <x v="60"/>
  </r>
  <r>
    <n v="1140100"/>
    <n v="759"/>
    <x v="0"/>
    <d v="2023-06-07T00:00:00"/>
    <x v="121"/>
    <n v="6"/>
    <x v="4"/>
    <x v="7"/>
    <x v="2"/>
    <s v="Adrian Huxley"/>
    <n v="6772"/>
    <s v="No"/>
    <x v="11"/>
  </r>
  <r>
    <n v="1140822"/>
    <n v="741"/>
    <x v="0"/>
    <d v="2023-11-11T00:00:00"/>
    <x v="50"/>
    <n v="11"/>
    <x v="1"/>
    <x v="2"/>
    <x v="3"/>
    <s v="Diego Freyre"/>
    <n v="2833"/>
    <s v="No"/>
    <x v="5"/>
  </r>
  <r>
    <n v="1141931"/>
    <n v="1018"/>
    <x v="3"/>
    <d v="2023-07-02T00:00:00"/>
    <x v="206"/>
    <n v="7"/>
    <x v="6"/>
    <x v="6"/>
    <x v="2"/>
    <s v="Marie Bertrand"/>
    <n v="9219"/>
    <s v="No"/>
    <x v="44"/>
  </r>
  <r>
    <n v="1143333"/>
    <n v="1998"/>
    <x v="6"/>
    <d v="2023-06-04T00:00:00"/>
    <x v="87"/>
    <n v="6"/>
    <x v="6"/>
    <x v="7"/>
    <x v="3"/>
    <s v="Jeff Young"/>
    <n v="9565"/>
    <s v="No"/>
    <x v="43"/>
  </r>
  <r>
    <n v="1144813"/>
    <n v="1176"/>
    <x v="0"/>
    <d v="2023-11-09T00:00:00"/>
    <x v="207"/>
    <n v="11"/>
    <x v="3"/>
    <x v="2"/>
    <x v="0"/>
    <s v="Kalle Suominen"/>
    <n v="1665"/>
    <s v="No"/>
    <x v="20"/>
  </r>
  <r>
    <n v="1145871"/>
    <n v="1893"/>
    <x v="6"/>
    <d v="2023-10-05T00:00:00"/>
    <x v="58"/>
    <n v="10"/>
    <x v="3"/>
    <x v="3"/>
    <x v="1"/>
    <s v="Pirkko Koskitalo"/>
    <n v="2301"/>
    <s v="No"/>
    <x v="59"/>
  </r>
  <r>
    <n v="1146705"/>
    <n v="1840"/>
    <x v="0"/>
    <d v="2023-07-23T00:00:00"/>
    <x v="135"/>
    <n v="7"/>
    <x v="6"/>
    <x v="6"/>
    <x v="0"/>
    <s v="Eric Natividad"/>
    <n v="6434"/>
    <s v="No"/>
    <x v="69"/>
  </r>
  <r>
    <n v="1147846"/>
    <n v="137"/>
    <x v="1"/>
    <d v="2023-10-25T00:00:00"/>
    <x v="21"/>
    <n v="10"/>
    <x v="4"/>
    <x v="3"/>
    <x v="0"/>
    <s v="Ann Brown"/>
    <n v="792"/>
    <s v="No"/>
    <x v="5"/>
  </r>
  <r>
    <n v="1149488"/>
    <n v="1235"/>
    <x v="5"/>
    <d v="2023-04-17T00:00:00"/>
    <x v="120"/>
    <n v="4"/>
    <x v="5"/>
    <x v="1"/>
    <x v="2"/>
    <s v="Jose Pedro Roel"/>
    <n v="2062"/>
    <s v="No"/>
    <x v="45"/>
  </r>
  <r>
    <n v="1149537"/>
    <n v="158"/>
    <x v="0"/>
    <d v="2023-02-01T00:00:00"/>
    <x v="68"/>
    <n v="2"/>
    <x v="4"/>
    <x v="5"/>
    <x v="2"/>
    <s v="Steve Frick"/>
    <n v="2663"/>
    <s v="No"/>
    <x v="10"/>
  </r>
  <r>
    <n v="1150741"/>
    <n v="304"/>
    <x v="1"/>
    <d v="2023-03-09T00:00:00"/>
    <x v="65"/>
    <n v="3"/>
    <x v="3"/>
    <x v="4"/>
    <x v="0"/>
    <s v="Valarie Franco"/>
    <n v="9404"/>
    <s v="No"/>
    <x v="37"/>
  </r>
  <r>
    <n v="1151977"/>
    <n v="1190"/>
    <x v="8"/>
    <d v="2023-12-31T00:00:00"/>
    <x v="129"/>
    <n v="12"/>
    <x v="6"/>
    <x v="0"/>
    <x v="3"/>
    <s v="Sue Taylor"/>
    <n v="4385"/>
    <s v="No"/>
    <x v="63"/>
  </r>
  <r>
    <n v="1152358"/>
    <n v="1098"/>
    <x v="5"/>
    <d v="2023-08-04T00:00:00"/>
    <x v="83"/>
    <n v="8"/>
    <x v="0"/>
    <x v="8"/>
    <x v="0"/>
    <s v="Valarie Nelson"/>
    <n v="596"/>
    <s v="No"/>
    <x v="34"/>
  </r>
  <r>
    <n v="1153425"/>
    <n v="1349"/>
    <x v="6"/>
    <d v="2023-07-05T00:00:00"/>
    <x v="207"/>
    <n v="7"/>
    <x v="4"/>
    <x v="6"/>
    <x v="0"/>
    <s v="Diego Freyre"/>
    <n v="4412"/>
    <s v="No"/>
    <x v="50"/>
  </r>
  <r>
    <n v="1154586"/>
    <n v="1031"/>
    <x v="6"/>
    <d v="2023-10-08T00:00:00"/>
    <x v="72"/>
    <n v="10"/>
    <x v="6"/>
    <x v="3"/>
    <x v="1"/>
    <s v="Wendy Victorino"/>
    <n v="5173"/>
    <s v="No"/>
    <x v="28"/>
  </r>
  <r>
    <n v="1155724"/>
    <n v="174"/>
    <x v="2"/>
    <d v="2023-06-14T00:00:00"/>
    <x v="70"/>
    <n v="6"/>
    <x v="4"/>
    <x v="7"/>
    <x v="0"/>
    <s v="Valarie Nelson"/>
    <n v="2828"/>
    <s v="No"/>
    <x v="17"/>
  </r>
  <r>
    <n v="1156199"/>
    <n v="179"/>
    <x v="3"/>
    <d v="2023-08-09T00:00:00"/>
    <x v="10"/>
    <n v="8"/>
    <x v="4"/>
    <x v="8"/>
    <x v="2"/>
    <s v="Kyung Yu"/>
    <n v="893"/>
    <s v="No"/>
    <x v="18"/>
  </r>
  <r>
    <n v="1156227"/>
    <n v="1154"/>
    <x v="4"/>
    <d v="2023-07-21T00:00:00"/>
    <x v="99"/>
    <n v="7"/>
    <x v="0"/>
    <x v="6"/>
    <x v="1"/>
    <s v="Kwai Yu"/>
    <n v="2490"/>
    <s v="No"/>
    <x v="51"/>
  </r>
  <r>
    <n v="1156649"/>
    <n v="1950"/>
    <x v="5"/>
    <d v="2023-08-03T00:00:00"/>
    <x v="121"/>
    <n v="8"/>
    <x v="3"/>
    <x v="8"/>
    <x v="2"/>
    <s v="Marta Hernandez"/>
    <n v="2647"/>
    <s v="No"/>
    <x v="27"/>
  </r>
  <r>
    <n v="1157103"/>
    <n v="868"/>
    <x v="11"/>
    <d v="2023-09-27T00:00:00"/>
    <x v="200"/>
    <n v="9"/>
    <x v="4"/>
    <x v="10"/>
    <x v="1"/>
    <s v="Palle Ibsen"/>
    <n v="6840"/>
    <s v="No"/>
    <x v="34"/>
  </r>
  <r>
    <n v="1158886"/>
    <n v="1479"/>
    <x v="0"/>
    <d v="2023-09-02T00:00:00"/>
    <x v="29"/>
    <n v="9"/>
    <x v="1"/>
    <x v="10"/>
    <x v="2"/>
    <s v="Michael Frick"/>
    <n v="3135"/>
    <s v="No"/>
    <x v="27"/>
  </r>
  <r>
    <n v="1159317"/>
    <n v="997"/>
    <x v="1"/>
    <d v="2023-12-06T00:00:00"/>
    <x v="88"/>
    <n v="12"/>
    <x v="4"/>
    <x v="0"/>
    <x v="0"/>
    <s v="Valarie Nelson"/>
    <n v="9148"/>
    <s v="No"/>
    <x v="30"/>
  </r>
  <r>
    <n v="1160516"/>
    <n v="1958"/>
    <x v="12"/>
    <d v="2023-08-01T00:00:00"/>
    <x v="22"/>
    <n v="8"/>
    <x v="2"/>
    <x v="8"/>
    <x v="3"/>
    <s v="Jeff Young"/>
    <n v="3233"/>
    <s v="No"/>
    <x v="12"/>
  </r>
  <r>
    <n v="1160613"/>
    <n v="1990"/>
    <x v="0"/>
    <d v="2023-12-22T00:00:00"/>
    <x v="156"/>
    <n v="12"/>
    <x v="0"/>
    <x v="0"/>
    <x v="0"/>
    <s v="Diego Freyre"/>
    <n v="8077"/>
    <s v="No"/>
    <x v="20"/>
  </r>
  <r>
    <n v="1162071"/>
    <n v="1920"/>
    <x v="0"/>
    <d v="2023-06-26T00:00:00"/>
    <x v="109"/>
    <n v="6"/>
    <x v="5"/>
    <x v="7"/>
    <x v="1"/>
    <s v="Valarie Nelson"/>
    <n v="2237"/>
    <s v="No"/>
    <x v="64"/>
  </r>
  <r>
    <n v="1162786"/>
    <n v="1923"/>
    <x v="2"/>
    <d v="2023-04-16T00:00:00"/>
    <x v="208"/>
    <n v="4"/>
    <x v="6"/>
    <x v="1"/>
    <x v="2"/>
    <s v="Diego Freyre"/>
    <n v="3405"/>
    <s v="No"/>
    <x v="3"/>
  </r>
  <r>
    <n v="1162801"/>
    <n v="1177"/>
    <x v="13"/>
    <d v="2023-05-02T00:00:00"/>
    <x v="209"/>
    <n v="5"/>
    <x v="2"/>
    <x v="11"/>
    <x v="0"/>
    <s v="Diego Freyre"/>
    <n v="8149"/>
    <s v="No"/>
    <x v="70"/>
  </r>
  <r>
    <n v="1162874"/>
    <n v="1403"/>
    <x v="0"/>
    <d v="2023-06-08T00:00:00"/>
    <x v="125"/>
    <n v="6"/>
    <x v="3"/>
    <x v="7"/>
    <x v="1"/>
    <s v="Diego Freyre"/>
    <n v="2610"/>
    <s v="No"/>
    <x v="49"/>
  </r>
  <r>
    <n v="1163316"/>
    <n v="863"/>
    <x v="12"/>
    <d v="2023-02-02T00:00:00"/>
    <x v="111"/>
    <n v="2"/>
    <x v="3"/>
    <x v="5"/>
    <x v="2"/>
    <s v="Janine Labrune"/>
    <n v="5671"/>
    <s v="No"/>
    <x v="42"/>
  </r>
  <r>
    <n v="1163648"/>
    <n v="958"/>
    <x v="0"/>
    <d v="2023-03-02T00:00:00"/>
    <x v="42"/>
    <n v="3"/>
    <x v="3"/>
    <x v="4"/>
    <x v="3"/>
    <s v="Giovanni Rovelli"/>
    <n v="9428"/>
    <s v="No"/>
    <x v="20"/>
  </r>
  <r>
    <n v="1163680"/>
    <n v="485"/>
    <x v="3"/>
    <d v="2023-03-26T00:00:00"/>
    <x v="67"/>
    <n v="3"/>
    <x v="6"/>
    <x v="4"/>
    <x v="3"/>
    <s v="Georg Pipps"/>
    <n v="890"/>
    <s v="No"/>
    <x v="11"/>
  </r>
  <r>
    <n v="1164686"/>
    <n v="393"/>
    <x v="1"/>
    <d v="2023-12-29T00:00:00"/>
    <x v="161"/>
    <n v="12"/>
    <x v="0"/>
    <x v="0"/>
    <x v="0"/>
    <s v="Dan Lewis"/>
    <n v="1148"/>
    <s v="No"/>
    <x v="11"/>
  </r>
  <r>
    <n v="1164859"/>
    <n v="1620"/>
    <x v="0"/>
    <d v="2023-04-06T00:00:00"/>
    <x v="90"/>
    <n v="4"/>
    <x v="3"/>
    <x v="1"/>
    <x v="1"/>
    <s v="Wing C Tam"/>
    <n v="7286"/>
    <s v="No"/>
    <x v="57"/>
  </r>
  <r>
    <n v="1165044"/>
    <n v="1562"/>
    <x v="4"/>
    <d v="2023-03-23T00:00:00"/>
    <x v="112"/>
    <n v="3"/>
    <x v="3"/>
    <x v="4"/>
    <x v="1"/>
    <s v="Matti Karttunen"/>
    <n v="8271"/>
    <s v="No"/>
    <x v="1"/>
  </r>
  <r>
    <n v="1165350"/>
    <n v="1526"/>
    <x v="0"/>
    <d v="2023-09-07T00:00:00"/>
    <x v="92"/>
    <n v="9"/>
    <x v="3"/>
    <x v="10"/>
    <x v="2"/>
    <s v="Maria Larsson"/>
    <n v="4870"/>
    <s v="No"/>
    <x v="63"/>
  </r>
  <r>
    <n v="1165475"/>
    <n v="713"/>
    <x v="10"/>
    <d v="2023-11-01T00:00:00"/>
    <x v="24"/>
    <n v="11"/>
    <x v="4"/>
    <x v="2"/>
    <x v="2"/>
    <s v="Annette Roulet"/>
    <n v="4856"/>
    <s v="No"/>
    <x v="20"/>
  </r>
  <r>
    <n v="1165654"/>
    <n v="454"/>
    <x v="0"/>
    <d v="2023-10-27T00:00:00"/>
    <x v="141"/>
    <n v="10"/>
    <x v="0"/>
    <x v="3"/>
    <x v="2"/>
    <s v="Thomas Hardy"/>
    <n v="7755"/>
    <s v="No"/>
    <x v="2"/>
  </r>
  <r>
    <n v="1165962"/>
    <n v="53"/>
    <x v="2"/>
    <d v="2023-12-30T00:00:00"/>
    <x v="9"/>
    <n v="12"/>
    <x v="1"/>
    <x v="0"/>
    <x v="2"/>
    <s v="Arnold Cruz"/>
    <n v="9977"/>
    <s v="No"/>
    <x v="14"/>
  </r>
  <r>
    <n v="1166621"/>
    <n v="1789"/>
    <x v="7"/>
    <d v="2023-07-11T00:00:00"/>
    <x v="81"/>
    <n v="7"/>
    <x v="2"/>
    <x v="6"/>
    <x v="0"/>
    <s v="Michael Chandler"/>
    <n v="2664"/>
    <s v="No"/>
    <x v="31"/>
  </r>
  <r>
    <n v="1166715"/>
    <n v="337"/>
    <x v="5"/>
    <d v="2023-05-10T00:00:00"/>
    <x v="123"/>
    <n v="5"/>
    <x v="4"/>
    <x v="11"/>
    <x v="2"/>
    <s v="Valarie Thompson"/>
    <n v="8874"/>
    <s v="No"/>
    <x v="30"/>
  </r>
  <r>
    <n v="1168908"/>
    <n v="982"/>
    <x v="0"/>
    <d v="2023-10-16T00:00:00"/>
    <x v="52"/>
    <n v="10"/>
    <x v="5"/>
    <x v="3"/>
    <x v="1"/>
    <s v="Kyung Tseng"/>
    <n v="6598"/>
    <s v="No"/>
    <x v="31"/>
  </r>
  <r>
    <n v="1169043"/>
    <n v="189"/>
    <x v="0"/>
    <d v="2023-06-25T00:00:00"/>
    <x v="115"/>
    <n v="6"/>
    <x v="6"/>
    <x v="7"/>
    <x v="1"/>
    <s v="Diego Freyre"/>
    <n v="6955"/>
    <s v="No"/>
    <x v="0"/>
  </r>
  <r>
    <n v="1170043"/>
    <n v="950"/>
    <x v="3"/>
    <d v="2023-11-20T00:00:00"/>
    <x v="14"/>
    <n v="11"/>
    <x v="5"/>
    <x v="2"/>
    <x v="0"/>
    <s v="Allen Nelson"/>
    <n v="6767"/>
    <s v="No"/>
    <x v="54"/>
  </r>
  <r>
    <n v="1171504"/>
    <n v="853"/>
    <x v="0"/>
    <d v="2023-05-07T00:00:00"/>
    <x v="6"/>
    <n v="5"/>
    <x v="6"/>
    <x v="11"/>
    <x v="2"/>
    <s v="Jan Klaeboe"/>
    <n v="4396"/>
    <s v="No"/>
    <x v="56"/>
  </r>
  <r>
    <n v="1171525"/>
    <n v="602"/>
    <x v="9"/>
    <d v="2023-03-03T00:00:00"/>
    <x v="43"/>
    <n v="3"/>
    <x v="0"/>
    <x v="4"/>
    <x v="0"/>
    <s v="Michael Donnermeyer"/>
    <n v="849"/>
    <s v="No"/>
    <x v="32"/>
  </r>
  <r>
    <n v="1173348"/>
    <n v="1068"/>
    <x v="4"/>
    <d v="2023-12-17T00:00:00"/>
    <x v="210"/>
    <n v="12"/>
    <x v="6"/>
    <x v="0"/>
    <x v="3"/>
    <s v="Francisca Cervantes"/>
    <n v="8654"/>
    <s v="No"/>
    <x v="72"/>
  </r>
  <r>
    <n v="1173471"/>
    <n v="1979"/>
    <x v="10"/>
    <d v="2023-08-20T00:00:00"/>
    <x v="23"/>
    <n v="8"/>
    <x v="6"/>
    <x v="8"/>
    <x v="0"/>
    <s v="Helen Bennett"/>
    <n v="7703"/>
    <s v="No"/>
    <x v="29"/>
  </r>
  <r>
    <n v="1175258"/>
    <n v="1643"/>
    <x v="6"/>
    <d v="2023-07-30T00:00:00"/>
    <x v="93"/>
    <n v="7"/>
    <x v="6"/>
    <x v="6"/>
    <x v="3"/>
    <s v="Giovanni Rovelli"/>
    <n v="6538"/>
    <s v="No"/>
    <x v="3"/>
  </r>
  <r>
    <n v="1175716"/>
    <n v="1442"/>
    <x v="0"/>
    <d v="2023-04-19T00:00:00"/>
    <x v="88"/>
    <n v="4"/>
    <x v="4"/>
    <x v="1"/>
    <x v="2"/>
    <s v="Akiko Shimamura"/>
    <n v="9617"/>
    <s v="No"/>
    <x v="43"/>
  </r>
  <r>
    <n v="1177486"/>
    <n v="642"/>
    <x v="3"/>
    <d v="2023-12-18T00:00:00"/>
    <x v="211"/>
    <n v="12"/>
    <x v="5"/>
    <x v="0"/>
    <x v="3"/>
    <s v="Ann Brown"/>
    <n v="2740"/>
    <s v="No"/>
    <x v="24"/>
  </r>
  <r>
    <n v="1178982"/>
    <n v="687"/>
    <x v="3"/>
    <d v="2023-04-28T00:00:00"/>
    <x v="121"/>
    <n v="4"/>
    <x v="0"/>
    <x v="1"/>
    <x v="1"/>
    <s v="Pirkko Koskitalo"/>
    <n v="52"/>
    <s v="No"/>
    <x v="63"/>
  </r>
  <r>
    <n v="1179872"/>
    <n v="323"/>
    <x v="3"/>
    <d v="2023-07-27T00:00:00"/>
    <x v="64"/>
    <n v="7"/>
    <x v="3"/>
    <x v="6"/>
    <x v="3"/>
    <s v="Diego Freyre"/>
    <n v="6228"/>
    <s v="No"/>
    <x v="22"/>
  </r>
  <r>
    <n v="1180153"/>
    <n v="873"/>
    <x v="10"/>
    <d v="2023-10-22T00:00:00"/>
    <x v="50"/>
    <n v="10"/>
    <x v="6"/>
    <x v="3"/>
    <x v="0"/>
    <s v="Paul Henriot"/>
    <n v="3374"/>
    <s v="No"/>
    <x v="21"/>
  </r>
  <r>
    <n v="1180567"/>
    <n v="898"/>
    <x v="0"/>
    <d v="2023-09-09T00:00:00"/>
    <x v="26"/>
    <n v="9"/>
    <x v="1"/>
    <x v="10"/>
    <x v="0"/>
    <s v="Sue Frick"/>
    <n v="7717"/>
    <s v="No"/>
    <x v="71"/>
  </r>
  <r>
    <n v="1180828"/>
    <n v="1063"/>
    <x v="1"/>
    <d v="2023-07-07T00:00:00"/>
    <x v="136"/>
    <n v="7"/>
    <x v="0"/>
    <x v="6"/>
    <x v="1"/>
    <s v="Sean Connery"/>
    <n v="7190"/>
    <s v="No"/>
    <x v="43"/>
  </r>
  <r>
    <n v="1181602"/>
    <n v="683"/>
    <x v="6"/>
    <d v="2023-07-27T00:00:00"/>
    <x v="21"/>
    <n v="7"/>
    <x v="3"/>
    <x v="6"/>
    <x v="2"/>
    <s v="Victoria Ashworth"/>
    <n v="8578"/>
    <s v="No"/>
    <x v="59"/>
  </r>
  <r>
    <n v="1182031"/>
    <n v="1569"/>
    <x v="4"/>
    <d v="2023-11-08T00:00:00"/>
    <x v="30"/>
    <n v="11"/>
    <x v="4"/>
    <x v="2"/>
    <x v="1"/>
    <s v="Sue King"/>
    <n v="3428"/>
    <s v="No"/>
    <x v="1"/>
  </r>
  <r>
    <n v="1182341"/>
    <n v="225"/>
    <x v="5"/>
    <d v="2023-12-02T00:00:00"/>
    <x v="15"/>
    <n v="12"/>
    <x v="1"/>
    <x v="0"/>
    <x v="2"/>
    <s v="Anna O'Hara"/>
    <n v="567"/>
    <s v="No"/>
    <x v="69"/>
  </r>
  <r>
    <n v="1182759"/>
    <n v="722"/>
    <x v="0"/>
    <d v="2023-01-07T00:00:00"/>
    <x v="207"/>
    <n v="1"/>
    <x v="1"/>
    <x v="9"/>
    <x v="2"/>
    <s v="Palle Ibsen"/>
    <n v="2645"/>
    <s v="No"/>
    <x v="18"/>
  </r>
  <r>
    <n v="1182819"/>
    <n v="562"/>
    <x v="5"/>
    <d v="2023-08-23T00:00:00"/>
    <x v="191"/>
    <n v="8"/>
    <x v="4"/>
    <x v="8"/>
    <x v="1"/>
    <s v="Giovanni Rovelli"/>
    <n v="7031"/>
    <s v="No"/>
    <x v="21"/>
  </r>
  <r>
    <n v="1182826"/>
    <n v="1439"/>
    <x v="4"/>
    <d v="2023-11-09T00:00:00"/>
    <x v="96"/>
    <n v="11"/>
    <x v="3"/>
    <x v="2"/>
    <x v="2"/>
    <s v="Valarie Nelson"/>
    <n v="3629"/>
    <s v="No"/>
    <x v="28"/>
  </r>
  <r>
    <n v="1183427"/>
    <n v="857"/>
    <x v="0"/>
    <d v="2023-02-05T00:00:00"/>
    <x v="55"/>
    <n v="2"/>
    <x v="6"/>
    <x v="5"/>
    <x v="2"/>
    <s v="Valarie Young"/>
    <n v="3095"/>
    <s v="No"/>
    <x v="6"/>
  </r>
  <r>
    <n v="1184082"/>
    <n v="312"/>
    <x v="2"/>
    <d v="2023-02-14T00:00:00"/>
    <x v="42"/>
    <n v="2"/>
    <x v="2"/>
    <x v="5"/>
    <x v="0"/>
    <s v="Jeff Young"/>
    <n v="734"/>
    <s v="No"/>
    <x v="4"/>
  </r>
  <r>
    <n v="1185440"/>
    <n v="1509"/>
    <x v="0"/>
    <d v="2023-02-01T00:00:00"/>
    <x v="20"/>
    <n v="2"/>
    <x v="4"/>
    <x v="5"/>
    <x v="3"/>
    <s v="Thomas Hardy"/>
    <n v="2567"/>
    <s v="No"/>
    <x v="34"/>
  </r>
  <r>
    <n v="1186707"/>
    <n v="1512"/>
    <x v="13"/>
    <d v="2023-02-11T00:00:00"/>
    <x v="2"/>
    <n v="2"/>
    <x v="1"/>
    <x v="5"/>
    <x v="2"/>
    <s v="Mary Saveley"/>
    <n v="2061"/>
    <s v="No"/>
    <x v="9"/>
  </r>
  <r>
    <n v="1188487"/>
    <n v="526"/>
    <x v="0"/>
    <d v="2023-12-16T00:00:00"/>
    <x v="179"/>
    <n v="12"/>
    <x v="1"/>
    <x v="0"/>
    <x v="2"/>
    <s v="Frederique Citeaux"/>
    <n v="2527"/>
    <s v="No"/>
    <x v="22"/>
  </r>
  <r>
    <n v="1189460"/>
    <n v="1181"/>
    <x v="5"/>
    <d v="2023-07-03T00:00:00"/>
    <x v="39"/>
    <n v="7"/>
    <x v="5"/>
    <x v="6"/>
    <x v="3"/>
    <s v="Jeff Young"/>
    <n v="4527"/>
    <s v="No"/>
    <x v="17"/>
  </r>
  <r>
    <n v="1189996"/>
    <n v="522"/>
    <x v="0"/>
    <d v="2023-12-04T00:00:00"/>
    <x v="54"/>
    <n v="12"/>
    <x v="5"/>
    <x v="0"/>
    <x v="3"/>
    <s v="Diego Freyre"/>
    <n v="4719"/>
    <s v="No"/>
    <x v="55"/>
  </r>
  <r>
    <n v="1190330"/>
    <n v="1176"/>
    <x v="0"/>
    <d v="2023-04-17T00:00:00"/>
    <x v="151"/>
    <n v="4"/>
    <x v="5"/>
    <x v="1"/>
    <x v="1"/>
    <s v="Wendy Victorino"/>
    <n v="5495"/>
    <s v="No"/>
    <x v="20"/>
  </r>
  <r>
    <n v="1190887"/>
    <n v="942"/>
    <x v="0"/>
    <d v="2023-02-08T00:00:00"/>
    <x v="6"/>
    <n v="2"/>
    <x v="4"/>
    <x v="5"/>
    <x v="2"/>
    <s v="Elizabeth Devon"/>
    <n v="2060"/>
    <s v="No"/>
    <x v="54"/>
  </r>
  <r>
    <n v="1191785"/>
    <n v="1364"/>
    <x v="3"/>
    <d v="2023-11-17T00:00:00"/>
    <x v="96"/>
    <n v="11"/>
    <x v="0"/>
    <x v="2"/>
    <x v="1"/>
    <s v="Diego Freyre"/>
    <n v="8977"/>
    <s v="No"/>
    <x v="43"/>
  </r>
  <r>
    <n v="1192105"/>
    <n v="1143"/>
    <x v="2"/>
    <d v="2023-01-31T00:00:00"/>
    <x v="138"/>
    <n v="1"/>
    <x v="2"/>
    <x v="9"/>
    <x v="1"/>
    <s v="Victoria Ashworth"/>
    <n v="2021"/>
    <s v="No"/>
    <x v="0"/>
  </r>
  <r>
    <n v="1194493"/>
    <n v="600"/>
    <x v="0"/>
    <d v="2023-07-03T00:00:00"/>
    <x v="97"/>
    <n v="7"/>
    <x v="5"/>
    <x v="6"/>
    <x v="0"/>
    <s v="Sue King"/>
    <n v="3567"/>
    <s v="No"/>
    <x v="55"/>
  </r>
  <r>
    <n v="1196110"/>
    <n v="1746"/>
    <x v="2"/>
    <d v="2023-03-27T00:00:00"/>
    <x v="108"/>
    <n v="3"/>
    <x v="5"/>
    <x v="4"/>
    <x v="0"/>
    <s v="Valarie Nelson"/>
    <n v="4222"/>
    <s v="No"/>
    <x v="50"/>
  </r>
  <r>
    <n v="1197422"/>
    <n v="960"/>
    <x v="0"/>
    <d v="2023-12-24T00:00:00"/>
    <x v="164"/>
    <n v="12"/>
    <x v="6"/>
    <x v="0"/>
    <x v="3"/>
    <s v="Diego Freyre"/>
    <n v="6726"/>
    <s v="No"/>
    <x v="45"/>
  </r>
  <r>
    <n v="1197876"/>
    <n v="1148"/>
    <x v="10"/>
    <d v="2023-12-03T00:00:00"/>
    <x v="21"/>
    <n v="12"/>
    <x v="6"/>
    <x v="0"/>
    <x v="0"/>
    <s v="Sue Frick"/>
    <n v="6055"/>
    <s v="No"/>
    <x v="62"/>
  </r>
  <r>
    <n v="1198103"/>
    <n v="485"/>
    <x v="3"/>
    <d v="2023-03-24T00:00:00"/>
    <x v="212"/>
    <n v="3"/>
    <x v="0"/>
    <x v="4"/>
    <x v="3"/>
    <s v="Adrian Huxley"/>
    <n v="1994"/>
    <s v="No"/>
    <x v="11"/>
  </r>
  <r>
    <n v="1198240"/>
    <n v="1548"/>
    <x v="3"/>
    <d v="2023-08-23T00:00:00"/>
    <x v="102"/>
    <n v="8"/>
    <x v="4"/>
    <x v="8"/>
    <x v="1"/>
    <s v="Rosa Hernandez"/>
    <n v="1736"/>
    <s v="No"/>
    <x v="7"/>
  </r>
  <r>
    <n v="1198743"/>
    <n v="782"/>
    <x v="0"/>
    <d v="2023-07-01T00:00:00"/>
    <x v="12"/>
    <n v="7"/>
    <x v="1"/>
    <x v="6"/>
    <x v="3"/>
    <s v="Laurence Lebihan"/>
    <n v="2152"/>
    <s v="No"/>
    <x v="8"/>
  </r>
  <r>
    <n v="1199289"/>
    <n v="228"/>
    <x v="3"/>
    <d v="2023-06-16T00:00:00"/>
    <x v="37"/>
    <n v="6"/>
    <x v="0"/>
    <x v="7"/>
    <x v="2"/>
    <s v="Valarie Nelson"/>
    <n v="1078"/>
    <s v="No"/>
    <x v="6"/>
  </r>
  <r>
    <n v="1200718"/>
    <n v="1963"/>
    <x v="6"/>
    <d v="2023-09-26T00:00:00"/>
    <x v="29"/>
    <n v="9"/>
    <x v="2"/>
    <x v="10"/>
    <x v="3"/>
    <s v="Allen Nelson"/>
    <n v="8488"/>
    <s v="No"/>
    <x v="5"/>
  </r>
  <r>
    <n v="1201138"/>
    <n v="1342"/>
    <x v="0"/>
    <d v="2023-03-14T00:00:00"/>
    <x v="42"/>
    <n v="3"/>
    <x v="2"/>
    <x v="4"/>
    <x v="2"/>
    <s v="Michael Chandler"/>
    <n v="6081"/>
    <s v="No"/>
    <x v="32"/>
  </r>
  <r>
    <n v="1201156"/>
    <n v="1931"/>
    <x v="0"/>
    <d v="2023-05-01T00:00:00"/>
    <x v="186"/>
    <n v="5"/>
    <x v="5"/>
    <x v="11"/>
    <x v="2"/>
    <s v="Jean Fresnisre"/>
    <n v="2329"/>
    <s v="No"/>
    <x v="15"/>
  </r>
  <r>
    <n v="1202375"/>
    <n v="1662"/>
    <x v="6"/>
    <d v="2023-02-13T00:00:00"/>
    <x v="84"/>
    <n v="2"/>
    <x v="5"/>
    <x v="5"/>
    <x v="1"/>
    <s v="Valarie Young"/>
    <n v="2832"/>
    <s v="No"/>
    <x v="5"/>
  </r>
  <r>
    <n v="1202392"/>
    <n v="344"/>
    <x v="10"/>
    <d v="2023-10-31T00:00:00"/>
    <x v="64"/>
    <n v="10"/>
    <x v="2"/>
    <x v="3"/>
    <x v="2"/>
    <s v="Veysel Oeztan"/>
    <n v="8051"/>
    <s v="No"/>
    <x v="58"/>
  </r>
  <r>
    <n v="1203146"/>
    <n v="1172"/>
    <x v="6"/>
    <d v="2023-11-09T00:00:00"/>
    <x v="3"/>
    <n v="11"/>
    <x v="3"/>
    <x v="2"/>
    <x v="3"/>
    <s v="Diego Freyre"/>
    <n v="6152"/>
    <s v="No"/>
    <x v="12"/>
  </r>
  <r>
    <n v="1203312"/>
    <n v="1047"/>
    <x v="2"/>
    <d v="2023-01-12T00:00:00"/>
    <x v="174"/>
    <n v="1"/>
    <x v="3"/>
    <x v="9"/>
    <x v="2"/>
    <s v="Diego Freyre"/>
    <n v="5488"/>
    <s v="No"/>
    <x v="1"/>
  </r>
  <r>
    <n v="1204548"/>
    <n v="1467"/>
    <x v="0"/>
    <d v="2023-07-11T00:00:00"/>
    <x v="74"/>
    <n v="7"/>
    <x v="2"/>
    <x v="6"/>
    <x v="1"/>
    <s v="Michael Holz"/>
    <n v="5832"/>
    <s v="No"/>
    <x v="65"/>
  </r>
  <r>
    <n v="1205050"/>
    <n v="1695"/>
    <x v="4"/>
    <d v="2023-07-12T00:00:00"/>
    <x v="67"/>
    <n v="7"/>
    <x v="4"/>
    <x v="6"/>
    <x v="0"/>
    <s v="Pirkko Koskitalo"/>
    <n v="9562"/>
    <s v="No"/>
    <x v="2"/>
  </r>
  <r>
    <n v="1206775"/>
    <n v="728"/>
    <x v="1"/>
    <d v="2023-10-03T00:00:00"/>
    <x v="137"/>
    <n v="10"/>
    <x v="2"/>
    <x v="3"/>
    <x v="3"/>
    <s v="Elizabeth Devon"/>
    <n v="967"/>
    <s v="No"/>
    <x v="71"/>
  </r>
  <r>
    <n v="1211500"/>
    <n v="1120"/>
    <x v="13"/>
    <d v="2023-10-07T00:00:00"/>
    <x v="50"/>
    <n v="10"/>
    <x v="1"/>
    <x v="3"/>
    <x v="0"/>
    <s v="Maurizio Moroni"/>
    <n v="845"/>
    <s v="No"/>
    <x v="62"/>
  </r>
  <r>
    <n v="1212151"/>
    <n v="1139"/>
    <x v="0"/>
    <d v="2023-01-09T00:00:00"/>
    <x v="62"/>
    <n v="1"/>
    <x v="5"/>
    <x v="9"/>
    <x v="1"/>
    <s v="Sue King"/>
    <n v="374"/>
    <s v="No"/>
    <x v="58"/>
  </r>
  <r>
    <n v="1212775"/>
    <n v="1685"/>
    <x v="0"/>
    <d v="2023-08-25T00:00:00"/>
    <x v="65"/>
    <n v="8"/>
    <x v="0"/>
    <x v="8"/>
    <x v="3"/>
    <s v="Michael Holz"/>
    <n v="9604"/>
    <s v="No"/>
    <x v="8"/>
  </r>
  <r>
    <n v="1213103"/>
    <n v="1429"/>
    <x v="9"/>
    <d v="2023-07-06T00:00:00"/>
    <x v="72"/>
    <n v="7"/>
    <x v="3"/>
    <x v="6"/>
    <x v="1"/>
    <s v="Jan Klaeboe"/>
    <n v="9678"/>
    <s v="No"/>
    <x v="59"/>
  </r>
  <r>
    <n v="1213344"/>
    <n v="504"/>
    <x v="10"/>
    <d v="2023-06-04T00:00:00"/>
    <x v="139"/>
    <n v="6"/>
    <x v="6"/>
    <x v="7"/>
    <x v="0"/>
    <s v="Henriette Pfalzheim"/>
    <n v="4603"/>
    <s v="No"/>
    <x v="68"/>
  </r>
  <r>
    <n v="1213449"/>
    <n v="729"/>
    <x v="2"/>
    <d v="2023-03-07T00:00:00"/>
    <x v="6"/>
    <n v="3"/>
    <x v="2"/>
    <x v="4"/>
    <x v="0"/>
    <s v="Violeta Benitez"/>
    <n v="3344"/>
    <s v="No"/>
    <x v="50"/>
  </r>
  <r>
    <n v="1214613"/>
    <n v="1563"/>
    <x v="8"/>
    <d v="2023-01-20T00:00:00"/>
    <x v="104"/>
    <n v="1"/>
    <x v="0"/>
    <x v="9"/>
    <x v="2"/>
    <s v="Rosa Hernandez"/>
    <n v="2322"/>
    <s v="No"/>
    <x v="48"/>
  </r>
  <r>
    <n v="1214829"/>
    <n v="859"/>
    <x v="0"/>
    <d v="2023-10-20T00:00:00"/>
    <x v="67"/>
    <n v="10"/>
    <x v="0"/>
    <x v="3"/>
    <x v="1"/>
    <s v="Peter Ferguson"/>
    <n v="7575"/>
    <s v="No"/>
    <x v="6"/>
  </r>
  <r>
    <n v="1215680"/>
    <n v="1927"/>
    <x v="4"/>
    <d v="2023-08-26T00:00:00"/>
    <x v="77"/>
    <n v="8"/>
    <x v="1"/>
    <x v="8"/>
    <x v="2"/>
    <s v="Diego Freyre"/>
    <n v="1775"/>
    <s v="No"/>
    <x v="44"/>
  </r>
  <r>
    <n v="1217144"/>
    <n v="1762"/>
    <x v="0"/>
    <d v="2023-12-28T00:00:00"/>
    <x v="213"/>
    <n v="12"/>
    <x v="3"/>
    <x v="0"/>
    <x v="1"/>
    <s v="Julie Young"/>
    <n v="3046"/>
    <s v="No"/>
    <x v="3"/>
  </r>
  <r>
    <n v="1218028"/>
    <n v="1649"/>
    <x v="0"/>
    <d v="2023-01-01T00:00:00"/>
    <x v="121"/>
    <n v="1"/>
    <x v="6"/>
    <x v="9"/>
    <x v="2"/>
    <s v="Diego Freyre"/>
    <n v="3119"/>
    <s v="No"/>
    <x v="18"/>
  </r>
  <r>
    <n v="1218374"/>
    <n v="1511"/>
    <x v="0"/>
    <d v="2023-01-26T00:00:00"/>
    <x v="72"/>
    <n v="1"/>
    <x v="3"/>
    <x v="9"/>
    <x v="3"/>
    <s v="Valarie Nelson"/>
    <n v="44"/>
    <s v="No"/>
    <x v="11"/>
  </r>
  <r>
    <n v="1218403"/>
    <n v="1583"/>
    <x v="5"/>
    <d v="2023-03-10T00:00:00"/>
    <x v="8"/>
    <n v="3"/>
    <x v="0"/>
    <x v="4"/>
    <x v="0"/>
    <s v="Frederique Citeaux"/>
    <n v="8012"/>
    <s v="No"/>
    <x v="38"/>
  </r>
  <r>
    <n v="1218457"/>
    <n v="870"/>
    <x v="1"/>
    <d v="2023-01-31T00:00:00"/>
    <x v="88"/>
    <n v="1"/>
    <x v="2"/>
    <x v="9"/>
    <x v="3"/>
    <s v="Georg Pipps"/>
    <n v="7602"/>
    <s v="No"/>
    <x v="48"/>
  </r>
  <r>
    <n v="1219438"/>
    <n v="1051"/>
    <x v="4"/>
    <d v="2023-01-10T00:00:00"/>
    <x v="127"/>
    <n v="1"/>
    <x v="2"/>
    <x v="9"/>
    <x v="2"/>
    <s v="Jytte Petersen"/>
    <n v="3777"/>
    <s v="No"/>
    <x v="40"/>
  </r>
  <r>
    <n v="1219662"/>
    <n v="45"/>
    <x v="0"/>
    <d v="2023-05-10T00:00:00"/>
    <x v="114"/>
    <n v="5"/>
    <x v="4"/>
    <x v="11"/>
    <x v="1"/>
    <s v="Georg Pipps"/>
    <n v="8683"/>
    <s v="No"/>
    <x v="20"/>
  </r>
  <r>
    <n v="1219899"/>
    <n v="469"/>
    <x v="3"/>
    <d v="2023-07-07T00:00:00"/>
    <x v="123"/>
    <n v="7"/>
    <x v="0"/>
    <x v="6"/>
    <x v="0"/>
    <s v="Ann Brown"/>
    <n v="2819"/>
    <s v="No"/>
    <x v="70"/>
  </r>
  <r>
    <n v="1221201"/>
    <n v="1523"/>
    <x v="4"/>
    <d v="2023-08-21T00:00:00"/>
    <x v="89"/>
    <n v="8"/>
    <x v="5"/>
    <x v="8"/>
    <x v="2"/>
    <s v="Valarie Nelson"/>
    <n v="9665"/>
    <s v="No"/>
    <x v="63"/>
  </r>
  <r>
    <n v="1221647"/>
    <n v="113"/>
    <x v="0"/>
    <d v="2023-03-26T00:00:00"/>
    <x v="120"/>
    <n v="3"/>
    <x v="6"/>
    <x v="4"/>
    <x v="2"/>
    <s v="Leslie Young"/>
    <n v="6210"/>
    <s v="No"/>
    <x v="54"/>
  </r>
  <r>
    <n v="1223016"/>
    <n v="1161"/>
    <x v="4"/>
    <d v="2023-09-11T00:00:00"/>
    <x v="155"/>
    <n v="9"/>
    <x v="5"/>
    <x v="10"/>
    <x v="1"/>
    <s v="Maria Larsson"/>
    <n v="4739"/>
    <s v="No"/>
    <x v="40"/>
  </r>
  <r>
    <n v="1223038"/>
    <n v="1723"/>
    <x v="4"/>
    <d v="2023-10-13T00:00:00"/>
    <x v="87"/>
    <n v="10"/>
    <x v="0"/>
    <x v="3"/>
    <x v="3"/>
    <s v="Jesus Fernandez"/>
    <n v="8273"/>
    <s v="No"/>
    <x v="43"/>
  </r>
  <r>
    <n v="1224367"/>
    <n v="1608"/>
    <x v="0"/>
    <d v="2023-02-22T00:00:00"/>
    <x v="50"/>
    <n v="2"/>
    <x v="4"/>
    <x v="5"/>
    <x v="3"/>
    <s v="Wing C Tam"/>
    <n v="3078"/>
    <s v="No"/>
    <x v="64"/>
  </r>
  <r>
    <n v="1225156"/>
    <n v="1447"/>
    <x v="5"/>
    <d v="2023-10-07T00:00:00"/>
    <x v="69"/>
    <n v="10"/>
    <x v="1"/>
    <x v="3"/>
    <x v="1"/>
    <s v="Eduardo Saavedra"/>
    <n v="520"/>
    <s v="No"/>
    <x v="1"/>
  </r>
  <r>
    <n v="1226095"/>
    <n v="1257"/>
    <x v="0"/>
    <d v="2023-10-31T00:00:00"/>
    <x v="68"/>
    <n v="10"/>
    <x v="2"/>
    <x v="3"/>
    <x v="1"/>
    <s v="Mary Saveley"/>
    <n v="782"/>
    <s v="No"/>
    <x v="45"/>
  </r>
  <r>
    <n v="1228500"/>
    <n v="355"/>
    <x v="3"/>
    <d v="2023-03-18T00:00:00"/>
    <x v="170"/>
    <n v="3"/>
    <x v="1"/>
    <x v="4"/>
    <x v="1"/>
    <s v="Valarie Thompson"/>
    <n v="8156"/>
    <s v="No"/>
    <x v="22"/>
  </r>
  <r>
    <n v="1228563"/>
    <n v="255"/>
    <x v="2"/>
    <d v="2023-10-14T00:00:00"/>
    <x v="88"/>
    <n v="10"/>
    <x v="1"/>
    <x v="3"/>
    <x v="2"/>
    <s v="William Brown"/>
    <n v="531"/>
    <s v="No"/>
    <x v="14"/>
  </r>
  <r>
    <n v="1229877"/>
    <n v="1342"/>
    <x v="0"/>
    <d v="2023-08-06T00:00:00"/>
    <x v="144"/>
    <n v="8"/>
    <x v="6"/>
    <x v="8"/>
    <x v="0"/>
    <s v="Kwai Yu"/>
    <n v="3454"/>
    <s v="No"/>
    <x v="32"/>
  </r>
  <r>
    <n v="1229912"/>
    <n v="1193"/>
    <x v="2"/>
    <d v="2023-12-08T00:00:00"/>
    <x v="87"/>
    <n v="12"/>
    <x v="0"/>
    <x v="0"/>
    <x v="0"/>
    <s v="Jean Fresnisre"/>
    <n v="3977"/>
    <s v="No"/>
    <x v="45"/>
  </r>
  <r>
    <n v="1230163"/>
    <n v="793"/>
    <x v="0"/>
    <d v="2023-06-05T00:00:00"/>
    <x v="119"/>
    <n v="6"/>
    <x v="5"/>
    <x v="7"/>
    <x v="1"/>
    <s v="Catherine Dewey"/>
    <n v="7586"/>
    <s v="No"/>
    <x v="27"/>
  </r>
  <r>
    <n v="1230246"/>
    <n v="190"/>
    <x v="3"/>
    <d v="2023-11-23T00:00:00"/>
    <x v="5"/>
    <n v="11"/>
    <x v="3"/>
    <x v="2"/>
    <x v="2"/>
    <s v="Elizabeth Lincoln"/>
    <n v="7244"/>
    <s v="No"/>
    <x v="37"/>
  </r>
  <r>
    <n v="1230334"/>
    <n v="1502"/>
    <x v="4"/>
    <d v="2023-04-25T00:00:00"/>
    <x v="138"/>
    <n v="4"/>
    <x v="2"/>
    <x v="1"/>
    <x v="0"/>
    <s v="Juri Yoshido"/>
    <n v="2395"/>
    <s v="No"/>
    <x v="19"/>
  </r>
  <r>
    <n v="1231036"/>
    <n v="53"/>
    <x v="2"/>
    <d v="2023-08-20T00:00:00"/>
    <x v="209"/>
    <n v="8"/>
    <x v="6"/>
    <x v="8"/>
    <x v="2"/>
    <s v="Victoria Ashworth"/>
    <n v="312"/>
    <s v="No"/>
    <x v="14"/>
  </r>
  <r>
    <n v="1232244"/>
    <n v="1686"/>
    <x v="3"/>
    <d v="2023-04-18T00:00:00"/>
    <x v="59"/>
    <n v="4"/>
    <x v="2"/>
    <x v="1"/>
    <x v="1"/>
    <s v="Janine Labrune"/>
    <n v="7689"/>
    <s v="No"/>
    <x v="62"/>
  </r>
  <r>
    <n v="1232656"/>
    <n v="888"/>
    <x v="13"/>
    <d v="2023-04-04T00:00:00"/>
    <x v="214"/>
    <n v="4"/>
    <x v="2"/>
    <x v="1"/>
    <x v="0"/>
    <s v="Christina Berglund"/>
    <n v="1139"/>
    <s v="No"/>
    <x v="37"/>
  </r>
  <r>
    <n v="1234361"/>
    <n v="1857"/>
    <x v="3"/>
    <d v="2023-09-29T00:00:00"/>
    <x v="132"/>
    <n v="9"/>
    <x v="0"/>
    <x v="10"/>
    <x v="2"/>
    <s v="Akiko Shimamura"/>
    <n v="760"/>
    <s v="No"/>
    <x v="21"/>
  </r>
  <r>
    <n v="1234676"/>
    <n v="972"/>
    <x v="3"/>
    <d v="2023-01-03T00:00:00"/>
    <x v="11"/>
    <n v="1"/>
    <x v="2"/>
    <x v="9"/>
    <x v="3"/>
    <s v="Diego Freyre"/>
    <n v="9851"/>
    <s v="No"/>
    <x v="31"/>
  </r>
  <r>
    <n v="1234702"/>
    <n v="747"/>
    <x v="2"/>
    <d v="2023-10-03T00:00:00"/>
    <x v="19"/>
    <n v="10"/>
    <x v="2"/>
    <x v="3"/>
    <x v="0"/>
    <s v="Pirkko Koskitalo"/>
    <n v="8157"/>
    <s v="No"/>
    <x v="71"/>
  </r>
  <r>
    <n v="1234926"/>
    <n v="1983"/>
    <x v="4"/>
    <d v="2023-10-09T00:00:00"/>
    <x v="79"/>
    <n v="10"/>
    <x v="5"/>
    <x v="3"/>
    <x v="1"/>
    <s v="Julie Brown"/>
    <n v="2280"/>
    <s v="No"/>
    <x v="31"/>
  </r>
  <r>
    <n v="1236573"/>
    <n v="1036"/>
    <x v="1"/>
    <d v="2023-08-28T00:00:00"/>
    <x v="174"/>
    <n v="8"/>
    <x v="5"/>
    <x v="8"/>
    <x v="2"/>
    <s v="Valarie Nelson"/>
    <n v="1114"/>
    <s v="No"/>
    <x v="3"/>
  </r>
  <r>
    <n v="1236880"/>
    <n v="1511"/>
    <x v="0"/>
    <d v="2023-05-18T00:00:00"/>
    <x v="208"/>
    <n v="5"/>
    <x v="3"/>
    <x v="11"/>
    <x v="0"/>
    <s v="Juri Yoshido"/>
    <n v="1203"/>
    <s v="No"/>
    <x v="11"/>
  </r>
  <r>
    <n v="1237283"/>
    <n v="1263"/>
    <x v="0"/>
    <d v="2023-02-21T00:00:00"/>
    <x v="95"/>
    <n v="2"/>
    <x v="2"/>
    <x v="5"/>
    <x v="0"/>
    <s v="Victoria Ashworth"/>
    <n v="3809"/>
    <s v="No"/>
    <x v="61"/>
  </r>
  <r>
    <n v="1237541"/>
    <n v="354"/>
    <x v="1"/>
    <d v="2023-10-03T00:00:00"/>
    <x v="96"/>
    <n v="10"/>
    <x v="2"/>
    <x v="3"/>
    <x v="2"/>
    <s v="Sue King"/>
    <n v="301"/>
    <s v="No"/>
    <x v="3"/>
  </r>
  <r>
    <n v="1238511"/>
    <n v="433"/>
    <x v="1"/>
    <d v="2023-01-09T00:00:00"/>
    <x v="115"/>
    <n v="1"/>
    <x v="5"/>
    <x v="9"/>
    <x v="1"/>
    <s v="Anna O'Hara"/>
    <n v="7820"/>
    <s v="No"/>
    <x v="39"/>
  </r>
  <r>
    <n v="1239298"/>
    <n v="270"/>
    <x v="6"/>
    <d v="2023-09-24T00:00:00"/>
    <x v="155"/>
    <n v="9"/>
    <x v="6"/>
    <x v="10"/>
    <x v="3"/>
    <s v="Palle Ibsen"/>
    <n v="1355"/>
    <s v="No"/>
    <x v="8"/>
  </r>
  <r>
    <n v="1239461"/>
    <n v="245"/>
    <x v="1"/>
    <d v="2023-09-14T00:00:00"/>
    <x v="210"/>
    <n v="9"/>
    <x v="3"/>
    <x v="10"/>
    <x v="2"/>
    <s v="Julie King"/>
    <n v="653"/>
    <s v="No"/>
    <x v="42"/>
  </r>
  <r>
    <n v="1240058"/>
    <n v="1665"/>
    <x v="11"/>
    <d v="2023-01-03T00:00:00"/>
    <x v="127"/>
    <n v="1"/>
    <x v="2"/>
    <x v="9"/>
    <x v="3"/>
    <s v="Valarie Nelson"/>
    <n v="1633"/>
    <s v="No"/>
    <x v="11"/>
  </r>
  <r>
    <n v="1240090"/>
    <n v="319"/>
    <x v="1"/>
    <d v="2023-02-11T00:00:00"/>
    <x v="6"/>
    <n v="2"/>
    <x v="1"/>
    <x v="5"/>
    <x v="3"/>
    <s v="Valarie Young"/>
    <n v="286"/>
    <s v="No"/>
    <x v="36"/>
  </r>
  <r>
    <n v="1241751"/>
    <n v="1252"/>
    <x v="0"/>
    <d v="2023-05-04T00:00:00"/>
    <x v="1"/>
    <n v="5"/>
    <x v="3"/>
    <x v="11"/>
    <x v="1"/>
    <s v="Jeff Young"/>
    <n v="6106"/>
    <s v="No"/>
    <x v="50"/>
  </r>
  <r>
    <n v="1242334"/>
    <n v="701"/>
    <x v="1"/>
    <d v="2023-02-08T00:00:00"/>
    <x v="136"/>
    <n v="2"/>
    <x v="4"/>
    <x v="5"/>
    <x v="2"/>
    <s v="Diego Freyre"/>
    <n v="4664"/>
    <s v="No"/>
    <x v="54"/>
  </r>
  <r>
    <n v="1242726"/>
    <n v="724"/>
    <x v="0"/>
    <d v="2023-01-26T00:00:00"/>
    <x v="135"/>
    <n v="1"/>
    <x v="3"/>
    <x v="9"/>
    <x v="2"/>
    <s v="Mary Saveley"/>
    <n v="3036"/>
    <s v="No"/>
    <x v="35"/>
  </r>
  <r>
    <n v="1243085"/>
    <n v="39"/>
    <x v="0"/>
    <d v="2023-11-11T00:00:00"/>
    <x v="152"/>
    <n v="11"/>
    <x v="1"/>
    <x v="2"/>
    <x v="1"/>
    <s v="Frederique Citeaux"/>
    <n v="6819"/>
    <s v="No"/>
    <x v="7"/>
  </r>
  <r>
    <n v="1243807"/>
    <n v="869"/>
    <x v="9"/>
    <d v="2023-06-22T00:00:00"/>
    <x v="124"/>
    <n v="6"/>
    <x v="3"/>
    <x v="7"/>
    <x v="2"/>
    <s v="Jeff Young"/>
    <n v="5634"/>
    <s v="No"/>
    <x v="72"/>
  </r>
  <r>
    <n v="1244097"/>
    <n v="380"/>
    <x v="3"/>
    <d v="2023-04-19T00:00:00"/>
    <x v="54"/>
    <n v="4"/>
    <x v="4"/>
    <x v="1"/>
    <x v="1"/>
    <s v="Diego Freyre"/>
    <n v="1026"/>
    <s v="No"/>
    <x v="3"/>
  </r>
  <r>
    <n v="1244668"/>
    <n v="1872"/>
    <x v="3"/>
    <d v="2023-08-21T00:00:00"/>
    <x v="207"/>
    <n v="8"/>
    <x v="5"/>
    <x v="8"/>
    <x v="2"/>
    <s v="Wendy Victorino"/>
    <n v="9021"/>
    <s v="No"/>
    <x v="6"/>
  </r>
  <r>
    <n v="1244841"/>
    <n v="402"/>
    <x v="1"/>
    <d v="2023-11-08T00:00:00"/>
    <x v="88"/>
    <n v="11"/>
    <x v="4"/>
    <x v="2"/>
    <x v="2"/>
    <s v="Elizabeth Devon"/>
    <n v="3692"/>
    <s v="No"/>
    <x v="18"/>
  </r>
  <r>
    <n v="1244975"/>
    <n v="413"/>
    <x v="4"/>
    <d v="2023-10-19T00:00:00"/>
    <x v="202"/>
    <n v="10"/>
    <x v="3"/>
    <x v="3"/>
    <x v="1"/>
    <s v="Diego Freyre"/>
    <n v="9062"/>
    <s v="No"/>
    <x v="59"/>
  </r>
  <r>
    <n v="1245959"/>
    <n v="1983"/>
    <x v="4"/>
    <d v="2023-02-24T00:00:00"/>
    <x v="5"/>
    <n v="2"/>
    <x v="0"/>
    <x v="5"/>
    <x v="0"/>
    <s v="Violeta Benitez"/>
    <n v="774"/>
    <s v="No"/>
    <x v="31"/>
  </r>
  <r>
    <n v="1246551"/>
    <n v="1907"/>
    <x v="6"/>
    <d v="2023-05-26T00:00:00"/>
    <x v="178"/>
    <n v="5"/>
    <x v="0"/>
    <x v="11"/>
    <x v="1"/>
    <s v="Victoria Ashworth"/>
    <n v="5938"/>
    <s v="No"/>
    <x v="69"/>
  </r>
  <r>
    <n v="1246866"/>
    <n v="1884"/>
    <x v="0"/>
    <d v="2023-06-27T00:00:00"/>
    <x v="134"/>
    <n v="6"/>
    <x v="2"/>
    <x v="7"/>
    <x v="2"/>
    <s v="Sue King"/>
    <n v="849"/>
    <s v="No"/>
    <x v="34"/>
  </r>
  <r>
    <n v="1247542"/>
    <n v="1956"/>
    <x v="9"/>
    <d v="2023-08-13T00:00:00"/>
    <x v="43"/>
    <n v="8"/>
    <x v="6"/>
    <x v="8"/>
    <x v="3"/>
    <s v="Valarie Nelson"/>
    <n v="632"/>
    <s v="No"/>
    <x v="10"/>
  </r>
  <r>
    <n v="1249517"/>
    <n v="1371"/>
    <x v="0"/>
    <d v="2023-02-06T00:00:00"/>
    <x v="120"/>
    <n v="2"/>
    <x v="5"/>
    <x v="5"/>
    <x v="1"/>
    <s v="Diego Freyre"/>
    <n v="985"/>
    <s v="No"/>
    <x v="3"/>
  </r>
  <r>
    <n v="1250394"/>
    <n v="1969"/>
    <x v="4"/>
    <d v="2023-02-13T00:00:00"/>
    <x v="115"/>
    <n v="2"/>
    <x v="5"/>
    <x v="5"/>
    <x v="3"/>
    <s v="Sue Frick"/>
    <n v="9703"/>
    <s v="No"/>
    <x v="10"/>
  </r>
  <r>
    <n v="1250419"/>
    <n v="1802"/>
    <x v="3"/>
    <d v="2023-05-24T00:00:00"/>
    <x v="200"/>
    <n v="5"/>
    <x v="4"/>
    <x v="11"/>
    <x v="3"/>
    <s v="Adrian Huxley"/>
    <n v="3390"/>
    <s v="No"/>
    <x v="57"/>
  </r>
  <r>
    <n v="1252385"/>
    <n v="958"/>
    <x v="0"/>
    <d v="2023-02-26T00:00:00"/>
    <x v="80"/>
    <n v="2"/>
    <x v="6"/>
    <x v="5"/>
    <x v="3"/>
    <s v="Arnold Cruz"/>
    <n v="9723"/>
    <s v="No"/>
    <x v="20"/>
  </r>
  <r>
    <n v="1252899"/>
    <n v="749"/>
    <x v="5"/>
    <d v="2023-12-01T00:00:00"/>
    <x v="86"/>
    <n v="12"/>
    <x v="0"/>
    <x v="0"/>
    <x v="3"/>
    <s v="Laurence Lebihan"/>
    <n v="3812"/>
    <s v="No"/>
    <x v="43"/>
  </r>
  <r>
    <n v="1253263"/>
    <n v="61"/>
    <x v="4"/>
    <d v="2023-05-26T00:00:00"/>
    <x v="211"/>
    <n v="5"/>
    <x v="0"/>
    <x v="11"/>
    <x v="1"/>
    <s v="Valarie Nelson"/>
    <n v="2843"/>
    <s v="No"/>
    <x v="59"/>
  </r>
  <r>
    <n v="1253641"/>
    <n v="786"/>
    <x v="13"/>
    <d v="2023-01-30T00:00:00"/>
    <x v="45"/>
    <n v="1"/>
    <x v="5"/>
    <x v="9"/>
    <x v="2"/>
    <s v="Allen Nelson"/>
    <n v="2881"/>
    <s v="No"/>
    <x v="57"/>
  </r>
  <r>
    <n v="1254071"/>
    <n v="1367"/>
    <x v="2"/>
    <d v="2023-02-26T00:00:00"/>
    <x v="151"/>
    <n v="2"/>
    <x v="6"/>
    <x v="5"/>
    <x v="1"/>
    <s v="Julie Brown"/>
    <n v="3090"/>
    <s v="No"/>
    <x v="5"/>
  </r>
  <r>
    <n v="1254601"/>
    <n v="1734"/>
    <x v="0"/>
    <d v="2023-05-03T00:00:00"/>
    <x v="215"/>
    <n v="5"/>
    <x v="4"/>
    <x v="11"/>
    <x v="2"/>
    <s v="Anna O'Hara"/>
    <n v="4180"/>
    <s v="No"/>
    <x v="14"/>
  </r>
  <r>
    <n v="1254623"/>
    <n v="1234"/>
    <x v="0"/>
    <d v="2023-02-01T00:00:00"/>
    <x v="108"/>
    <n v="2"/>
    <x v="4"/>
    <x v="5"/>
    <x v="1"/>
    <s v="Veysel Oeztan"/>
    <n v="3138"/>
    <s v="No"/>
    <x v="20"/>
  </r>
  <r>
    <n v="1255175"/>
    <n v="458"/>
    <x v="10"/>
    <d v="2023-11-24T00:00:00"/>
    <x v="190"/>
    <n v="11"/>
    <x v="0"/>
    <x v="2"/>
    <x v="3"/>
    <s v="Henriette Pfalzheim"/>
    <n v="505"/>
    <s v="No"/>
    <x v="52"/>
  </r>
  <r>
    <n v="1255720"/>
    <n v="1690"/>
    <x v="6"/>
    <d v="2023-09-09T00:00:00"/>
    <x v="68"/>
    <n v="9"/>
    <x v="1"/>
    <x v="10"/>
    <x v="3"/>
    <s v="Diego Freyre"/>
    <n v="6466"/>
    <s v="No"/>
    <x v="56"/>
  </r>
  <r>
    <n v="1255723"/>
    <n v="57"/>
    <x v="1"/>
    <d v="2023-06-10T00:00:00"/>
    <x v="174"/>
    <n v="6"/>
    <x v="1"/>
    <x v="7"/>
    <x v="0"/>
    <s v="Dominique Perrier"/>
    <n v="9161"/>
    <s v="No"/>
    <x v="33"/>
  </r>
  <r>
    <n v="1256035"/>
    <n v="105"/>
    <x v="0"/>
    <d v="2023-01-15T00:00:00"/>
    <x v="176"/>
    <n v="1"/>
    <x v="6"/>
    <x v="9"/>
    <x v="1"/>
    <s v="Michael Holz"/>
    <n v="2774"/>
    <s v="No"/>
    <x v="16"/>
  </r>
  <r>
    <n v="1256522"/>
    <n v="816"/>
    <x v="1"/>
    <d v="2023-05-25T00:00:00"/>
    <x v="145"/>
    <n v="5"/>
    <x v="3"/>
    <x v="11"/>
    <x v="0"/>
    <s v="Jytte Petersen"/>
    <n v="7805"/>
    <s v="No"/>
    <x v="7"/>
  </r>
  <r>
    <n v="1256855"/>
    <n v="243"/>
    <x v="0"/>
    <d v="2023-09-16T00:00:00"/>
    <x v="150"/>
    <n v="9"/>
    <x v="1"/>
    <x v="10"/>
    <x v="2"/>
    <s v="Elizabeth Devon"/>
    <n v="2567"/>
    <s v="No"/>
    <x v="65"/>
  </r>
  <r>
    <n v="1257018"/>
    <n v="87"/>
    <x v="1"/>
    <d v="2023-02-04T00:00:00"/>
    <x v="209"/>
    <n v="2"/>
    <x v="1"/>
    <x v="5"/>
    <x v="3"/>
    <s v="Maurizio Moroni"/>
    <n v="8149"/>
    <s v="No"/>
    <x v="14"/>
  </r>
  <r>
    <n v="1258064"/>
    <n v="1478"/>
    <x v="9"/>
    <d v="2023-04-26T00:00:00"/>
    <x v="39"/>
    <n v="4"/>
    <x v="4"/>
    <x v="1"/>
    <x v="1"/>
    <s v="Miguel Barajas"/>
    <n v="6527"/>
    <s v="No"/>
    <x v="64"/>
  </r>
  <r>
    <n v="1258245"/>
    <n v="1654"/>
    <x v="0"/>
    <d v="2023-04-04T00:00:00"/>
    <x v="94"/>
    <n v="4"/>
    <x v="2"/>
    <x v="1"/>
    <x v="3"/>
    <s v="Michael Holz"/>
    <n v="3634"/>
    <s v="No"/>
    <x v="72"/>
  </r>
  <r>
    <n v="1259011"/>
    <n v="1198"/>
    <x v="0"/>
    <d v="2023-06-10T00:00:00"/>
    <x v="118"/>
    <n v="6"/>
    <x v="1"/>
    <x v="7"/>
    <x v="2"/>
    <s v="Roland Keitel"/>
    <n v="247"/>
    <s v="No"/>
    <x v="42"/>
  </r>
  <r>
    <n v="1259418"/>
    <n v="1199"/>
    <x v="2"/>
    <d v="2023-01-27T00:00:00"/>
    <x v="2"/>
    <n v="1"/>
    <x v="0"/>
    <x v="9"/>
    <x v="3"/>
    <s v="Henriette Pfalzheim"/>
    <n v="7775"/>
    <s v="No"/>
    <x v="4"/>
  </r>
  <r>
    <n v="1259696"/>
    <n v="1798"/>
    <x v="0"/>
    <d v="2023-04-14T00:00:00"/>
    <x v="162"/>
    <n v="4"/>
    <x v="0"/>
    <x v="1"/>
    <x v="2"/>
    <s v="Christina Berglund"/>
    <n v="4028"/>
    <s v="No"/>
    <x v="34"/>
  </r>
  <r>
    <n v="1260670"/>
    <n v="1301"/>
    <x v="4"/>
    <d v="2023-01-08T00:00:00"/>
    <x v="37"/>
    <n v="1"/>
    <x v="6"/>
    <x v="9"/>
    <x v="1"/>
    <s v="Rosa Hernandez"/>
    <n v="1655"/>
    <s v="No"/>
    <x v="58"/>
  </r>
  <r>
    <n v="1262059"/>
    <n v="1719"/>
    <x v="2"/>
    <d v="2023-07-27T00:00:00"/>
    <x v="173"/>
    <n v="7"/>
    <x v="3"/>
    <x v="6"/>
    <x v="0"/>
    <s v="Peter Ferguson"/>
    <n v="1114"/>
    <s v="No"/>
    <x v="12"/>
  </r>
  <r>
    <n v="1265339"/>
    <n v="1916"/>
    <x v="11"/>
    <d v="2023-01-02T00:00:00"/>
    <x v="33"/>
    <n v="1"/>
    <x v="5"/>
    <x v="9"/>
    <x v="2"/>
    <s v="Diego Freyre"/>
    <n v="5272"/>
    <s v="No"/>
    <x v="6"/>
  </r>
  <r>
    <n v="1265561"/>
    <n v="1"/>
    <x v="3"/>
    <d v="2023-02-28T00:00:00"/>
    <x v="21"/>
    <n v="2"/>
    <x v="2"/>
    <x v="5"/>
    <x v="2"/>
    <s v="Kalle Suominen"/>
    <n v="3338"/>
    <s v="No"/>
    <x v="34"/>
  </r>
  <r>
    <n v="1267084"/>
    <n v="312"/>
    <x v="2"/>
    <d v="2023-12-11T00:00:00"/>
    <x v="70"/>
    <n v="12"/>
    <x v="5"/>
    <x v="0"/>
    <x v="0"/>
    <s v="Diego Freyre"/>
    <n v="3305"/>
    <s v="No"/>
    <x v="4"/>
  </r>
  <r>
    <n v="1267886"/>
    <n v="1900"/>
    <x v="5"/>
    <d v="2023-06-09T00:00:00"/>
    <x v="76"/>
    <n v="6"/>
    <x v="0"/>
    <x v="7"/>
    <x v="3"/>
    <s v="Valarie Nelson"/>
    <n v="5588"/>
    <s v="No"/>
    <x v="9"/>
  </r>
  <r>
    <n v="1268060"/>
    <n v="1316"/>
    <x v="6"/>
    <d v="2023-01-04T00:00:00"/>
    <x v="45"/>
    <n v="1"/>
    <x v="4"/>
    <x v="9"/>
    <x v="1"/>
    <s v="Georg Pipps"/>
    <n v="3876"/>
    <s v="No"/>
    <x v="41"/>
  </r>
  <r>
    <n v="1269964"/>
    <n v="1035"/>
    <x v="1"/>
    <d v="2023-02-12T00:00:00"/>
    <x v="51"/>
    <n v="2"/>
    <x v="6"/>
    <x v="5"/>
    <x v="1"/>
    <s v="Giovanni Rovelli"/>
    <n v="9940"/>
    <s v="No"/>
    <x v="72"/>
  </r>
  <r>
    <n v="1271055"/>
    <n v="1509"/>
    <x v="0"/>
    <d v="2023-01-09T00:00:00"/>
    <x v="93"/>
    <n v="1"/>
    <x v="5"/>
    <x v="9"/>
    <x v="3"/>
    <s v="Georg Pipps"/>
    <n v="9159"/>
    <s v="No"/>
    <x v="34"/>
  </r>
  <r>
    <n v="1271264"/>
    <n v="450"/>
    <x v="2"/>
    <d v="2023-09-29T00:00:00"/>
    <x v="32"/>
    <n v="9"/>
    <x v="0"/>
    <x v="10"/>
    <x v="2"/>
    <s v="Dan Lewis"/>
    <n v="2686"/>
    <s v="No"/>
    <x v="62"/>
  </r>
  <r>
    <n v="1271599"/>
    <n v="987"/>
    <x v="0"/>
    <d v="2023-07-18T00:00:00"/>
    <x v="141"/>
    <n v="7"/>
    <x v="2"/>
    <x v="6"/>
    <x v="3"/>
    <s v="Wing C Tam"/>
    <n v="2478"/>
    <s v="No"/>
    <x v="12"/>
  </r>
  <r>
    <n v="1272310"/>
    <n v="1183"/>
    <x v="3"/>
    <d v="2023-08-01T00:00:00"/>
    <x v="34"/>
    <n v="8"/>
    <x v="2"/>
    <x v="8"/>
    <x v="0"/>
    <s v="Matti Karttunen"/>
    <n v="7092"/>
    <s v="No"/>
    <x v="50"/>
  </r>
  <r>
    <n v="1272986"/>
    <n v="1475"/>
    <x v="4"/>
    <d v="2023-02-08T00:00:00"/>
    <x v="211"/>
    <n v="2"/>
    <x v="4"/>
    <x v="5"/>
    <x v="3"/>
    <s v="Maria Larsson"/>
    <n v="4629"/>
    <s v="No"/>
    <x v="5"/>
  </r>
  <r>
    <n v="1273418"/>
    <n v="581"/>
    <x v="0"/>
    <d v="2023-11-23T00:00:00"/>
    <x v="18"/>
    <n v="11"/>
    <x v="3"/>
    <x v="2"/>
    <x v="1"/>
    <s v="Annette Roulet"/>
    <n v="5316"/>
    <s v="No"/>
    <x v="62"/>
  </r>
  <r>
    <n v="1273432"/>
    <n v="1216"/>
    <x v="6"/>
    <d v="2023-02-06T00:00:00"/>
    <x v="100"/>
    <n v="2"/>
    <x v="5"/>
    <x v="5"/>
    <x v="0"/>
    <s v="Thomas Hardy"/>
    <n v="3235"/>
    <s v="No"/>
    <x v="42"/>
  </r>
  <r>
    <n v="1273811"/>
    <n v="1905"/>
    <x v="4"/>
    <d v="2023-12-17T00:00:00"/>
    <x v="116"/>
    <n v="12"/>
    <x v="6"/>
    <x v="0"/>
    <x v="2"/>
    <s v="Arnold Cruz"/>
    <n v="5538"/>
    <s v="No"/>
    <x v="68"/>
  </r>
  <r>
    <n v="1274337"/>
    <n v="974"/>
    <x v="3"/>
    <d v="2023-11-01T00:00:00"/>
    <x v="216"/>
    <n v="11"/>
    <x v="4"/>
    <x v="2"/>
    <x v="1"/>
    <s v="Michael Chandler"/>
    <n v="856"/>
    <s v="No"/>
    <x v="52"/>
  </r>
  <r>
    <n v="1274561"/>
    <n v="640"/>
    <x v="3"/>
    <d v="2023-09-19T00:00:00"/>
    <x v="217"/>
    <n v="9"/>
    <x v="2"/>
    <x v="10"/>
    <x v="3"/>
    <s v="Valarie Thompson"/>
    <n v="3448"/>
    <s v="No"/>
    <x v="66"/>
  </r>
  <r>
    <n v="1275891"/>
    <n v="248"/>
    <x v="0"/>
    <d v="2023-11-18T00:00:00"/>
    <x v="90"/>
    <n v="11"/>
    <x v="1"/>
    <x v="2"/>
    <x v="0"/>
    <s v="Kyung Tseng"/>
    <n v="1143"/>
    <s v="No"/>
    <x v="59"/>
  </r>
  <r>
    <n v="1275955"/>
    <n v="1506"/>
    <x v="0"/>
    <d v="2023-08-06T00:00:00"/>
    <x v="109"/>
    <n v="8"/>
    <x v="6"/>
    <x v="8"/>
    <x v="1"/>
    <s v="Diego Freyre"/>
    <n v="8000"/>
    <s v="No"/>
    <x v="65"/>
  </r>
  <r>
    <n v="1276372"/>
    <n v="414"/>
    <x v="1"/>
    <d v="2023-03-03T00:00:00"/>
    <x v="36"/>
    <n v="3"/>
    <x v="0"/>
    <x v="4"/>
    <x v="0"/>
    <s v="Allen Nelson"/>
    <n v="1465"/>
    <s v="No"/>
    <x v="46"/>
  </r>
  <r>
    <n v="1277957"/>
    <n v="1687"/>
    <x v="6"/>
    <d v="2023-01-26T00:00:00"/>
    <x v="118"/>
    <n v="1"/>
    <x v="3"/>
    <x v="9"/>
    <x v="2"/>
    <s v="Jan Klaeboe"/>
    <n v="2062"/>
    <s v="No"/>
    <x v="4"/>
  </r>
  <r>
    <n v="1278430"/>
    <n v="1947"/>
    <x v="4"/>
    <d v="2023-08-03T00:00:00"/>
    <x v="94"/>
    <n v="8"/>
    <x v="3"/>
    <x v="8"/>
    <x v="2"/>
    <s v="Michael Donnermeyer"/>
    <n v="2876"/>
    <s v="No"/>
    <x v="19"/>
  </r>
  <r>
    <n v="1278929"/>
    <n v="413"/>
    <x v="4"/>
    <d v="2023-04-16T00:00:00"/>
    <x v="191"/>
    <n v="4"/>
    <x v="6"/>
    <x v="1"/>
    <x v="2"/>
    <s v="Francisca Cervantes"/>
    <n v="6020"/>
    <s v="No"/>
    <x v="59"/>
  </r>
  <r>
    <n v="1279393"/>
    <n v="1340"/>
    <x v="2"/>
    <d v="2023-09-08T00:00:00"/>
    <x v="16"/>
    <n v="9"/>
    <x v="0"/>
    <x v="10"/>
    <x v="0"/>
    <s v="Helen Bennett"/>
    <n v="9753"/>
    <s v="No"/>
    <x v="28"/>
  </r>
  <r>
    <n v="1280103"/>
    <n v="909"/>
    <x v="1"/>
    <d v="2023-10-06T00:00:00"/>
    <x v="7"/>
    <n v="10"/>
    <x v="0"/>
    <x v="3"/>
    <x v="0"/>
    <s v="Giovanni Rovelli"/>
    <n v="2054"/>
    <s v="No"/>
    <x v="37"/>
  </r>
  <r>
    <n v="1280199"/>
    <n v="337"/>
    <x v="5"/>
    <d v="2023-10-24T00:00:00"/>
    <x v="201"/>
    <n v="10"/>
    <x v="2"/>
    <x v="3"/>
    <x v="0"/>
    <s v="Akiko Shimamura"/>
    <n v="622"/>
    <s v="No"/>
    <x v="30"/>
  </r>
  <r>
    <n v="1282426"/>
    <n v="1866"/>
    <x v="4"/>
    <d v="2023-07-05T00:00:00"/>
    <x v="10"/>
    <n v="7"/>
    <x v="4"/>
    <x v="6"/>
    <x v="1"/>
    <s v="Ann Brown"/>
    <n v="9455"/>
    <s v="No"/>
    <x v="62"/>
  </r>
  <r>
    <n v="1283493"/>
    <n v="1075"/>
    <x v="13"/>
    <d v="2023-10-27T00:00:00"/>
    <x v="92"/>
    <n v="10"/>
    <x v="0"/>
    <x v="3"/>
    <x v="2"/>
    <s v="Adrian Huxley"/>
    <n v="4773"/>
    <s v="No"/>
    <x v="39"/>
  </r>
  <r>
    <n v="1284119"/>
    <n v="1980"/>
    <x v="11"/>
    <d v="2023-10-07T00:00:00"/>
    <x v="156"/>
    <n v="10"/>
    <x v="1"/>
    <x v="3"/>
    <x v="3"/>
    <s v="Pirkko Koskitalo"/>
    <n v="6976"/>
    <s v="No"/>
    <x v="56"/>
  </r>
  <r>
    <n v="1284352"/>
    <n v="1957"/>
    <x v="0"/>
    <d v="2023-06-05T00:00:00"/>
    <x v="63"/>
    <n v="6"/>
    <x v="5"/>
    <x v="7"/>
    <x v="1"/>
    <s v="Diego Freyre"/>
    <n v="2512"/>
    <s v="No"/>
    <x v="53"/>
  </r>
  <r>
    <n v="1284756"/>
    <n v="1015"/>
    <x v="2"/>
    <d v="2023-11-07T00:00:00"/>
    <x v="22"/>
    <n v="11"/>
    <x v="2"/>
    <x v="2"/>
    <x v="3"/>
    <s v="Paul Henriot"/>
    <n v="8923"/>
    <s v="No"/>
    <x v="63"/>
  </r>
  <r>
    <n v="1287324"/>
    <n v="819"/>
    <x v="12"/>
    <d v="2023-03-03T00:00:00"/>
    <x v="22"/>
    <n v="3"/>
    <x v="0"/>
    <x v="4"/>
    <x v="1"/>
    <s v="Sue Frick"/>
    <n v="930"/>
    <s v="No"/>
    <x v="21"/>
  </r>
  <r>
    <n v="1288242"/>
    <n v="1879"/>
    <x v="0"/>
    <d v="2023-08-23T00:00:00"/>
    <x v="48"/>
    <n v="8"/>
    <x v="4"/>
    <x v="8"/>
    <x v="1"/>
    <s v="Sean Connery"/>
    <n v="5169"/>
    <s v="No"/>
    <x v="15"/>
  </r>
  <r>
    <n v="1288279"/>
    <n v="420"/>
    <x v="4"/>
    <d v="2023-05-27T00:00:00"/>
    <x v="181"/>
    <n v="5"/>
    <x v="1"/>
    <x v="11"/>
    <x v="3"/>
    <s v="Victoria Ashworth"/>
    <n v="5628"/>
    <s v="No"/>
    <x v="54"/>
  </r>
  <r>
    <n v="1288732"/>
    <n v="354"/>
    <x v="1"/>
    <d v="2023-02-08T00:00:00"/>
    <x v="70"/>
    <n v="2"/>
    <x v="4"/>
    <x v="5"/>
    <x v="1"/>
    <s v="Sue King"/>
    <n v="1265"/>
    <s v="No"/>
    <x v="3"/>
  </r>
  <r>
    <n v="1288792"/>
    <n v="25"/>
    <x v="0"/>
    <d v="2023-12-05T00:00:00"/>
    <x v="86"/>
    <n v="12"/>
    <x v="2"/>
    <x v="0"/>
    <x v="1"/>
    <s v="Anna O'Hara"/>
    <n v="3516"/>
    <s v="No"/>
    <x v="0"/>
  </r>
  <r>
    <n v="1288824"/>
    <n v="912"/>
    <x v="0"/>
    <d v="2023-01-04T00:00:00"/>
    <x v="72"/>
    <n v="1"/>
    <x v="4"/>
    <x v="9"/>
    <x v="3"/>
    <s v="Palle Ibsen"/>
    <n v="8079"/>
    <s v="No"/>
    <x v="19"/>
  </r>
  <r>
    <n v="1289179"/>
    <n v="65"/>
    <x v="4"/>
    <d v="2023-02-04T00:00:00"/>
    <x v="121"/>
    <n v="2"/>
    <x v="1"/>
    <x v="5"/>
    <x v="2"/>
    <s v="Julie King"/>
    <n v="2409"/>
    <s v="No"/>
    <x v="2"/>
  </r>
  <r>
    <n v="1289588"/>
    <n v="336"/>
    <x v="4"/>
    <d v="2023-09-05T00:00:00"/>
    <x v="174"/>
    <n v="9"/>
    <x v="2"/>
    <x v="10"/>
    <x v="1"/>
    <s v="Valarie Nelson"/>
    <n v="4944"/>
    <s v="No"/>
    <x v="47"/>
  </r>
  <r>
    <n v="1289856"/>
    <n v="1174"/>
    <x v="0"/>
    <d v="2023-07-08T00:00:00"/>
    <x v="151"/>
    <n v="7"/>
    <x v="1"/>
    <x v="6"/>
    <x v="1"/>
    <s v="Valarie Young"/>
    <n v="5660"/>
    <s v="No"/>
    <x v="52"/>
  </r>
  <r>
    <n v="1289947"/>
    <n v="164"/>
    <x v="0"/>
    <d v="2023-11-21T00:00:00"/>
    <x v="141"/>
    <n v="11"/>
    <x v="2"/>
    <x v="2"/>
    <x v="2"/>
    <s v="Jeff Young"/>
    <n v="1867"/>
    <s v="No"/>
    <x v="40"/>
  </r>
  <r>
    <n v="1290448"/>
    <n v="1083"/>
    <x v="4"/>
    <d v="2023-02-14T00:00:00"/>
    <x v="200"/>
    <n v="2"/>
    <x v="2"/>
    <x v="5"/>
    <x v="1"/>
    <s v="Diego Freyre"/>
    <n v="9507"/>
    <s v="No"/>
    <x v="5"/>
  </r>
  <r>
    <n v="1290759"/>
    <n v="497"/>
    <x v="0"/>
    <d v="2023-02-19T00:00:00"/>
    <x v="36"/>
    <n v="2"/>
    <x v="6"/>
    <x v="5"/>
    <x v="2"/>
    <s v="Valarie Thompson"/>
    <n v="6538"/>
    <s v="No"/>
    <x v="51"/>
  </r>
  <r>
    <n v="1290822"/>
    <n v="430"/>
    <x v="1"/>
    <d v="2023-04-18T00:00:00"/>
    <x v="142"/>
    <n v="4"/>
    <x v="2"/>
    <x v="1"/>
    <x v="3"/>
    <s v="Frederique Citeaux"/>
    <n v="3136"/>
    <s v="No"/>
    <x v="43"/>
  </r>
  <r>
    <n v="1291386"/>
    <n v="1855"/>
    <x v="13"/>
    <d v="2023-06-21T00:00:00"/>
    <x v="156"/>
    <n v="6"/>
    <x v="4"/>
    <x v="7"/>
    <x v="2"/>
    <s v="Jeff Young"/>
    <n v="6840"/>
    <s v="No"/>
    <x v="60"/>
  </r>
  <r>
    <n v="1291392"/>
    <n v="1083"/>
    <x v="4"/>
    <d v="2023-07-12T00:00:00"/>
    <x v="120"/>
    <n v="7"/>
    <x v="4"/>
    <x v="6"/>
    <x v="3"/>
    <s v="Diego Freyre"/>
    <n v="7984"/>
    <s v="No"/>
    <x v="5"/>
  </r>
  <r>
    <n v="1291584"/>
    <n v="1215"/>
    <x v="0"/>
    <d v="2023-05-28T00:00:00"/>
    <x v="60"/>
    <n v="5"/>
    <x v="6"/>
    <x v="11"/>
    <x v="3"/>
    <s v="Wendy Victorino"/>
    <n v="813"/>
    <s v="No"/>
    <x v="19"/>
  </r>
  <r>
    <n v="1291650"/>
    <n v="1982"/>
    <x v="2"/>
    <d v="2023-06-03T00:00:00"/>
    <x v="200"/>
    <n v="6"/>
    <x v="1"/>
    <x v="7"/>
    <x v="2"/>
    <s v="Jan Klaeboe"/>
    <n v="5585"/>
    <s v="No"/>
    <x v="8"/>
  </r>
  <r>
    <n v="1291973"/>
    <n v="461"/>
    <x v="6"/>
    <d v="2023-01-07T00:00:00"/>
    <x v="83"/>
    <n v="1"/>
    <x v="1"/>
    <x v="9"/>
    <x v="0"/>
    <s v="Diego Freyre"/>
    <n v="5976"/>
    <s v="No"/>
    <x v="55"/>
  </r>
  <r>
    <n v="1292166"/>
    <n v="758"/>
    <x v="0"/>
    <d v="2023-02-17T00:00:00"/>
    <x v="72"/>
    <n v="2"/>
    <x v="0"/>
    <x v="5"/>
    <x v="0"/>
    <s v="Violeta Benitez"/>
    <n v="7030"/>
    <s v="No"/>
    <x v="13"/>
  </r>
  <r>
    <n v="1292922"/>
    <n v="27"/>
    <x v="0"/>
    <d v="2023-02-09T00:00:00"/>
    <x v="189"/>
    <n v="2"/>
    <x v="3"/>
    <x v="5"/>
    <x v="3"/>
    <s v="Victoria Ashworth"/>
    <n v="1646"/>
    <s v="No"/>
    <x v="50"/>
  </r>
  <r>
    <n v="1294009"/>
    <n v="538"/>
    <x v="1"/>
    <d v="2023-01-06T00:00:00"/>
    <x v="129"/>
    <n v="1"/>
    <x v="0"/>
    <x v="9"/>
    <x v="0"/>
    <s v="Sue King"/>
    <n v="4279"/>
    <s v="No"/>
    <x v="24"/>
  </r>
  <r>
    <n v="1297610"/>
    <n v="1732"/>
    <x v="0"/>
    <d v="2023-10-10T00:00:00"/>
    <x v="124"/>
    <n v="10"/>
    <x v="2"/>
    <x v="3"/>
    <x v="2"/>
    <s v="Valarie Nelson"/>
    <n v="2563"/>
    <s v="No"/>
    <x v="70"/>
  </r>
  <r>
    <n v="1297796"/>
    <n v="640"/>
    <x v="3"/>
    <d v="2023-02-26T00:00:00"/>
    <x v="51"/>
    <n v="2"/>
    <x v="6"/>
    <x v="5"/>
    <x v="3"/>
    <s v="Diego Freyre"/>
    <n v="9438"/>
    <s v="No"/>
    <x v="66"/>
  </r>
  <r>
    <n v="1299122"/>
    <n v="220"/>
    <x v="6"/>
    <d v="2023-01-07T00:00:00"/>
    <x v="24"/>
    <n v="1"/>
    <x v="1"/>
    <x v="9"/>
    <x v="2"/>
    <s v="Sue Frick"/>
    <n v="9458"/>
    <s v="No"/>
    <x v="37"/>
  </r>
  <r>
    <n v="1303658"/>
    <n v="67"/>
    <x v="2"/>
    <d v="2023-06-10T00:00:00"/>
    <x v="14"/>
    <n v="6"/>
    <x v="1"/>
    <x v="7"/>
    <x v="3"/>
    <s v="Adrian Huxley"/>
    <n v="897"/>
    <s v="No"/>
    <x v="66"/>
  </r>
  <r>
    <n v="1305831"/>
    <n v="1531"/>
    <x v="5"/>
    <d v="2023-09-26T00:00:00"/>
    <x v="4"/>
    <n v="9"/>
    <x v="2"/>
    <x v="10"/>
    <x v="1"/>
    <s v="Jytte Petersen"/>
    <n v="695"/>
    <s v="No"/>
    <x v="10"/>
  </r>
  <r>
    <n v="1307458"/>
    <n v="122"/>
    <x v="4"/>
    <d v="2023-01-01T00:00:00"/>
    <x v="177"/>
    <n v="1"/>
    <x v="6"/>
    <x v="9"/>
    <x v="1"/>
    <s v="Georg Pipps"/>
    <n v="943"/>
    <s v="No"/>
    <x v="10"/>
  </r>
  <r>
    <n v="1308621"/>
    <n v="1948"/>
    <x v="0"/>
    <d v="2023-10-28T00:00:00"/>
    <x v="61"/>
    <n v="10"/>
    <x v="1"/>
    <x v="3"/>
    <x v="2"/>
    <s v="Ann Brown"/>
    <n v="1684"/>
    <s v="No"/>
    <x v="33"/>
  </r>
  <r>
    <n v="1308737"/>
    <n v="344"/>
    <x v="10"/>
    <d v="2023-08-01T00:00:00"/>
    <x v="150"/>
    <n v="8"/>
    <x v="2"/>
    <x v="8"/>
    <x v="1"/>
    <s v="Wing C Tam"/>
    <n v="144"/>
    <s v="No"/>
    <x v="58"/>
  </r>
  <r>
    <n v="1309217"/>
    <n v="1458"/>
    <x v="3"/>
    <d v="2023-06-26T00:00:00"/>
    <x v="215"/>
    <n v="6"/>
    <x v="5"/>
    <x v="7"/>
    <x v="3"/>
    <s v="Matti Karttunen"/>
    <n v="5635"/>
    <s v="No"/>
    <x v="25"/>
  </r>
  <r>
    <n v="1309990"/>
    <n v="221"/>
    <x v="6"/>
    <d v="2023-06-24T00:00:00"/>
    <x v="181"/>
    <n v="6"/>
    <x v="1"/>
    <x v="7"/>
    <x v="1"/>
    <s v="Maria Larsson"/>
    <n v="667"/>
    <s v="No"/>
    <x v="71"/>
  </r>
  <r>
    <n v="1310379"/>
    <n v="390"/>
    <x v="1"/>
    <d v="2023-02-23T00:00:00"/>
    <x v="85"/>
    <n v="2"/>
    <x v="3"/>
    <x v="5"/>
    <x v="2"/>
    <s v="Annette Roulet"/>
    <n v="9158"/>
    <s v="No"/>
    <x v="20"/>
  </r>
  <r>
    <n v="1311114"/>
    <n v="130"/>
    <x v="0"/>
    <d v="2023-06-23T00:00:00"/>
    <x v="8"/>
    <n v="6"/>
    <x v="0"/>
    <x v="7"/>
    <x v="3"/>
    <s v="Thomas Hardy"/>
    <n v="1596"/>
    <s v="No"/>
    <x v="63"/>
  </r>
  <r>
    <n v="1311384"/>
    <n v="1796"/>
    <x v="13"/>
    <d v="2023-02-17T00:00:00"/>
    <x v="99"/>
    <n v="2"/>
    <x v="0"/>
    <x v="5"/>
    <x v="2"/>
    <s v="Eduardo Saavedra"/>
    <n v="5286"/>
    <s v="No"/>
    <x v="46"/>
  </r>
  <r>
    <n v="1311758"/>
    <n v="446"/>
    <x v="0"/>
    <d v="2023-10-30T00:00:00"/>
    <x v="29"/>
    <n v="10"/>
    <x v="5"/>
    <x v="3"/>
    <x v="1"/>
    <s v="Michael Chandler"/>
    <n v="7083"/>
    <s v="No"/>
    <x v="25"/>
  </r>
  <r>
    <n v="1311873"/>
    <n v="990"/>
    <x v="7"/>
    <d v="2023-03-10T00:00:00"/>
    <x v="122"/>
    <n v="3"/>
    <x v="0"/>
    <x v="4"/>
    <x v="2"/>
    <s v="Valarie Thompson"/>
    <n v="2981"/>
    <s v="No"/>
    <x v="2"/>
  </r>
  <r>
    <n v="1311950"/>
    <n v="1770"/>
    <x v="9"/>
    <d v="2023-12-30T00:00:00"/>
    <x v="100"/>
    <n v="12"/>
    <x v="1"/>
    <x v="0"/>
    <x v="2"/>
    <s v="Kwai Yu"/>
    <n v="4041"/>
    <s v="No"/>
    <x v="51"/>
  </r>
  <r>
    <n v="1312340"/>
    <n v="721"/>
    <x v="1"/>
    <d v="2023-09-28T00:00:00"/>
    <x v="68"/>
    <n v="9"/>
    <x v="3"/>
    <x v="10"/>
    <x v="3"/>
    <s v="Diego Freyre"/>
    <n v="9364"/>
    <s v="No"/>
    <x v="7"/>
  </r>
  <r>
    <n v="1312407"/>
    <n v="183"/>
    <x v="1"/>
    <d v="2023-04-04T00:00:00"/>
    <x v="95"/>
    <n v="4"/>
    <x v="2"/>
    <x v="1"/>
    <x v="3"/>
    <s v="Catherine Dewey"/>
    <n v="9002"/>
    <s v="No"/>
    <x v="50"/>
  </r>
  <r>
    <n v="1312635"/>
    <n v="55"/>
    <x v="13"/>
    <d v="2023-02-13T00:00:00"/>
    <x v="164"/>
    <n v="2"/>
    <x v="5"/>
    <x v="5"/>
    <x v="2"/>
    <s v="Elizabeth Lincoln"/>
    <n v="2981"/>
    <s v="No"/>
    <x v="24"/>
  </r>
  <r>
    <n v="1313934"/>
    <n v="1710"/>
    <x v="4"/>
    <d v="2023-11-12T00:00:00"/>
    <x v="207"/>
    <n v="11"/>
    <x v="6"/>
    <x v="2"/>
    <x v="0"/>
    <s v="Michael Donnermeyer"/>
    <n v="2981"/>
    <s v="No"/>
    <x v="58"/>
  </r>
  <r>
    <n v="1313997"/>
    <n v="1327"/>
    <x v="3"/>
    <d v="2023-02-27T00:00:00"/>
    <x v="64"/>
    <n v="2"/>
    <x v="5"/>
    <x v="5"/>
    <x v="2"/>
    <s v="Francisca Cervantes"/>
    <n v="8609"/>
    <s v="No"/>
    <x v="6"/>
  </r>
  <r>
    <n v="1314159"/>
    <n v="1357"/>
    <x v="12"/>
    <d v="2023-07-23T00:00:00"/>
    <x v="151"/>
    <n v="7"/>
    <x v="6"/>
    <x v="6"/>
    <x v="3"/>
    <s v="Helen Bennett"/>
    <n v="3684"/>
    <s v="No"/>
    <x v="64"/>
  </r>
  <r>
    <n v="1314166"/>
    <n v="1145"/>
    <x v="0"/>
    <d v="2023-03-30T00:00:00"/>
    <x v="49"/>
    <n v="3"/>
    <x v="3"/>
    <x v="4"/>
    <x v="0"/>
    <s v="Christina Berglund"/>
    <n v="9152"/>
    <s v="No"/>
    <x v="63"/>
  </r>
  <r>
    <n v="1314895"/>
    <n v="1512"/>
    <x v="13"/>
    <d v="2023-12-18T00:00:00"/>
    <x v="218"/>
    <n v="12"/>
    <x v="5"/>
    <x v="0"/>
    <x v="1"/>
    <s v="Akiko Shimamura"/>
    <n v="1560"/>
    <s v="No"/>
    <x v="9"/>
  </r>
  <r>
    <n v="1316887"/>
    <n v="1739"/>
    <x v="4"/>
    <d v="2023-04-07T00:00:00"/>
    <x v="62"/>
    <n v="4"/>
    <x v="0"/>
    <x v="1"/>
    <x v="2"/>
    <s v="Diego Freyre"/>
    <n v="951"/>
    <s v="No"/>
    <x v="60"/>
  </r>
  <r>
    <n v="1317983"/>
    <n v="997"/>
    <x v="1"/>
    <d v="2023-12-12T00:00:00"/>
    <x v="219"/>
    <n v="12"/>
    <x v="2"/>
    <x v="0"/>
    <x v="2"/>
    <s v="Pirkko Koskitalo"/>
    <n v="7185"/>
    <s v="No"/>
    <x v="30"/>
  </r>
  <r>
    <n v="1318200"/>
    <n v="1657"/>
    <x v="7"/>
    <d v="2023-12-09T00:00:00"/>
    <x v="115"/>
    <n v="12"/>
    <x v="1"/>
    <x v="0"/>
    <x v="2"/>
    <s v="Valarie Nelson"/>
    <n v="7368"/>
    <s v="No"/>
    <x v="29"/>
  </r>
  <r>
    <n v="1318274"/>
    <n v="304"/>
    <x v="1"/>
    <d v="2023-03-05T00:00:00"/>
    <x v="62"/>
    <n v="3"/>
    <x v="6"/>
    <x v="4"/>
    <x v="2"/>
    <s v="Valarie Nelson"/>
    <n v="2657"/>
    <s v="No"/>
    <x v="37"/>
  </r>
  <r>
    <n v="1318579"/>
    <n v="1120"/>
    <x v="13"/>
    <d v="2023-11-02T00:00:00"/>
    <x v="220"/>
    <n v="11"/>
    <x v="3"/>
    <x v="2"/>
    <x v="3"/>
    <s v="Sue Frick"/>
    <n v="8857"/>
    <s v="No"/>
    <x v="62"/>
  </r>
  <r>
    <n v="1319964"/>
    <n v="281"/>
    <x v="0"/>
    <d v="2023-02-02T00:00:00"/>
    <x v="164"/>
    <n v="2"/>
    <x v="3"/>
    <x v="5"/>
    <x v="2"/>
    <s v="Juri Yoshido"/>
    <n v="2954"/>
    <s v="No"/>
    <x v="21"/>
  </r>
  <r>
    <n v="1320558"/>
    <n v="1243"/>
    <x v="4"/>
    <d v="2023-07-12T00:00:00"/>
    <x v="135"/>
    <n v="7"/>
    <x v="4"/>
    <x v="6"/>
    <x v="2"/>
    <s v="Arnold Cruz"/>
    <n v="6197"/>
    <s v="No"/>
    <x v="32"/>
  </r>
  <r>
    <n v="1321272"/>
    <n v="1045"/>
    <x v="4"/>
    <d v="2023-07-27T00:00:00"/>
    <x v="81"/>
    <n v="7"/>
    <x v="3"/>
    <x v="6"/>
    <x v="3"/>
    <s v="Laurence Lebihan"/>
    <n v="4967"/>
    <s v="No"/>
    <x v="11"/>
  </r>
  <r>
    <n v="1322635"/>
    <n v="481"/>
    <x v="6"/>
    <d v="2023-02-25T00:00:00"/>
    <x v="9"/>
    <n v="2"/>
    <x v="1"/>
    <x v="5"/>
    <x v="1"/>
    <s v="Valarie Nelson"/>
    <n v="1854"/>
    <s v="No"/>
    <x v="22"/>
  </r>
  <r>
    <n v="1323847"/>
    <n v="1742"/>
    <x v="0"/>
    <d v="2023-04-21T00:00:00"/>
    <x v="109"/>
    <n v="4"/>
    <x v="0"/>
    <x v="1"/>
    <x v="1"/>
    <s v="Allen Nelson"/>
    <n v="4644"/>
    <s v="No"/>
    <x v="22"/>
  </r>
  <r>
    <n v="1325889"/>
    <n v="399"/>
    <x v="1"/>
    <d v="2023-07-03T00:00:00"/>
    <x v="51"/>
    <n v="7"/>
    <x v="5"/>
    <x v="6"/>
    <x v="1"/>
    <s v="Michael Chandler"/>
    <n v="4141"/>
    <s v="No"/>
    <x v="69"/>
  </r>
  <r>
    <n v="1326076"/>
    <n v="1939"/>
    <x v="0"/>
    <d v="2023-03-23T00:00:00"/>
    <x v="73"/>
    <n v="3"/>
    <x v="3"/>
    <x v="4"/>
    <x v="3"/>
    <s v="Roland Mendel"/>
    <n v="9937"/>
    <s v="No"/>
    <x v="60"/>
  </r>
  <r>
    <n v="1329378"/>
    <n v="985"/>
    <x v="0"/>
    <d v="2023-02-10T00:00:00"/>
    <x v="62"/>
    <n v="2"/>
    <x v="0"/>
    <x v="5"/>
    <x v="2"/>
    <s v="Veysel Oeztan"/>
    <n v="5704"/>
    <s v="No"/>
    <x v="45"/>
  </r>
  <r>
    <n v="1330979"/>
    <n v="546"/>
    <x v="0"/>
    <d v="2023-01-03T00:00:00"/>
    <x v="62"/>
    <n v="1"/>
    <x v="2"/>
    <x v="9"/>
    <x v="3"/>
    <s v="Valarie Young"/>
    <n v="4461"/>
    <s v="No"/>
    <x v="56"/>
  </r>
  <r>
    <n v="1331311"/>
    <n v="106"/>
    <x v="6"/>
    <d v="2023-01-07T00:00:00"/>
    <x v="88"/>
    <n v="1"/>
    <x v="1"/>
    <x v="9"/>
    <x v="1"/>
    <s v="Diego Freyre"/>
    <n v="1909"/>
    <s v="No"/>
    <x v="28"/>
  </r>
  <r>
    <n v="1332449"/>
    <n v="1433"/>
    <x v="6"/>
    <d v="2023-12-09T00:00:00"/>
    <x v="162"/>
    <n v="12"/>
    <x v="1"/>
    <x v="0"/>
    <x v="3"/>
    <s v="Diego Freyre"/>
    <n v="4463"/>
    <s v="No"/>
    <x v="9"/>
  </r>
  <r>
    <n v="1334431"/>
    <n v="522"/>
    <x v="0"/>
    <d v="2023-09-26T00:00:00"/>
    <x v="215"/>
    <n v="9"/>
    <x v="2"/>
    <x v="10"/>
    <x v="1"/>
    <s v="Michael Holz"/>
    <n v="6918"/>
    <s v="No"/>
    <x v="55"/>
  </r>
  <r>
    <n v="1335084"/>
    <n v="1170"/>
    <x v="7"/>
    <d v="2023-07-21T00:00:00"/>
    <x v="201"/>
    <n v="7"/>
    <x v="0"/>
    <x v="6"/>
    <x v="1"/>
    <s v="Pirkko Koskitalo"/>
    <n v="5783"/>
    <s v="No"/>
    <x v="48"/>
  </r>
  <r>
    <n v="1335543"/>
    <n v="1191"/>
    <x v="6"/>
    <d v="2023-02-02T00:00:00"/>
    <x v="73"/>
    <n v="2"/>
    <x v="3"/>
    <x v="5"/>
    <x v="2"/>
    <s v="Elizabeth Devon"/>
    <n v="2295"/>
    <s v="No"/>
    <x v="68"/>
  </r>
  <r>
    <n v="1335910"/>
    <n v="902"/>
    <x v="0"/>
    <d v="2023-12-18T00:00:00"/>
    <x v="191"/>
    <n v="12"/>
    <x v="5"/>
    <x v="0"/>
    <x v="0"/>
    <s v="Maurizio Moroni"/>
    <n v="355"/>
    <s v="No"/>
    <x v="43"/>
  </r>
  <r>
    <n v="1335994"/>
    <n v="1510"/>
    <x v="8"/>
    <d v="2023-12-16T00:00:00"/>
    <x v="151"/>
    <n v="12"/>
    <x v="1"/>
    <x v="0"/>
    <x v="1"/>
    <s v="Sue King"/>
    <n v="7950"/>
    <s v="No"/>
    <x v="12"/>
  </r>
  <r>
    <n v="1336012"/>
    <n v="856"/>
    <x v="0"/>
    <d v="2023-04-12T00:00:00"/>
    <x v="101"/>
    <n v="4"/>
    <x v="4"/>
    <x v="1"/>
    <x v="1"/>
    <s v="Michael Holz"/>
    <n v="7915"/>
    <s v="No"/>
    <x v="0"/>
  </r>
  <r>
    <n v="1336024"/>
    <n v="1011"/>
    <x v="3"/>
    <d v="2023-08-24T00:00:00"/>
    <x v="139"/>
    <n v="8"/>
    <x v="3"/>
    <x v="8"/>
    <x v="0"/>
    <s v="Jan Klaeboe"/>
    <n v="8888"/>
    <s v="No"/>
    <x v="1"/>
  </r>
  <r>
    <n v="1336827"/>
    <n v="1247"/>
    <x v="0"/>
    <d v="2023-04-17T00:00:00"/>
    <x v="155"/>
    <n v="4"/>
    <x v="5"/>
    <x v="1"/>
    <x v="3"/>
    <s v="Henriette Pfalzheim"/>
    <n v="8526"/>
    <s v="No"/>
    <x v="32"/>
  </r>
  <r>
    <n v="1337570"/>
    <n v="143"/>
    <x v="0"/>
    <d v="2023-02-06T00:00:00"/>
    <x v="176"/>
    <n v="2"/>
    <x v="5"/>
    <x v="5"/>
    <x v="1"/>
    <s v="Violeta Benitez"/>
    <n v="518"/>
    <s v="No"/>
    <x v="7"/>
  </r>
  <r>
    <n v="1337603"/>
    <n v="1915"/>
    <x v="0"/>
    <d v="2023-02-11T00:00:00"/>
    <x v="123"/>
    <n v="2"/>
    <x v="1"/>
    <x v="5"/>
    <x v="3"/>
    <s v="Rosa Hernandez"/>
    <n v="5719"/>
    <s v="No"/>
    <x v="8"/>
  </r>
  <r>
    <n v="1338945"/>
    <n v="627"/>
    <x v="10"/>
    <d v="2023-02-24T00:00:00"/>
    <x v="123"/>
    <n v="2"/>
    <x v="0"/>
    <x v="5"/>
    <x v="1"/>
    <s v="Peter Ferguson"/>
    <n v="4854"/>
    <s v="No"/>
    <x v="14"/>
  </r>
  <r>
    <n v="1339556"/>
    <n v="1216"/>
    <x v="6"/>
    <d v="2023-09-23T00:00:00"/>
    <x v="8"/>
    <n v="9"/>
    <x v="1"/>
    <x v="10"/>
    <x v="2"/>
    <s v="Diego Freyre"/>
    <n v="1757"/>
    <s v="No"/>
    <x v="42"/>
  </r>
  <r>
    <n v="1340302"/>
    <n v="1142"/>
    <x v="0"/>
    <d v="2023-12-03T00:00:00"/>
    <x v="210"/>
    <n v="12"/>
    <x v="6"/>
    <x v="0"/>
    <x v="1"/>
    <s v="Kalle Suominen"/>
    <n v="9786"/>
    <s v="No"/>
    <x v="0"/>
  </r>
  <r>
    <n v="1343250"/>
    <n v="681"/>
    <x v="0"/>
    <d v="2023-11-04T00:00:00"/>
    <x v="114"/>
    <n v="11"/>
    <x v="1"/>
    <x v="2"/>
    <x v="3"/>
    <s v="Diego Freyre"/>
    <n v="6365"/>
    <s v="No"/>
    <x v="14"/>
  </r>
  <r>
    <n v="1343766"/>
    <n v="1191"/>
    <x v="6"/>
    <d v="2023-04-21T00:00:00"/>
    <x v="63"/>
    <n v="4"/>
    <x v="0"/>
    <x v="1"/>
    <x v="3"/>
    <s v="Valarie Nelson"/>
    <n v="7282"/>
    <s v="No"/>
    <x v="68"/>
  </r>
  <r>
    <n v="1343925"/>
    <n v="1400"/>
    <x v="0"/>
    <d v="2023-03-31T00:00:00"/>
    <x v="0"/>
    <n v="3"/>
    <x v="0"/>
    <x v="4"/>
    <x v="2"/>
    <s v="Frederique Citeaux"/>
    <n v="9178"/>
    <s v="No"/>
    <x v="6"/>
  </r>
  <r>
    <n v="1343941"/>
    <n v="135"/>
    <x v="4"/>
    <d v="2023-08-09T00:00:00"/>
    <x v="70"/>
    <n v="8"/>
    <x v="4"/>
    <x v="8"/>
    <x v="0"/>
    <s v="Georg Pipps"/>
    <n v="6934"/>
    <s v="No"/>
    <x v="18"/>
  </r>
  <r>
    <n v="1345016"/>
    <n v="1994"/>
    <x v="5"/>
    <d v="2023-02-15T00:00:00"/>
    <x v="78"/>
    <n v="2"/>
    <x v="4"/>
    <x v="5"/>
    <x v="2"/>
    <s v="Giovanni Rovelli"/>
    <n v="9058"/>
    <s v="No"/>
    <x v="64"/>
  </r>
  <r>
    <n v="1346080"/>
    <n v="254"/>
    <x v="3"/>
    <d v="2023-09-24T00:00:00"/>
    <x v="99"/>
    <n v="9"/>
    <x v="6"/>
    <x v="10"/>
    <x v="0"/>
    <s v="Georg Pipps"/>
    <n v="9148"/>
    <s v="No"/>
    <x v="51"/>
  </r>
  <r>
    <n v="1347158"/>
    <n v="621"/>
    <x v="0"/>
    <d v="2023-08-23T00:00:00"/>
    <x v="141"/>
    <n v="8"/>
    <x v="4"/>
    <x v="8"/>
    <x v="2"/>
    <s v="Dan Lewis"/>
    <n v="468"/>
    <s v="No"/>
    <x v="63"/>
  </r>
  <r>
    <n v="1347250"/>
    <n v="1624"/>
    <x v="0"/>
    <d v="2023-06-12T00:00:00"/>
    <x v="0"/>
    <n v="6"/>
    <x v="5"/>
    <x v="7"/>
    <x v="3"/>
    <s v="Wing C Tam"/>
    <n v="3030"/>
    <s v="No"/>
    <x v="24"/>
  </r>
  <r>
    <n v="1347720"/>
    <n v="82"/>
    <x v="4"/>
    <d v="2023-12-14T00:00:00"/>
    <x v="1"/>
    <n v="12"/>
    <x v="3"/>
    <x v="0"/>
    <x v="0"/>
    <s v="Matti Karttunen"/>
    <n v="6776"/>
    <s v="No"/>
    <x v="9"/>
  </r>
  <r>
    <n v="1347929"/>
    <n v="105"/>
    <x v="0"/>
    <d v="2023-02-16T00:00:00"/>
    <x v="2"/>
    <n v="2"/>
    <x v="3"/>
    <x v="5"/>
    <x v="2"/>
    <s v="Juri Hirano"/>
    <n v="5624"/>
    <s v="No"/>
    <x v="16"/>
  </r>
  <r>
    <n v="1348880"/>
    <n v="735"/>
    <x v="1"/>
    <d v="2023-01-25T00:00:00"/>
    <x v="3"/>
    <n v="1"/>
    <x v="4"/>
    <x v="9"/>
    <x v="1"/>
    <s v="Annette Roulet"/>
    <n v="9491"/>
    <s v="No"/>
    <x v="53"/>
  </r>
  <r>
    <n v="1350108"/>
    <n v="453"/>
    <x v="3"/>
    <d v="2023-04-11T00:00:00"/>
    <x v="4"/>
    <n v="4"/>
    <x v="2"/>
    <x v="1"/>
    <x v="2"/>
    <s v="Arnold Cruz"/>
    <n v="4256"/>
    <s v="No"/>
    <x v="44"/>
  </r>
  <r>
    <n v="1350840"/>
    <n v="1282"/>
    <x v="3"/>
    <d v="2023-07-01T00:00:00"/>
    <x v="5"/>
    <n v="7"/>
    <x v="1"/>
    <x v="6"/>
    <x v="2"/>
    <s v="Mory Kentary"/>
    <n v="6519"/>
    <s v="No"/>
    <x v="31"/>
  </r>
  <r>
    <n v="1352087"/>
    <n v="1051"/>
    <x v="4"/>
    <d v="2023-06-18T00:00:00"/>
    <x v="6"/>
    <n v="6"/>
    <x v="6"/>
    <x v="7"/>
    <x v="3"/>
    <s v="Valarie Thompson"/>
    <n v="4016"/>
    <s v="No"/>
    <x v="40"/>
  </r>
  <r>
    <n v="1352182"/>
    <n v="1238"/>
    <x v="0"/>
    <d v="2023-05-08T00:00:00"/>
    <x v="7"/>
    <n v="5"/>
    <x v="5"/>
    <x v="11"/>
    <x v="2"/>
    <s v="Elizabeth Lincoln"/>
    <n v="2508"/>
    <s v="No"/>
    <x v="48"/>
  </r>
  <r>
    <n v="1353569"/>
    <n v="276"/>
    <x v="1"/>
    <d v="2023-07-28T00:00:00"/>
    <x v="8"/>
    <n v="7"/>
    <x v="0"/>
    <x v="6"/>
    <x v="1"/>
    <s v="Sue Frick"/>
    <n v="7760"/>
    <s v="No"/>
    <x v="0"/>
  </r>
  <r>
    <n v="1354438"/>
    <n v="1076"/>
    <x v="1"/>
    <d v="2023-02-03T00:00:00"/>
    <x v="9"/>
    <n v="2"/>
    <x v="0"/>
    <x v="5"/>
    <x v="3"/>
    <s v="Diego Freyre"/>
    <n v="4766"/>
    <s v="No"/>
    <x v="65"/>
  </r>
  <r>
    <n v="1354758"/>
    <n v="892"/>
    <x v="0"/>
    <d v="2023-11-08T00:00:00"/>
    <x v="10"/>
    <n v="11"/>
    <x v="4"/>
    <x v="2"/>
    <x v="2"/>
    <s v="Janine Labrune"/>
    <n v="4217"/>
    <s v="No"/>
    <x v="6"/>
  </r>
  <r>
    <n v="1355256"/>
    <n v="332"/>
    <x v="1"/>
    <d v="2023-02-20T00:00:00"/>
    <x v="11"/>
    <n v="2"/>
    <x v="5"/>
    <x v="5"/>
    <x v="1"/>
    <s v="Jan Klaeboe"/>
    <n v="2173"/>
    <s v="No"/>
    <x v="61"/>
  </r>
  <r>
    <n v="1355679"/>
    <n v="1315"/>
    <x v="0"/>
    <d v="2023-10-03T00:00:00"/>
    <x v="12"/>
    <n v="10"/>
    <x v="2"/>
    <x v="3"/>
    <x v="1"/>
    <s v="Michael Donnermeyer"/>
    <n v="8855"/>
    <s v="No"/>
    <x v="15"/>
  </r>
  <r>
    <n v="1356717"/>
    <n v="59"/>
    <x v="6"/>
    <d v="2023-03-11T00:00:00"/>
    <x v="13"/>
    <n v="3"/>
    <x v="1"/>
    <x v="4"/>
    <x v="3"/>
    <s v="Steve Frick"/>
    <n v="4472"/>
    <s v="No"/>
    <x v="41"/>
  </r>
  <r>
    <n v="1357382"/>
    <n v="463"/>
    <x v="7"/>
    <d v="2023-12-14T00:00:00"/>
    <x v="14"/>
    <n v="12"/>
    <x v="3"/>
    <x v="0"/>
    <x v="2"/>
    <s v="Helen Bennett"/>
    <n v="2708"/>
    <s v="No"/>
    <x v="39"/>
  </r>
  <r>
    <n v="1358333"/>
    <n v="1755"/>
    <x v="4"/>
    <d v="2023-03-16T00:00:00"/>
    <x v="15"/>
    <n v="3"/>
    <x v="3"/>
    <x v="4"/>
    <x v="3"/>
    <s v="Giovanni Rovelli"/>
    <n v="1585"/>
    <s v="No"/>
    <x v="50"/>
  </r>
  <r>
    <n v="1358621"/>
    <n v="909"/>
    <x v="1"/>
    <d v="2023-11-23T00:00:00"/>
    <x v="5"/>
    <n v="11"/>
    <x v="3"/>
    <x v="2"/>
    <x v="3"/>
    <s v="Akiko Shimamura"/>
    <n v="7200"/>
    <s v="No"/>
    <x v="37"/>
  </r>
  <r>
    <n v="1358679"/>
    <n v="144"/>
    <x v="13"/>
    <d v="2023-03-26T00:00:00"/>
    <x v="16"/>
    <n v="3"/>
    <x v="6"/>
    <x v="4"/>
    <x v="2"/>
    <s v="Ann Brown"/>
    <n v="3276"/>
    <s v="No"/>
    <x v="18"/>
  </r>
  <r>
    <n v="1359265"/>
    <n v="1458"/>
    <x v="3"/>
    <d v="2023-08-02T00:00:00"/>
    <x v="17"/>
    <n v="8"/>
    <x v="4"/>
    <x v="8"/>
    <x v="3"/>
    <s v="Adrian Huxley"/>
    <n v="7400"/>
    <s v="No"/>
    <x v="25"/>
  </r>
  <r>
    <n v="1359304"/>
    <n v="1033"/>
    <x v="1"/>
    <d v="2023-07-16T00:00:00"/>
    <x v="18"/>
    <n v="7"/>
    <x v="6"/>
    <x v="6"/>
    <x v="3"/>
    <s v="Pirkko Koskitalo"/>
    <n v="941"/>
    <s v="No"/>
    <x v="72"/>
  </r>
  <r>
    <n v="1359599"/>
    <n v="883"/>
    <x v="0"/>
    <d v="2023-09-19T00:00:00"/>
    <x v="19"/>
    <n v="9"/>
    <x v="2"/>
    <x v="10"/>
    <x v="0"/>
    <s v="Diego Freyre"/>
    <n v="2508"/>
    <s v="No"/>
    <x v="49"/>
  </r>
  <r>
    <n v="1360263"/>
    <n v="1782"/>
    <x v="4"/>
    <d v="2023-07-24T00:00:00"/>
    <x v="20"/>
    <n v="7"/>
    <x v="5"/>
    <x v="6"/>
    <x v="1"/>
    <s v="Paul Henriot"/>
    <n v="7986"/>
    <s v="No"/>
    <x v="63"/>
  </r>
  <r>
    <n v="1360843"/>
    <n v="760"/>
    <x v="1"/>
    <d v="2023-06-02T00:00:00"/>
    <x v="21"/>
    <n v="6"/>
    <x v="0"/>
    <x v="7"/>
    <x v="2"/>
    <s v="William Brown"/>
    <n v="2752"/>
    <s v="No"/>
    <x v="13"/>
  </r>
  <r>
    <n v="1361770"/>
    <n v="1061"/>
    <x v="10"/>
    <d v="2023-04-26T00:00:00"/>
    <x v="22"/>
    <n v="4"/>
    <x v="4"/>
    <x v="1"/>
    <x v="3"/>
    <s v="Maurizio Moroni"/>
    <n v="8962"/>
    <s v="No"/>
    <x v="57"/>
  </r>
  <r>
    <n v="1361969"/>
    <n v="1350"/>
    <x v="4"/>
    <d v="2023-05-05T00:00:00"/>
    <x v="23"/>
    <n v="5"/>
    <x v="0"/>
    <x v="11"/>
    <x v="1"/>
    <s v="Valarie Young"/>
    <n v="3695"/>
    <s v="No"/>
    <x v="66"/>
  </r>
  <r>
    <n v="1362369"/>
    <n v="230"/>
    <x v="0"/>
    <d v="2023-01-05T00:00:00"/>
    <x v="16"/>
    <n v="1"/>
    <x v="3"/>
    <x v="9"/>
    <x v="0"/>
    <s v="Victoria Ashworth"/>
    <n v="9795"/>
    <s v="No"/>
    <x v="33"/>
  </r>
  <r>
    <n v="1362785"/>
    <n v="61"/>
    <x v="4"/>
    <d v="2023-12-24T00:00:00"/>
    <x v="24"/>
    <n v="12"/>
    <x v="6"/>
    <x v="0"/>
    <x v="0"/>
    <s v="Sue King"/>
    <n v="3114"/>
    <s v="No"/>
    <x v="59"/>
  </r>
  <r>
    <n v="1365205"/>
    <n v="298"/>
    <x v="4"/>
    <d v="2023-01-23T00:00:00"/>
    <x v="25"/>
    <n v="1"/>
    <x v="5"/>
    <x v="9"/>
    <x v="2"/>
    <s v="Sue Taylor"/>
    <n v="7140"/>
    <s v="No"/>
    <x v="6"/>
  </r>
  <r>
    <n v="1365442"/>
    <n v="1707"/>
    <x v="3"/>
    <d v="2023-03-14T00:00:00"/>
    <x v="20"/>
    <n v="3"/>
    <x v="2"/>
    <x v="4"/>
    <x v="0"/>
    <s v="Julie Brown"/>
    <n v="8105"/>
    <s v="No"/>
    <x v="67"/>
  </r>
  <r>
    <n v="1365869"/>
    <n v="1763"/>
    <x v="0"/>
    <d v="2023-10-18T00:00:00"/>
    <x v="26"/>
    <n v="10"/>
    <x v="4"/>
    <x v="3"/>
    <x v="3"/>
    <s v="Giovanni Rovelli"/>
    <n v="8523"/>
    <s v="No"/>
    <x v="58"/>
  </r>
  <r>
    <n v="1366020"/>
    <n v="659"/>
    <x v="6"/>
    <d v="2023-08-10T00:00:00"/>
    <x v="27"/>
    <n v="8"/>
    <x v="3"/>
    <x v="8"/>
    <x v="3"/>
    <s v="Valarie Nelson"/>
    <n v="9989"/>
    <s v="No"/>
    <x v="57"/>
  </r>
  <r>
    <n v="1366848"/>
    <n v="1433"/>
    <x v="6"/>
    <d v="2023-06-13T00:00:00"/>
    <x v="28"/>
    <n v="6"/>
    <x v="2"/>
    <x v="7"/>
    <x v="1"/>
    <s v="Sean Connery"/>
    <n v="2562"/>
    <s v="No"/>
    <x v="9"/>
  </r>
  <r>
    <n v="1366911"/>
    <n v="1017"/>
    <x v="1"/>
    <d v="2023-08-30T00:00:00"/>
    <x v="1"/>
    <n v="8"/>
    <x v="4"/>
    <x v="8"/>
    <x v="0"/>
    <s v="Jeff Young"/>
    <n v="1302"/>
    <s v="No"/>
    <x v="4"/>
  </r>
  <r>
    <n v="1366955"/>
    <n v="1529"/>
    <x v="10"/>
    <d v="2023-03-20T00:00:00"/>
    <x v="29"/>
    <n v="3"/>
    <x v="5"/>
    <x v="4"/>
    <x v="2"/>
    <s v="Mart¡n Sommer"/>
    <n v="5336"/>
    <s v="No"/>
    <x v="18"/>
  </r>
  <r>
    <n v="1368464"/>
    <n v="414"/>
    <x v="1"/>
    <d v="2023-11-22T00:00:00"/>
    <x v="30"/>
    <n v="11"/>
    <x v="4"/>
    <x v="2"/>
    <x v="0"/>
    <s v="Mary Saveley"/>
    <n v="7424"/>
    <s v="No"/>
    <x v="46"/>
  </r>
  <r>
    <n v="1369791"/>
    <n v="588"/>
    <x v="2"/>
    <d v="2023-02-07T00:00:00"/>
    <x v="31"/>
    <n v="2"/>
    <x v="2"/>
    <x v="5"/>
    <x v="3"/>
    <s v="Kee Kuo"/>
    <n v="6758"/>
    <s v="No"/>
    <x v="53"/>
  </r>
  <r>
    <n v="1370327"/>
    <n v="374"/>
    <x v="13"/>
    <d v="2023-12-18T00:00:00"/>
    <x v="32"/>
    <n v="12"/>
    <x v="5"/>
    <x v="0"/>
    <x v="2"/>
    <s v="Paolo Accorti"/>
    <n v="9133"/>
    <s v="No"/>
    <x v="37"/>
  </r>
  <r>
    <n v="1370775"/>
    <n v="462"/>
    <x v="0"/>
    <d v="2023-04-23T00:00:00"/>
    <x v="33"/>
    <n v="4"/>
    <x v="6"/>
    <x v="1"/>
    <x v="2"/>
    <s v="Wendy Victorino"/>
    <n v="1949"/>
    <s v="No"/>
    <x v="16"/>
  </r>
  <r>
    <n v="1371197"/>
    <n v="1891"/>
    <x v="5"/>
    <d v="2023-03-28T00:00:00"/>
    <x v="19"/>
    <n v="3"/>
    <x v="2"/>
    <x v="4"/>
    <x v="3"/>
    <s v="Jose Pedro Roel"/>
    <n v="5430"/>
    <s v="No"/>
    <x v="26"/>
  </r>
  <r>
    <n v="1371439"/>
    <n v="633"/>
    <x v="3"/>
    <d v="2023-10-18T00:00:00"/>
    <x v="34"/>
    <n v="10"/>
    <x v="4"/>
    <x v="3"/>
    <x v="0"/>
    <s v="Valarie Nelson"/>
    <n v="4266"/>
    <s v="No"/>
    <x v="51"/>
  </r>
  <r>
    <n v="1371917"/>
    <n v="1407"/>
    <x v="0"/>
    <d v="2023-07-25T00:00:00"/>
    <x v="35"/>
    <n v="7"/>
    <x v="2"/>
    <x v="6"/>
    <x v="3"/>
    <s v="Victoria Ashworth"/>
    <n v="7060"/>
    <s v="No"/>
    <x v="2"/>
  </r>
  <r>
    <n v="1373309"/>
    <n v="718"/>
    <x v="8"/>
    <d v="2023-06-24T00:00:00"/>
    <x v="36"/>
    <n v="6"/>
    <x v="1"/>
    <x v="7"/>
    <x v="0"/>
    <s v="Sue King"/>
    <n v="2634"/>
    <s v="No"/>
    <x v="55"/>
  </r>
  <r>
    <n v="1373323"/>
    <n v="1893"/>
    <x v="6"/>
    <d v="2023-02-14T00:00:00"/>
    <x v="37"/>
    <n v="2"/>
    <x v="2"/>
    <x v="5"/>
    <x v="3"/>
    <s v="Valarie Nelson"/>
    <n v="8546"/>
    <s v="No"/>
    <x v="59"/>
  </r>
  <r>
    <n v="1373414"/>
    <n v="613"/>
    <x v="1"/>
    <d v="2023-02-13T00:00:00"/>
    <x v="9"/>
    <n v="2"/>
    <x v="5"/>
    <x v="5"/>
    <x v="1"/>
    <s v="Diego Freyre"/>
    <n v="5539"/>
    <s v="No"/>
    <x v="66"/>
  </r>
  <r>
    <n v="1374086"/>
    <n v="206"/>
    <x v="0"/>
    <d v="2023-09-10T00:00:00"/>
    <x v="38"/>
    <n v="9"/>
    <x v="6"/>
    <x v="10"/>
    <x v="0"/>
    <s v="Akiko Shimamura"/>
    <n v="622"/>
    <s v="No"/>
    <x v="72"/>
  </r>
  <r>
    <n v="1376137"/>
    <n v="1472"/>
    <x v="0"/>
    <d v="2023-11-05T00:00:00"/>
    <x v="39"/>
    <n v="11"/>
    <x v="6"/>
    <x v="2"/>
    <x v="1"/>
    <s v="Adrian Huxley"/>
    <n v="7325"/>
    <s v="No"/>
    <x v="69"/>
  </r>
  <r>
    <n v="1376176"/>
    <n v="1887"/>
    <x v="4"/>
    <d v="2023-02-17T00:00:00"/>
    <x v="9"/>
    <n v="2"/>
    <x v="0"/>
    <x v="5"/>
    <x v="2"/>
    <s v="Diego Freyre"/>
    <n v="9141"/>
    <s v="No"/>
    <x v="20"/>
  </r>
  <r>
    <n v="1376269"/>
    <n v="1006"/>
    <x v="6"/>
    <d v="2023-09-11T00:00:00"/>
    <x v="3"/>
    <n v="9"/>
    <x v="5"/>
    <x v="10"/>
    <x v="2"/>
    <s v="Maria Hernandez"/>
    <n v="1068"/>
    <s v="No"/>
    <x v="65"/>
  </r>
  <r>
    <n v="1376427"/>
    <n v="1430"/>
    <x v="0"/>
    <d v="2023-09-07T00:00:00"/>
    <x v="40"/>
    <n v="9"/>
    <x v="3"/>
    <x v="10"/>
    <x v="0"/>
    <s v="Jeff Young"/>
    <n v="9138"/>
    <s v="No"/>
    <x v="43"/>
  </r>
  <r>
    <n v="1376435"/>
    <n v="145"/>
    <x v="2"/>
    <d v="2023-03-06T00:00:00"/>
    <x v="1"/>
    <n v="3"/>
    <x v="5"/>
    <x v="4"/>
    <x v="3"/>
    <s v="Kalle Suominen"/>
    <n v="8109"/>
    <s v="No"/>
    <x v="65"/>
  </r>
  <r>
    <n v="1379500"/>
    <n v="1128"/>
    <x v="3"/>
    <d v="2023-07-25T00:00:00"/>
    <x v="41"/>
    <n v="7"/>
    <x v="2"/>
    <x v="6"/>
    <x v="1"/>
    <s v="Tony Calaghan"/>
    <n v="4248"/>
    <s v="No"/>
    <x v="65"/>
  </r>
  <r>
    <n v="1380014"/>
    <n v="914"/>
    <x v="0"/>
    <d v="2023-12-14T00:00:00"/>
    <x v="42"/>
    <n v="12"/>
    <x v="3"/>
    <x v="0"/>
    <x v="0"/>
    <s v="Eric Natividad"/>
    <n v="5389"/>
    <s v="No"/>
    <x v="16"/>
  </r>
  <r>
    <n v="1383231"/>
    <n v="900"/>
    <x v="0"/>
    <d v="2023-07-27T00:00:00"/>
    <x v="43"/>
    <n v="7"/>
    <x v="3"/>
    <x v="6"/>
    <x v="1"/>
    <s v="Maurizio Moroni"/>
    <n v="2730"/>
    <s v="No"/>
    <x v="26"/>
  </r>
  <r>
    <n v="1383522"/>
    <n v="1792"/>
    <x v="13"/>
    <d v="2023-04-04T00:00:00"/>
    <x v="44"/>
    <n v="4"/>
    <x v="2"/>
    <x v="1"/>
    <x v="1"/>
    <s v="Jose Pedro Roel"/>
    <n v="9147"/>
    <s v="No"/>
    <x v="0"/>
  </r>
  <r>
    <n v="1383688"/>
    <n v="271"/>
    <x v="0"/>
    <d v="2023-02-14T00:00:00"/>
    <x v="45"/>
    <n v="2"/>
    <x v="2"/>
    <x v="5"/>
    <x v="0"/>
    <s v="Steve Frick"/>
    <n v="240"/>
    <s v="No"/>
    <x v="17"/>
  </r>
  <r>
    <n v="1384019"/>
    <n v="1408"/>
    <x v="0"/>
    <d v="2023-11-21T00:00:00"/>
    <x v="46"/>
    <n v="11"/>
    <x v="2"/>
    <x v="2"/>
    <x v="1"/>
    <s v="Valarie Franco"/>
    <n v="4853"/>
    <s v="No"/>
    <x v="17"/>
  </r>
  <r>
    <n v="1385078"/>
    <n v="146"/>
    <x v="8"/>
    <d v="2023-07-19T00:00:00"/>
    <x v="47"/>
    <n v="7"/>
    <x v="4"/>
    <x v="6"/>
    <x v="3"/>
    <s v="Dean Cassidy"/>
    <n v="1972"/>
    <s v="No"/>
    <x v="67"/>
  </r>
  <r>
    <n v="1385605"/>
    <n v="1850"/>
    <x v="7"/>
    <d v="2023-05-16T00:00:00"/>
    <x v="48"/>
    <n v="5"/>
    <x v="2"/>
    <x v="11"/>
    <x v="2"/>
    <s v="Roland Keitel"/>
    <n v="6075"/>
    <s v="No"/>
    <x v="52"/>
  </r>
  <r>
    <n v="1385745"/>
    <n v="1686"/>
    <x v="3"/>
    <d v="2023-02-01T00:00:00"/>
    <x v="49"/>
    <n v="2"/>
    <x v="4"/>
    <x v="5"/>
    <x v="0"/>
    <s v="Diego Freyre"/>
    <n v="5128"/>
    <s v="No"/>
    <x v="62"/>
  </r>
  <r>
    <n v="1386514"/>
    <n v="1892"/>
    <x v="0"/>
    <d v="2023-05-24T00:00:00"/>
    <x v="50"/>
    <n v="5"/>
    <x v="4"/>
    <x v="11"/>
    <x v="2"/>
    <s v="Valarie Nelson"/>
    <n v="2382"/>
    <s v="No"/>
    <x v="71"/>
  </r>
  <r>
    <n v="1386601"/>
    <n v="1276"/>
    <x v="3"/>
    <d v="2023-04-10T00:00:00"/>
    <x v="51"/>
    <n v="4"/>
    <x v="5"/>
    <x v="1"/>
    <x v="3"/>
    <s v="Valarie Nelson"/>
    <n v="4677"/>
    <s v="No"/>
    <x v="51"/>
  </r>
  <r>
    <n v="1387867"/>
    <n v="322"/>
    <x v="1"/>
    <d v="2023-05-22T00:00:00"/>
    <x v="52"/>
    <n v="5"/>
    <x v="5"/>
    <x v="11"/>
    <x v="2"/>
    <s v="Kwai Yu"/>
    <n v="7080"/>
    <s v="No"/>
    <x v="13"/>
  </r>
  <r>
    <n v="1389485"/>
    <n v="607"/>
    <x v="5"/>
    <d v="2023-11-06T00:00:00"/>
    <x v="53"/>
    <n v="11"/>
    <x v="5"/>
    <x v="2"/>
    <x v="2"/>
    <s v="Marta Hernandez"/>
    <n v="8449"/>
    <s v="No"/>
    <x v="10"/>
  </r>
  <r>
    <n v="1389680"/>
    <n v="888"/>
    <x v="13"/>
    <d v="2023-01-10T00:00:00"/>
    <x v="54"/>
    <n v="1"/>
    <x v="2"/>
    <x v="9"/>
    <x v="1"/>
    <s v="Palle Ibsen"/>
    <n v="9670"/>
    <s v="No"/>
    <x v="37"/>
  </r>
  <r>
    <n v="1391439"/>
    <n v="811"/>
    <x v="1"/>
    <d v="2023-11-16T00:00:00"/>
    <x v="55"/>
    <n v="11"/>
    <x v="3"/>
    <x v="2"/>
    <x v="2"/>
    <s v="Jonas Bergulfsen"/>
    <n v="6152"/>
    <s v="No"/>
    <x v="24"/>
  </r>
  <r>
    <n v="1391623"/>
    <n v="606"/>
    <x v="0"/>
    <d v="2023-07-10T00:00:00"/>
    <x v="56"/>
    <n v="7"/>
    <x v="5"/>
    <x v="6"/>
    <x v="2"/>
    <s v="Marie Bertrand"/>
    <n v="6445"/>
    <s v="No"/>
    <x v="65"/>
  </r>
  <r>
    <n v="1392838"/>
    <n v="1138"/>
    <x v="6"/>
    <d v="2023-07-30T00:00:00"/>
    <x v="57"/>
    <n v="7"/>
    <x v="6"/>
    <x v="6"/>
    <x v="0"/>
    <s v="Jeff Young"/>
    <n v="1617"/>
    <s v="No"/>
    <x v="69"/>
  </r>
  <r>
    <n v="1393397"/>
    <n v="73"/>
    <x v="7"/>
    <d v="2023-04-05T00:00:00"/>
    <x v="58"/>
    <n v="4"/>
    <x v="4"/>
    <x v="1"/>
    <x v="0"/>
    <s v="Paul Henriot"/>
    <n v="7174"/>
    <s v="No"/>
    <x v="6"/>
  </r>
  <r>
    <n v="1393864"/>
    <n v="1794"/>
    <x v="6"/>
    <d v="2023-07-07T00:00:00"/>
    <x v="59"/>
    <n v="7"/>
    <x v="0"/>
    <x v="6"/>
    <x v="3"/>
    <s v="Valarie Nelson"/>
    <n v="3135"/>
    <s v="No"/>
    <x v="10"/>
  </r>
  <r>
    <n v="1395655"/>
    <n v="345"/>
    <x v="1"/>
    <d v="2023-08-12T00:00:00"/>
    <x v="60"/>
    <n v="8"/>
    <x v="1"/>
    <x v="8"/>
    <x v="2"/>
    <s v="Diego Freyre"/>
    <n v="8180"/>
    <s v="No"/>
    <x v="34"/>
  </r>
  <r>
    <n v="1395839"/>
    <n v="163"/>
    <x v="0"/>
    <d v="2023-05-24T00:00:00"/>
    <x v="61"/>
    <n v="5"/>
    <x v="4"/>
    <x v="11"/>
    <x v="2"/>
    <s v="Diego Freyre"/>
    <n v="2045"/>
    <s v="No"/>
    <x v="49"/>
  </r>
  <r>
    <n v="1396020"/>
    <n v="1139"/>
    <x v="0"/>
    <d v="2023-12-22T00:00:00"/>
    <x v="62"/>
    <n v="12"/>
    <x v="0"/>
    <x v="0"/>
    <x v="0"/>
    <s v="Diego Freyre"/>
    <n v="5055"/>
    <s v="No"/>
    <x v="58"/>
  </r>
  <r>
    <n v="1396650"/>
    <n v="1751"/>
    <x v="0"/>
    <d v="2023-12-12T00:00:00"/>
    <x v="53"/>
    <n v="12"/>
    <x v="2"/>
    <x v="0"/>
    <x v="3"/>
    <s v="Jonas Bergulfsen"/>
    <n v="9911"/>
    <s v="No"/>
    <x v="61"/>
  </r>
  <r>
    <n v="1398659"/>
    <n v="1366"/>
    <x v="0"/>
    <d v="2023-11-29T00:00:00"/>
    <x v="63"/>
    <n v="11"/>
    <x v="4"/>
    <x v="2"/>
    <x v="3"/>
    <s v="Julie Murphy"/>
    <n v="1845"/>
    <s v="No"/>
    <x v="60"/>
  </r>
  <r>
    <n v="1399773"/>
    <n v="1990"/>
    <x v="0"/>
    <d v="2023-01-03T00:00:00"/>
    <x v="64"/>
    <n v="1"/>
    <x v="2"/>
    <x v="9"/>
    <x v="0"/>
    <s v="Mart¡n Sommer"/>
    <n v="6970"/>
    <s v="No"/>
    <x v="20"/>
  </r>
  <r>
    <n v="1400564"/>
    <n v="768"/>
    <x v="0"/>
    <d v="2023-09-19T00:00:00"/>
    <x v="65"/>
    <n v="9"/>
    <x v="2"/>
    <x v="10"/>
    <x v="3"/>
    <s v="Adrian Huxley"/>
    <n v="5190"/>
    <s v="No"/>
    <x v="4"/>
  </r>
  <r>
    <n v="1400596"/>
    <n v="367"/>
    <x v="1"/>
    <d v="2023-08-21T00:00:00"/>
    <x v="66"/>
    <n v="8"/>
    <x v="5"/>
    <x v="8"/>
    <x v="1"/>
    <s v="Sue Taylor"/>
    <n v="680"/>
    <s v="No"/>
    <x v="12"/>
  </r>
  <r>
    <n v="1401727"/>
    <n v="637"/>
    <x v="0"/>
    <d v="2023-08-14T00:00:00"/>
    <x v="67"/>
    <n v="8"/>
    <x v="5"/>
    <x v="8"/>
    <x v="0"/>
    <s v="Maria Hernandez"/>
    <n v="4277"/>
    <s v="No"/>
    <x v="4"/>
  </r>
  <r>
    <n v="1404328"/>
    <n v="1469"/>
    <x v="2"/>
    <d v="2023-02-23T00:00:00"/>
    <x v="68"/>
    <n v="2"/>
    <x v="3"/>
    <x v="5"/>
    <x v="3"/>
    <s v="Giovanni Rovelli"/>
    <n v="4532"/>
    <s v="No"/>
    <x v="4"/>
  </r>
  <r>
    <n v="1404963"/>
    <n v="69"/>
    <x v="0"/>
    <d v="2023-12-18T00:00:00"/>
    <x v="44"/>
    <n v="12"/>
    <x v="5"/>
    <x v="0"/>
    <x v="2"/>
    <s v="Francisca Cervantes"/>
    <n v="1572"/>
    <s v="No"/>
    <x v="36"/>
  </r>
  <r>
    <n v="1405341"/>
    <n v="749"/>
    <x v="5"/>
    <d v="2023-07-08T00:00:00"/>
    <x v="49"/>
    <n v="7"/>
    <x v="1"/>
    <x v="6"/>
    <x v="2"/>
    <s v="Sean Connery"/>
    <n v="1177"/>
    <s v="No"/>
    <x v="43"/>
  </r>
  <r>
    <n v="1405517"/>
    <n v="1790"/>
    <x v="0"/>
    <d v="2023-05-29T00:00:00"/>
    <x v="36"/>
    <n v="5"/>
    <x v="5"/>
    <x v="11"/>
    <x v="1"/>
    <s v="Yoshi Tannamuri"/>
    <n v="8268"/>
    <s v="No"/>
    <x v="67"/>
  </r>
  <r>
    <n v="1407976"/>
    <n v="569"/>
    <x v="0"/>
    <d v="2023-04-02T00:00:00"/>
    <x v="69"/>
    <n v="4"/>
    <x v="6"/>
    <x v="1"/>
    <x v="0"/>
    <s v="Steve Thompson"/>
    <n v="8751"/>
    <s v="No"/>
    <x v="14"/>
  </r>
  <r>
    <n v="1409071"/>
    <n v="807"/>
    <x v="10"/>
    <d v="2023-04-25T00:00:00"/>
    <x v="70"/>
    <n v="4"/>
    <x v="2"/>
    <x v="1"/>
    <x v="1"/>
    <s v="Kyung Tseng"/>
    <n v="1067"/>
    <s v="No"/>
    <x v="72"/>
  </r>
  <r>
    <n v="1409253"/>
    <n v="1099"/>
    <x v="3"/>
    <d v="2023-04-03T00:00:00"/>
    <x v="71"/>
    <n v="4"/>
    <x v="5"/>
    <x v="1"/>
    <x v="1"/>
    <s v="Diego Freyre"/>
    <n v="136"/>
    <s v="No"/>
    <x v="15"/>
  </r>
  <r>
    <n v="1409459"/>
    <n v="843"/>
    <x v="0"/>
    <d v="2023-05-21T00:00:00"/>
    <x v="54"/>
    <n v="5"/>
    <x v="6"/>
    <x v="11"/>
    <x v="3"/>
    <s v="Sue Frick"/>
    <n v="6955"/>
    <s v="No"/>
    <x v="2"/>
  </r>
  <r>
    <n v="1409549"/>
    <n v="915"/>
    <x v="3"/>
    <d v="2023-07-22T00:00:00"/>
    <x v="72"/>
    <n v="7"/>
    <x v="1"/>
    <x v="6"/>
    <x v="3"/>
    <s v="Georg Pipps"/>
    <n v="8235"/>
    <s v="No"/>
    <x v="36"/>
  </r>
  <r>
    <n v="1409687"/>
    <n v="1475"/>
    <x v="4"/>
    <d v="2023-04-03T00:00:00"/>
    <x v="73"/>
    <n v="4"/>
    <x v="5"/>
    <x v="1"/>
    <x v="1"/>
    <s v="Paolo Accorti"/>
    <n v="3268"/>
    <s v="No"/>
    <x v="5"/>
  </r>
  <r>
    <n v="1411077"/>
    <n v="1545"/>
    <x v="8"/>
    <d v="2023-06-15T00:00:00"/>
    <x v="64"/>
    <n v="6"/>
    <x v="3"/>
    <x v="7"/>
    <x v="1"/>
    <s v="Leslie Taylor"/>
    <n v="6186"/>
    <s v="No"/>
    <x v="35"/>
  </r>
  <r>
    <n v="1411455"/>
    <n v="1416"/>
    <x v="0"/>
    <d v="2023-03-25T00:00:00"/>
    <x v="74"/>
    <n v="3"/>
    <x v="1"/>
    <x v="4"/>
    <x v="0"/>
    <s v="Daniel Tonini"/>
    <n v="8932"/>
    <s v="No"/>
    <x v="58"/>
  </r>
  <r>
    <n v="1412551"/>
    <n v="610"/>
    <x v="3"/>
    <d v="2023-09-07T00:00:00"/>
    <x v="10"/>
    <n v="9"/>
    <x v="3"/>
    <x v="10"/>
    <x v="0"/>
    <s v="Valarie Nelson"/>
    <n v="425"/>
    <s v="No"/>
    <x v="14"/>
  </r>
  <r>
    <n v="1414158"/>
    <n v="789"/>
    <x v="3"/>
    <d v="2023-03-20T00:00:00"/>
    <x v="12"/>
    <n v="3"/>
    <x v="5"/>
    <x v="4"/>
    <x v="3"/>
    <s v="Michael Frick"/>
    <n v="8686"/>
    <s v="No"/>
    <x v="14"/>
  </r>
  <r>
    <n v="1416529"/>
    <n v="1980"/>
    <x v="11"/>
    <d v="2023-06-27T00:00:00"/>
    <x v="34"/>
    <n v="6"/>
    <x v="2"/>
    <x v="7"/>
    <x v="3"/>
    <s v="Julie Murphy"/>
    <n v="576"/>
    <s v="No"/>
    <x v="56"/>
  </r>
  <r>
    <n v="1417112"/>
    <n v="1938"/>
    <x v="14"/>
    <d v="2023-05-18T00:00:00"/>
    <x v="75"/>
    <n v="5"/>
    <x v="3"/>
    <x v="11"/>
    <x v="1"/>
    <s v="Mart¡n Sommer"/>
    <n v="2520"/>
    <s v="No"/>
    <x v="41"/>
  </r>
  <r>
    <n v="1417673"/>
    <n v="1947"/>
    <x v="4"/>
    <d v="2023-05-03T00:00:00"/>
    <x v="76"/>
    <n v="5"/>
    <x v="4"/>
    <x v="11"/>
    <x v="2"/>
    <s v="Diego Freyre"/>
    <n v="8765"/>
    <s v="No"/>
    <x v="19"/>
  </r>
  <r>
    <n v="1418125"/>
    <n v="1496"/>
    <x v="0"/>
    <d v="2023-08-12T00:00:00"/>
    <x v="77"/>
    <n v="8"/>
    <x v="1"/>
    <x v="8"/>
    <x v="2"/>
    <s v="Allen Nelson"/>
    <n v="8586"/>
    <s v="No"/>
    <x v="8"/>
  </r>
  <r>
    <n v="1420227"/>
    <n v="1540"/>
    <x v="6"/>
    <d v="2023-03-22T00:00:00"/>
    <x v="58"/>
    <n v="3"/>
    <x v="4"/>
    <x v="4"/>
    <x v="2"/>
    <s v="Valarie Nelson"/>
    <n v="615"/>
    <s v="No"/>
    <x v="30"/>
  </r>
  <r>
    <n v="1420448"/>
    <n v="1708"/>
    <x v="3"/>
    <d v="2023-04-09T00:00:00"/>
    <x v="78"/>
    <n v="4"/>
    <x v="6"/>
    <x v="1"/>
    <x v="2"/>
    <s v="Catherine Dewey"/>
    <n v="5060"/>
    <s v="No"/>
    <x v="27"/>
  </r>
  <r>
    <n v="1420854"/>
    <n v="1759"/>
    <x v="4"/>
    <d v="2023-10-06T00:00:00"/>
    <x v="79"/>
    <n v="10"/>
    <x v="0"/>
    <x v="3"/>
    <x v="2"/>
    <s v="Giovanni Rovelli"/>
    <n v="1964"/>
    <s v="No"/>
    <x v="13"/>
  </r>
  <r>
    <n v="1421840"/>
    <n v="1128"/>
    <x v="3"/>
    <d v="2023-09-09T00:00:00"/>
    <x v="80"/>
    <n v="9"/>
    <x v="1"/>
    <x v="10"/>
    <x v="3"/>
    <s v="Peter Ferguson"/>
    <n v="1084"/>
    <s v="No"/>
    <x v="65"/>
  </r>
  <r>
    <n v="1422378"/>
    <n v="684"/>
    <x v="10"/>
    <d v="2023-11-06T00:00:00"/>
    <x v="10"/>
    <n v="11"/>
    <x v="5"/>
    <x v="2"/>
    <x v="2"/>
    <s v="Diego Freyre"/>
    <n v="3274"/>
    <s v="No"/>
    <x v="51"/>
  </r>
  <r>
    <n v="1422755"/>
    <n v="830"/>
    <x v="3"/>
    <d v="2023-10-27T00:00:00"/>
    <x v="64"/>
    <n v="10"/>
    <x v="0"/>
    <x v="3"/>
    <x v="3"/>
    <s v="Julie Young"/>
    <n v="7502"/>
    <s v="No"/>
    <x v="21"/>
  </r>
  <r>
    <n v="1423052"/>
    <n v="536"/>
    <x v="7"/>
    <d v="2023-01-27T00:00:00"/>
    <x v="28"/>
    <n v="1"/>
    <x v="0"/>
    <x v="9"/>
    <x v="2"/>
    <s v="Juri Hirano"/>
    <n v="8357"/>
    <s v="No"/>
    <x v="45"/>
  </r>
  <r>
    <n v="1424219"/>
    <n v="1706"/>
    <x v="0"/>
    <d v="2023-08-01T00:00:00"/>
    <x v="81"/>
    <n v="8"/>
    <x v="2"/>
    <x v="8"/>
    <x v="3"/>
    <s v="Mory Kentary"/>
    <n v="2522"/>
    <s v="No"/>
    <x v="59"/>
  </r>
  <r>
    <n v="1424531"/>
    <n v="1425"/>
    <x v="6"/>
    <d v="2023-04-08T00:00:00"/>
    <x v="25"/>
    <n v="4"/>
    <x v="1"/>
    <x v="1"/>
    <x v="3"/>
    <s v="Peter Ferguson"/>
    <n v="5390"/>
    <s v="No"/>
    <x v="33"/>
  </r>
  <r>
    <n v="1424927"/>
    <n v="176"/>
    <x v="3"/>
    <d v="2023-12-04T00:00:00"/>
    <x v="48"/>
    <n v="12"/>
    <x v="5"/>
    <x v="0"/>
    <x v="2"/>
    <s v="Elizabeth Lincoln"/>
    <n v="9104"/>
    <s v="No"/>
    <x v="7"/>
  </r>
  <r>
    <n v="1425405"/>
    <n v="1220"/>
    <x v="0"/>
    <d v="2023-05-24T00:00:00"/>
    <x v="34"/>
    <n v="5"/>
    <x v="4"/>
    <x v="11"/>
    <x v="1"/>
    <s v="Sue Frick"/>
    <n v="6403"/>
    <s v="No"/>
    <x v="30"/>
  </r>
  <r>
    <n v="1426596"/>
    <n v="1768"/>
    <x v="0"/>
    <d v="2023-12-21T00:00:00"/>
    <x v="21"/>
    <n v="12"/>
    <x v="3"/>
    <x v="0"/>
    <x v="3"/>
    <s v="Julie King"/>
    <n v="3187"/>
    <s v="No"/>
    <x v="49"/>
  </r>
  <r>
    <n v="1427947"/>
    <n v="823"/>
    <x v="3"/>
    <d v="2023-01-25T00:00:00"/>
    <x v="82"/>
    <n v="1"/>
    <x v="4"/>
    <x v="9"/>
    <x v="2"/>
    <s v="Janine Labrune"/>
    <n v="4859"/>
    <s v="No"/>
    <x v="42"/>
  </r>
  <r>
    <n v="1428296"/>
    <n v="80"/>
    <x v="0"/>
    <d v="2023-05-20T00:00:00"/>
    <x v="44"/>
    <n v="5"/>
    <x v="1"/>
    <x v="11"/>
    <x v="3"/>
    <s v="Jan Klaeboe"/>
    <n v="1637"/>
    <s v="No"/>
    <x v="2"/>
  </r>
  <r>
    <n v="1428328"/>
    <n v="1988"/>
    <x v="0"/>
    <d v="2023-04-28T00:00:00"/>
    <x v="83"/>
    <n v="4"/>
    <x v="0"/>
    <x v="1"/>
    <x v="2"/>
    <s v="Dean Cassidy"/>
    <n v="2435"/>
    <s v="No"/>
    <x v="50"/>
  </r>
  <r>
    <n v="1429209"/>
    <n v="701"/>
    <x v="1"/>
    <d v="2023-12-04T00:00:00"/>
    <x v="84"/>
    <n v="12"/>
    <x v="5"/>
    <x v="0"/>
    <x v="1"/>
    <s v="Steve Frick"/>
    <n v="1494"/>
    <s v="No"/>
    <x v="54"/>
  </r>
  <r>
    <n v="1432252"/>
    <n v="286"/>
    <x v="0"/>
    <d v="2023-01-04T00:00:00"/>
    <x v="85"/>
    <n v="1"/>
    <x v="4"/>
    <x v="9"/>
    <x v="1"/>
    <s v="Juri Hirano"/>
    <n v="4443"/>
    <s v="No"/>
    <x v="33"/>
  </r>
  <r>
    <n v="1433358"/>
    <n v="125"/>
    <x v="4"/>
    <d v="2023-05-30T00:00:00"/>
    <x v="68"/>
    <n v="5"/>
    <x v="2"/>
    <x v="11"/>
    <x v="0"/>
    <s v="Giovanni Rovelli"/>
    <n v="7762"/>
    <s v="No"/>
    <x v="30"/>
  </r>
  <r>
    <n v="1436270"/>
    <n v="1052"/>
    <x v="7"/>
    <d v="2023-06-24T00:00:00"/>
    <x v="86"/>
    <n v="6"/>
    <x v="1"/>
    <x v="7"/>
    <x v="3"/>
    <s v="Eduardo Saavedra"/>
    <n v="1360"/>
    <s v="No"/>
    <x v="50"/>
  </r>
  <r>
    <n v="1437527"/>
    <n v="1495"/>
    <x v="13"/>
    <d v="2023-02-25T00:00:00"/>
    <x v="75"/>
    <n v="2"/>
    <x v="1"/>
    <x v="5"/>
    <x v="2"/>
    <s v="Dan Lewis"/>
    <n v="2234"/>
    <s v="No"/>
    <x v="6"/>
  </r>
  <r>
    <n v="1437873"/>
    <n v="493"/>
    <x v="0"/>
    <d v="2023-05-06T00:00:00"/>
    <x v="87"/>
    <n v="5"/>
    <x v="1"/>
    <x v="11"/>
    <x v="2"/>
    <s v="Adrian Huxley"/>
    <n v="5373"/>
    <s v="No"/>
    <x v="43"/>
  </r>
  <r>
    <n v="1438232"/>
    <n v="1388"/>
    <x v="5"/>
    <d v="2023-03-31T00:00:00"/>
    <x v="88"/>
    <n v="3"/>
    <x v="0"/>
    <x v="4"/>
    <x v="1"/>
    <s v="Janine Labrune"/>
    <n v="8781"/>
    <s v="No"/>
    <x v="48"/>
  </r>
  <r>
    <n v="1438726"/>
    <n v="1037"/>
    <x v="1"/>
    <d v="2023-09-25T00:00:00"/>
    <x v="89"/>
    <n v="9"/>
    <x v="5"/>
    <x v="10"/>
    <x v="1"/>
    <s v="Diego Freyre"/>
    <n v="2991"/>
    <s v="No"/>
    <x v="29"/>
  </r>
  <r>
    <n v="1438926"/>
    <n v="367"/>
    <x v="1"/>
    <d v="2023-04-26T00:00:00"/>
    <x v="90"/>
    <n v="4"/>
    <x v="4"/>
    <x v="1"/>
    <x v="3"/>
    <s v="Paul Henriot"/>
    <n v="3956"/>
    <s v="No"/>
    <x v="12"/>
  </r>
  <r>
    <n v="1439951"/>
    <n v="1852"/>
    <x v="2"/>
    <d v="2023-08-08T00:00:00"/>
    <x v="91"/>
    <n v="8"/>
    <x v="2"/>
    <x v="8"/>
    <x v="1"/>
    <s v="William Brown"/>
    <n v="1905"/>
    <s v="No"/>
    <x v="27"/>
  </r>
  <r>
    <n v="1440438"/>
    <n v="531"/>
    <x v="0"/>
    <d v="2023-01-05T00:00:00"/>
    <x v="92"/>
    <n v="1"/>
    <x v="3"/>
    <x v="9"/>
    <x v="2"/>
    <s v="Maurizio Moroni"/>
    <n v="1288"/>
    <s v="No"/>
    <x v="64"/>
  </r>
  <r>
    <n v="1440486"/>
    <n v="898"/>
    <x v="0"/>
    <d v="2023-11-23T00:00:00"/>
    <x v="39"/>
    <n v="11"/>
    <x v="3"/>
    <x v="2"/>
    <x v="2"/>
    <s v="Arnold Cruz"/>
    <n v="7417"/>
    <s v="No"/>
    <x v="71"/>
  </r>
  <r>
    <n v="1441153"/>
    <n v="1510"/>
    <x v="8"/>
    <d v="2023-10-14T00:00:00"/>
    <x v="11"/>
    <n v="10"/>
    <x v="1"/>
    <x v="3"/>
    <x v="3"/>
    <s v="Laurence Lebihan"/>
    <n v="3392"/>
    <s v="No"/>
    <x v="12"/>
  </r>
  <r>
    <n v="1441631"/>
    <n v="1359"/>
    <x v="0"/>
    <d v="2023-05-17T00:00:00"/>
    <x v="93"/>
    <n v="5"/>
    <x v="4"/>
    <x v="11"/>
    <x v="2"/>
    <s v="Valarie Nelson"/>
    <n v="6438"/>
    <s v="No"/>
    <x v="61"/>
  </r>
  <r>
    <n v="1441698"/>
    <n v="118"/>
    <x v="0"/>
    <d v="2023-05-06T00:00:00"/>
    <x v="94"/>
    <n v="5"/>
    <x v="1"/>
    <x v="11"/>
    <x v="2"/>
    <s v="Allen Nelson"/>
    <n v="4154"/>
    <s v="No"/>
    <x v="5"/>
  </r>
  <r>
    <n v="1443406"/>
    <n v="1141"/>
    <x v="3"/>
    <d v="2023-07-24T00:00:00"/>
    <x v="95"/>
    <n v="7"/>
    <x v="5"/>
    <x v="6"/>
    <x v="1"/>
    <s v="Julie Brown"/>
    <n v="8328"/>
    <s v="No"/>
    <x v="52"/>
  </r>
  <r>
    <n v="1443815"/>
    <n v="623"/>
    <x v="1"/>
    <d v="2023-01-26T00:00:00"/>
    <x v="96"/>
    <n v="1"/>
    <x v="3"/>
    <x v="9"/>
    <x v="3"/>
    <s v="Anna O'Hara"/>
    <n v="9333"/>
    <s v="No"/>
    <x v="16"/>
  </r>
  <r>
    <n v="1444534"/>
    <n v="1217"/>
    <x v="0"/>
    <d v="2023-12-14T00:00:00"/>
    <x v="51"/>
    <n v="12"/>
    <x v="3"/>
    <x v="0"/>
    <x v="1"/>
    <s v="Martine Rance"/>
    <n v="4597"/>
    <s v="No"/>
    <x v="17"/>
  </r>
  <r>
    <n v="1444921"/>
    <n v="973"/>
    <x v="0"/>
    <d v="2023-09-17T00:00:00"/>
    <x v="97"/>
    <n v="9"/>
    <x v="6"/>
    <x v="10"/>
    <x v="3"/>
    <s v="Henriette Pfalzheim"/>
    <n v="7329"/>
    <s v="No"/>
    <x v="63"/>
  </r>
  <r>
    <n v="1445405"/>
    <n v="226"/>
    <x v="0"/>
    <d v="2023-04-26T00:00:00"/>
    <x v="37"/>
    <n v="4"/>
    <x v="4"/>
    <x v="1"/>
    <x v="2"/>
    <s v="Dominique Perrier"/>
    <n v="4037"/>
    <s v="No"/>
    <x v="34"/>
  </r>
  <r>
    <n v="1445568"/>
    <n v="550"/>
    <x v="0"/>
    <d v="2023-07-23T00:00:00"/>
    <x v="98"/>
    <n v="7"/>
    <x v="6"/>
    <x v="6"/>
    <x v="3"/>
    <s v="Michael Holz"/>
    <n v="3612"/>
    <s v="No"/>
    <x v="34"/>
  </r>
  <r>
    <n v="1446428"/>
    <n v="1271"/>
    <x v="3"/>
    <d v="2023-12-31T00:00:00"/>
    <x v="99"/>
    <n v="12"/>
    <x v="6"/>
    <x v="0"/>
    <x v="0"/>
    <s v="Jytte Petersen"/>
    <n v="4354"/>
    <s v="No"/>
    <x v="64"/>
  </r>
  <r>
    <n v="1448149"/>
    <n v="340"/>
    <x v="3"/>
    <d v="2023-05-12T00:00:00"/>
    <x v="100"/>
    <n v="5"/>
    <x v="0"/>
    <x v="11"/>
    <x v="1"/>
    <s v="Dominique Perrier"/>
    <n v="8948"/>
    <s v="No"/>
    <x v="17"/>
  </r>
  <r>
    <n v="1448694"/>
    <n v="75"/>
    <x v="6"/>
    <d v="2023-05-22T00:00:00"/>
    <x v="101"/>
    <n v="5"/>
    <x v="5"/>
    <x v="11"/>
    <x v="3"/>
    <s v="Juri Yoshido"/>
    <n v="1873"/>
    <s v="No"/>
    <x v="40"/>
  </r>
  <r>
    <n v="1448727"/>
    <n v="1583"/>
    <x v="5"/>
    <d v="2023-01-25T00:00:00"/>
    <x v="102"/>
    <n v="1"/>
    <x v="4"/>
    <x v="9"/>
    <x v="1"/>
    <s v="Miguel Barajas"/>
    <n v="8355"/>
    <s v="No"/>
    <x v="38"/>
  </r>
  <r>
    <n v="1449298"/>
    <n v="1511"/>
    <x v="0"/>
    <d v="2023-06-26T00:00:00"/>
    <x v="103"/>
    <n v="6"/>
    <x v="5"/>
    <x v="7"/>
    <x v="2"/>
    <s v="Michael Holz"/>
    <n v="837"/>
    <s v="No"/>
    <x v="11"/>
  </r>
  <r>
    <n v="1449763"/>
    <n v="465"/>
    <x v="0"/>
    <d v="2023-03-12T00:00:00"/>
    <x v="31"/>
    <n v="3"/>
    <x v="6"/>
    <x v="4"/>
    <x v="3"/>
    <s v="Matti Karttunen"/>
    <n v="425"/>
    <s v="No"/>
    <x v="22"/>
  </r>
  <r>
    <n v="1449820"/>
    <n v="1828"/>
    <x v="10"/>
    <d v="2023-11-29T00:00:00"/>
    <x v="1"/>
    <n v="11"/>
    <x v="4"/>
    <x v="2"/>
    <x v="0"/>
    <s v="Henriette Pfalzheim"/>
    <n v="1844"/>
    <s v="No"/>
    <x v="66"/>
  </r>
  <r>
    <n v="1449918"/>
    <n v="1881"/>
    <x v="3"/>
    <d v="2023-03-22T00:00:00"/>
    <x v="104"/>
    <n v="3"/>
    <x v="4"/>
    <x v="4"/>
    <x v="2"/>
    <s v="Kee Kuo"/>
    <n v="8835"/>
    <s v="No"/>
    <x v="69"/>
  </r>
  <r>
    <n v="1452068"/>
    <n v="658"/>
    <x v="1"/>
    <d v="2023-09-30T00:00:00"/>
    <x v="65"/>
    <n v="9"/>
    <x v="1"/>
    <x v="10"/>
    <x v="2"/>
    <s v="Rosa Hernandez"/>
    <n v="1299"/>
    <s v="No"/>
    <x v="53"/>
  </r>
  <r>
    <n v="1452251"/>
    <n v="1276"/>
    <x v="3"/>
    <d v="2023-03-24T00:00:00"/>
    <x v="105"/>
    <n v="3"/>
    <x v="0"/>
    <x v="4"/>
    <x v="0"/>
    <s v="Paul Henriot"/>
    <n v="9140"/>
    <s v="No"/>
    <x v="51"/>
  </r>
  <r>
    <n v="1453632"/>
    <n v="26"/>
    <x v="3"/>
    <d v="2023-05-25T00:00:00"/>
    <x v="35"/>
    <n v="5"/>
    <x v="3"/>
    <x v="11"/>
    <x v="3"/>
    <s v="Diego Freyre"/>
    <n v="1681"/>
    <s v="No"/>
    <x v="18"/>
  </r>
  <r>
    <n v="1453804"/>
    <n v="727"/>
    <x v="3"/>
    <d v="2023-01-15T00:00:00"/>
    <x v="106"/>
    <n v="1"/>
    <x v="6"/>
    <x v="9"/>
    <x v="3"/>
    <s v="Kalle Suominen"/>
    <n v="9801"/>
    <s v="No"/>
    <x v="71"/>
  </r>
  <r>
    <n v="1454237"/>
    <n v="604"/>
    <x v="9"/>
    <d v="2023-11-20T00:00:00"/>
    <x v="51"/>
    <n v="11"/>
    <x v="5"/>
    <x v="2"/>
    <x v="3"/>
    <s v="Diego Freyre"/>
    <n v="8617"/>
    <s v="No"/>
    <x v="67"/>
  </r>
  <r>
    <n v="1454722"/>
    <n v="557"/>
    <x v="7"/>
    <d v="2023-06-14T00:00:00"/>
    <x v="93"/>
    <n v="6"/>
    <x v="4"/>
    <x v="7"/>
    <x v="0"/>
    <s v="Valarie Nelson"/>
    <n v="7460"/>
    <s v="No"/>
    <x v="58"/>
  </r>
  <r>
    <n v="1454915"/>
    <n v="1109"/>
    <x v="1"/>
    <d v="2023-09-26T00:00:00"/>
    <x v="1"/>
    <n v="9"/>
    <x v="2"/>
    <x v="10"/>
    <x v="1"/>
    <s v="Jonas Bergulfsen"/>
    <n v="5760"/>
    <s v="No"/>
    <x v="46"/>
  </r>
  <r>
    <n v="1455334"/>
    <n v="1735"/>
    <x v="10"/>
    <d v="2023-12-06T00:00:00"/>
    <x v="107"/>
    <n v="12"/>
    <x v="4"/>
    <x v="0"/>
    <x v="1"/>
    <s v="Marie Bertrand"/>
    <n v="8911"/>
    <s v="No"/>
    <x v="15"/>
  </r>
  <r>
    <n v="1456673"/>
    <n v="275"/>
    <x v="2"/>
    <d v="2023-07-06T00:00:00"/>
    <x v="107"/>
    <n v="7"/>
    <x v="3"/>
    <x v="6"/>
    <x v="0"/>
    <s v="Mart¡n Sommer"/>
    <n v="4862"/>
    <s v="No"/>
    <x v="53"/>
  </r>
  <r>
    <n v="1457155"/>
    <n v="418"/>
    <x v="5"/>
    <d v="2023-09-13T00:00:00"/>
    <x v="97"/>
    <n v="9"/>
    <x v="4"/>
    <x v="10"/>
    <x v="2"/>
    <s v="Juri Hirano"/>
    <n v="2807"/>
    <s v="No"/>
    <x v="13"/>
  </r>
  <r>
    <n v="1459990"/>
    <n v="85"/>
    <x v="2"/>
    <d v="2023-06-21T00:00:00"/>
    <x v="57"/>
    <n v="6"/>
    <x v="4"/>
    <x v="7"/>
    <x v="2"/>
    <s v="Pirkko Koskitalo"/>
    <n v="1384"/>
    <s v="No"/>
    <x v="1"/>
  </r>
  <r>
    <n v="1460179"/>
    <n v="331"/>
    <x v="5"/>
    <d v="2023-07-03T00:00:00"/>
    <x v="52"/>
    <n v="7"/>
    <x v="5"/>
    <x v="6"/>
    <x v="3"/>
    <s v="Roland Mendel"/>
    <n v="7781"/>
    <s v="No"/>
    <x v="32"/>
  </r>
  <r>
    <n v="1460925"/>
    <n v="1141"/>
    <x v="3"/>
    <d v="2023-02-06T00:00:00"/>
    <x v="108"/>
    <n v="2"/>
    <x v="5"/>
    <x v="5"/>
    <x v="3"/>
    <s v="Ann Brown"/>
    <n v="2472"/>
    <s v="No"/>
    <x v="52"/>
  </r>
  <r>
    <n v="1461194"/>
    <n v="1262"/>
    <x v="0"/>
    <d v="2023-04-29T00:00:00"/>
    <x v="109"/>
    <n v="4"/>
    <x v="1"/>
    <x v="1"/>
    <x v="3"/>
    <s v="Jose Pedro Roel"/>
    <n v="9700"/>
    <s v="No"/>
    <x v="10"/>
  </r>
  <r>
    <n v="1461613"/>
    <n v="1086"/>
    <x v="3"/>
    <d v="2023-10-27T00:00:00"/>
    <x v="24"/>
    <n v="10"/>
    <x v="0"/>
    <x v="3"/>
    <x v="0"/>
    <s v="Mary Saveley"/>
    <n v="8282"/>
    <s v="No"/>
    <x v="42"/>
  </r>
  <r>
    <n v="1461756"/>
    <n v="1743"/>
    <x v="0"/>
    <d v="2023-06-21T00:00:00"/>
    <x v="6"/>
    <n v="6"/>
    <x v="4"/>
    <x v="7"/>
    <x v="2"/>
    <s v="Valarie Franco"/>
    <n v="3339"/>
    <s v="No"/>
    <x v="35"/>
  </r>
  <r>
    <n v="1461908"/>
    <n v="311"/>
    <x v="6"/>
    <d v="2023-07-06T00:00:00"/>
    <x v="110"/>
    <n v="7"/>
    <x v="3"/>
    <x v="6"/>
    <x v="0"/>
    <s v="Wendy Victorino"/>
    <n v="6698"/>
    <s v="No"/>
    <x v="23"/>
  </r>
  <r>
    <n v="1462009"/>
    <n v="1803"/>
    <x v="4"/>
    <d v="2023-01-02T00:00:00"/>
    <x v="67"/>
    <n v="1"/>
    <x v="5"/>
    <x v="9"/>
    <x v="1"/>
    <s v="Valarie Nelson"/>
    <n v="5184"/>
    <s v="No"/>
    <x v="0"/>
  </r>
  <r>
    <n v="1462495"/>
    <n v="243"/>
    <x v="0"/>
    <d v="2023-10-28T00:00:00"/>
    <x v="29"/>
    <n v="10"/>
    <x v="1"/>
    <x v="3"/>
    <x v="2"/>
    <s v="Leslie Murphy"/>
    <n v="2850"/>
    <s v="No"/>
    <x v="65"/>
  </r>
  <r>
    <n v="1465193"/>
    <n v="87"/>
    <x v="1"/>
    <d v="2023-04-25T00:00:00"/>
    <x v="111"/>
    <n v="4"/>
    <x v="2"/>
    <x v="1"/>
    <x v="2"/>
    <s v="Wendy Victorino"/>
    <n v="7107"/>
    <s v="No"/>
    <x v="14"/>
  </r>
  <r>
    <n v="1465254"/>
    <n v="1992"/>
    <x v="13"/>
    <d v="2023-09-01T00:00:00"/>
    <x v="112"/>
    <n v="9"/>
    <x v="0"/>
    <x v="10"/>
    <x v="2"/>
    <s v="Adrian Huxley"/>
    <n v="5514"/>
    <s v="No"/>
    <x v="50"/>
  </r>
  <r>
    <n v="1466316"/>
    <n v="122"/>
    <x v="4"/>
    <d v="2023-01-07T00:00:00"/>
    <x v="104"/>
    <n v="1"/>
    <x v="1"/>
    <x v="9"/>
    <x v="1"/>
    <s v="Kyung Yu"/>
    <n v="1672"/>
    <s v="No"/>
    <x v="10"/>
  </r>
  <r>
    <n v="1466372"/>
    <n v="1073"/>
    <x v="4"/>
    <d v="2023-11-16T00:00:00"/>
    <x v="25"/>
    <n v="11"/>
    <x v="3"/>
    <x v="2"/>
    <x v="2"/>
    <s v="Maria Larsson"/>
    <n v="8940"/>
    <s v="No"/>
    <x v="52"/>
  </r>
  <r>
    <n v="1466718"/>
    <n v="453"/>
    <x v="3"/>
    <d v="2023-05-26T00:00:00"/>
    <x v="63"/>
    <n v="5"/>
    <x v="0"/>
    <x v="11"/>
    <x v="2"/>
    <s v="Marta Hernandez"/>
    <n v="9174"/>
    <s v="No"/>
    <x v="44"/>
  </r>
  <r>
    <n v="1467283"/>
    <n v="113"/>
    <x v="0"/>
    <d v="2023-08-04T00:00:00"/>
    <x v="113"/>
    <n v="8"/>
    <x v="0"/>
    <x v="8"/>
    <x v="2"/>
    <s v="Yoshi Tannamuri"/>
    <n v="722"/>
    <s v="No"/>
    <x v="54"/>
  </r>
  <r>
    <n v="1469052"/>
    <n v="376"/>
    <x v="1"/>
    <d v="2023-06-15T00:00:00"/>
    <x v="71"/>
    <n v="6"/>
    <x v="3"/>
    <x v="7"/>
    <x v="3"/>
    <s v="Michael Frick"/>
    <n v="4580"/>
    <s v="No"/>
    <x v="20"/>
  </r>
  <r>
    <n v="1469471"/>
    <n v="736"/>
    <x v="0"/>
    <d v="2023-04-27T00:00:00"/>
    <x v="107"/>
    <n v="4"/>
    <x v="3"/>
    <x v="1"/>
    <x v="3"/>
    <s v="Valarie Nelson"/>
    <n v="4917"/>
    <s v="No"/>
    <x v="63"/>
  </r>
  <r>
    <n v="1470933"/>
    <n v="1285"/>
    <x v="4"/>
    <d v="2023-08-02T00:00:00"/>
    <x v="44"/>
    <n v="8"/>
    <x v="4"/>
    <x v="8"/>
    <x v="0"/>
    <s v="Mart¡n Sommer"/>
    <n v="5249"/>
    <s v="No"/>
    <x v="72"/>
  </r>
  <r>
    <n v="1471380"/>
    <n v="139"/>
    <x v="0"/>
    <d v="2023-08-28T00:00:00"/>
    <x v="114"/>
    <n v="8"/>
    <x v="5"/>
    <x v="8"/>
    <x v="0"/>
    <s v="Diego Freyre"/>
    <n v="2139"/>
    <s v="No"/>
    <x v="21"/>
  </r>
  <r>
    <n v="1471535"/>
    <n v="668"/>
    <x v="3"/>
    <d v="2023-12-24T00:00:00"/>
    <x v="40"/>
    <n v="12"/>
    <x v="6"/>
    <x v="0"/>
    <x v="3"/>
    <s v="Valarie Nelson"/>
    <n v="6311"/>
    <s v="No"/>
    <x v="70"/>
  </r>
  <r>
    <n v="1472021"/>
    <n v="1564"/>
    <x v="5"/>
    <d v="2023-12-22T00:00:00"/>
    <x v="115"/>
    <n v="12"/>
    <x v="0"/>
    <x v="0"/>
    <x v="3"/>
    <s v="Valarie Nelson"/>
    <n v="7609"/>
    <s v="No"/>
    <x v="20"/>
  </r>
  <r>
    <n v="1472256"/>
    <n v="196"/>
    <x v="0"/>
    <d v="2023-12-14T00:00:00"/>
    <x v="81"/>
    <n v="12"/>
    <x v="3"/>
    <x v="0"/>
    <x v="3"/>
    <s v="Jean Fresnisre"/>
    <n v="2311"/>
    <s v="No"/>
    <x v="55"/>
  </r>
  <r>
    <n v="1472426"/>
    <n v="338"/>
    <x v="1"/>
    <d v="2023-09-16T00:00:00"/>
    <x v="116"/>
    <n v="9"/>
    <x v="1"/>
    <x v="10"/>
    <x v="0"/>
    <s v="Janine Labrune"/>
    <n v="2068"/>
    <s v="No"/>
    <x v="66"/>
  </r>
  <r>
    <n v="1472446"/>
    <n v="1614"/>
    <x v="0"/>
    <d v="2023-11-03T00:00:00"/>
    <x v="46"/>
    <n v="11"/>
    <x v="0"/>
    <x v="2"/>
    <x v="1"/>
    <s v="Kwai Yu"/>
    <n v="7570"/>
    <s v="No"/>
    <x v="2"/>
  </r>
  <r>
    <n v="1473392"/>
    <n v="1230"/>
    <x v="4"/>
    <d v="2023-09-14T00:00:00"/>
    <x v="14"/>
    <n v="9"/>
    <x v="3"/>
    <x v="10"/>
    <x v="1"/>
    <s v="Peter Ferguson"/>
    <n v="4758"/>
    <s v="No"/>
    <x v="16"/>
  </r>
  <r>
    <n v="1474092"/>
    <n v="1710"/>
    <x v="4"/>
    <d v="2023-06-02T00:00:00"/>
    <x v="87"/>
    <n v="6"/>
    <x v="0"/>
    <x v="7"/>
    <x v="2"/>
    <s v="Diego Freyre"/>
    <n v="7733"/>
    <s v="No"/>
    <x v="58"/>
  </r>
  <r>
    <n v="1474156"/>
    <n v="1822"/>
    <x v="0"/>
    <d v="2023-05-30T00:00:00"/>
    <x v="94"/>
    <n v="5"/>
    <x v="2"/>
    <x v="11"/>
    <x v="0"/>
    <s v="Julie Young"/>
    <n v="597"/>
    <s v="No"/>
    <x v="72"/>
  </r>
  <r>
    <n v="1474744"/>
    <n v="1900"/>
    <x v="5"/>
    <d v="2023-04-22T00:00:00"/>
    <x v="28"/>
    <n v="4"/>
    <x v="1"/>
    <x v="1"/>
    <x v="2"/>
    <s v="Juri Hirano"/>
    <n v="9529"/>
    <s v="No"/>
    <x v="9"/>
  </r>
  <r>
    <n v="1474867"/>
    <n v="1837"/>
    <x v="11"/>
    <d v="2023-12-08T00:00:00"/>
    <x v="10"/>
    <n v="12"/>
    <x v="0"/>
    <x v="0"/>
    <x v="0"/>
    <s v="Veysel Oeztan"/>
    <n v="6262"/>
    <s v="No"/>
    <x v="27"/>
  </r>
  <r>
    <n v="1475178"/>
    <n v="466"/>
    <x v="2"/>
    <d v="2023-04-12T00:00:00"/>
    <x v="107"/>
    <n v="4"/>
    <x v="4"/>
    <x v="1"/>
    <x v="1"/>
    <s v="Mory Kentary"/>
    <n v="1408"/>
    <s v="No"/>
    <x v="24"/>
  </r>
  <r>
    <n v="1475354"/>
    <n v="1633"/>
    <x v="6"/>
    <d v="2023-10-09T00:00:00"/>
    <x v="108"/>
    <n v="10"/>
    <x v="5"/>
    <x v="3"/>
    <x v="0"/>
    <s v="Peter Ferguson"/>
    <n v="7693"/>
    <s v="No"/>
    <x v="71"/>
  </r>
  <r>
    <n v="1477405"/>
    <n v="1342"/>
    <x v="0"/>
    <d v="2023-10-04T00:00:00"/>
    <x v="117"/>
    <n v="10"/>
    <x v="4"/>
    <x v="3"/>
    <x v="1"/>
    <s v="Elizabeth Lincoln"/>
    <n v="6068"/>
    <s v="No"/>
    <x v="32"/>
  </r>
  <r>
    <n v="1477894"/>
    <n v="1834"/>
    <x v="6"/>
    <d v="2023-01-22T00:00:00"/>
    <x v="62"/>
    <n v="1"/>
    <x v="6"/>
    <x v="9"/>
    <x v="2"/>
    <s v="Sue Frick"/>
    <n v="9471"/>
    <s v="No"/>
    <x v="52"/>
  </r>
  <r>
    <n v="1478839"/>
    <n v="896"/>
    <x v="6"/>
    <d v="2023-02-07T00:00:00"/>
    <x v="118"/>
    <n v="2"/>
    <x v="2"/>
    <x v="5"/>
    <x v="2"/>
    <s v="Julie King"/>
    <n v="6444"/>
    <s v="No"/>
    <x v="33"/>
  </r>
  <r>
    <n v="1479085"/>
    <n v="510"/>
    <x v="0"/>
    <d v="2023-11-21T00:00:00"/>
    <x v="119"/>
    <n v="11"/>
    <x v="2"/>
    <x v="2"/>
    <x v="0"/>
    <s v="Janine Labrune"/>
    <n v="6503"/>
    <s v="No"/>
    <x v="36"/>
  </r>
  <r>
    <n v="1479736"/>
    <n v="1363"/>
    <x v="3"/>
    <d v="2023-10-07T00:00:00"/>
    <x v="85"/>
    <n v="10"/>
    <x v="1"/>
    <x v="3"/>
    <x v="0"/>
    <s v="Marta Hernandez"/>
    <n v="2193"/>
    <s v="No"/>
    <x v="49"/>
  </r>
  <r>
    <n v="1479812"/>
    <n v="340"/>
    <x v="3"/>
    <d v="2023-06-13T00:00:00"/>
    <x v="36"/>
    <n v="6"/>
    <x v="2"/>
    <x v="7"/>
    <x v="1"/>
    <s v="Dean Cassidy"/>
    <n v="7134"/>
    <s v="No"/>
    <x v="17"/>
  </r>
  <r>
    <n v="1480087"/>
    <n v="26"/>
    <x v="3"/>
    <d v="2023-07-08T00:00:00"/>
    <x v="116"/>
    <n v="7"/>
    <x v="1"/>
    <x v="6"/>
    <x v="2"/>
    <s v="Steve Frick"/>
    <n v="9335"/>
    <s v="No"/>
    <x v="18"/>
  </r>
  <r>
    <n v="1480394"/>
    <n v="1003"/>
    <x v="0"/>
    <d v="2023-06-04T00:00:00"/>
    <x v="120"/>
    <n v="6"/>
    <x v="6"/>
    <x v="7"/>
    <x v="2"/>
    <s v="Kyung Yu"/>
    <n v="2616"/>
    <s v="No"/>
    <x v="71"/>
  </r>
  <r>
    <n v="1480900"/>
    <n v="866"/>
    <x v="5"/>
    <d v="2023-01-02T00:00:00"/>
    <x v="19"/>
    <n v="1"/>
    <x v="5"/>
    <x v="9"/>
    <x v="3"/>
    <s v="Kwai Yu"/>
    <n v="2284"/>
    <s v="No"/>
    <x v="50"/>
  </r>
  <r>
    <n v="1480961"/>
    <n v="550"/>
    <x v="0"/>
    <d v="2023-01-16T00:00:00"/>
    <x v="121"/>
    <n v="1"/>
    <x v="5"/>
    <x v="9"/>
    <x v="2"/>
    <s v="Eduardo Saavedra"/>
    <n v="8407"/>
    <s v="No"/>
    <x v="34"/>
  </r>
  <r>
    <n v="1481396"/>
    <n v="619"/>
    <x v="0"/>
    <d v="2023-11-23T00:00:00"/>
    <x v="122"/>
    <n v="11"/>
    <x v="3"/>
    <x v="2"/>
    <x v="3"/>
    <s v="Dan Lewis"/>
    <n v="3557"/>
    <s v="No"/>
    <x v="4"/>
  </r>
  <r>
    <n v="1482389"/>
    <n v="1928"/>
    <x v="6"/>
    <d v="2023-10-17T00:00:00"/>
    <x v="123"/>
    <n v="10"/>
    <x v="2"/>
    <x v="3"/>
    <x v="1"/>
    <s v="Kalle Suominen"/>
    <n v="32"/>
    <s v="No"/>
    <x v="14"/>
  </r>
  <r>
    <n v="1483729"/>
    <n v="1668"/>
    <x v="0"/>
    <d v="2023-09-14T00:00:00"/>
    <x v="100"/>
    <n v="9"/>
    <x v="3"/>
    <x v="10"/>
    <x v="1"/>
    <s v="Janine Labrune"/>
    <n v="1625"/>
    <s v="No"/>
    <x v="17"/>
  </r>
  <r>
    <n v="1483901"/>
    <n v="1708"/>
    <x v="3"/>
    <d v="2023-07-08T00:00:00"/>
    <x v="0"/>
    <n v="7"/>
    <x v="1"/>
    <x v="6"/>
    <x v="1"/>
    <s v="Eric Natividad"/>
    <n v="9214"/>
    <s v="No"/>
    <x v="27"/>
  </r>
  <r>
    <n v="1483931"/>
    <n v="1980"/>
    <x v="11"/>
    <d v="2023-04-15T00:00:00"/>
    <x v="124"/>
    <n v="4"/>
    <x v="1"/>
    <x v="1"/>
    <x v="2"/>
    <s v="William Brown"/>
    <n v="4382"/>
    <s v="No"/>
    <x v="56"/>
  </r>
  <r>
    <n v="1485067"/>
    <n v="1608"/>
    <x v="0"/>
    <d v="2023-02-06T00:00:00"/>
    <x v="81"/>
    <n v="2"/>
    <x v="5"/>
    <x v="5"/>
    <x v="1"/>
    <s v="Maurizio Moroni"/>
    <n v="3382"/>
    <s v="No"/>
    <x v="64"/>
  </r>
  <r>
    <n v="1485425"/>
    <n v="980"/>
    <x v="0"/>
    <d v="2023-07-18T00:00:00"/>
    <x v="125"/>
    <n v="7"/>
    <x v="2"/>
    <x v="6"/>
    <x v="3"/>
    <s v="Arnold Cruz"/>
    <n v="9648"/>
    <s v="No"/>
    <x v="34"/>
  </r>
  <r>
    <n v="1485939"/>
    <n v="899"/>
    <x v="0"/>
    <d v="2023-02-23T00:00:00"/>
    <x v="126"/>
    <n v="2"/>
    <x v="3"/>
    <x v="5"/>
    <x v="1"/>
    <s v="Laurence Lebihan"/>
    <n v="902"/>
    <s v="No"/>
    <x v="21"/>
  </r>
  <r>
    <n v="1486000"/>
    <n v="545"/>
    <x v="0"/>
    <d v="2023-12-23T00:00:00"/>
    <x v="7"/>
    <n v="12"/>
    <x v="1"/>
    <x v="0"/>
    <x v="2"/>
    <s v="Valarie Nelson"/>
    <n v="2377"/>
    <s v="No"/>
    <x v="15"/>
  </r>
  <r>
    <n v="1486426"/>
    <n v="1244"/>
    <x v="4"/>
    <d v="2023-10-30T00:00:00"/>
    <x v="80"/>
    <n v="10"/>
    <x v="5"/>
    <x v="3"/>
    <x v="3"/>
    <s v="Julie Young"/>
    <n v="8227"/>
    <s v="No"/>
    <x v="1"/>
  </r>
  <r>
    <n v="1487293"/>
    <n v="1157"/>
    <x v="5"/>
    <d v="2023-01-26T00:00:00"/>
    <x v="127"/>
    <n v="1"/>
    <x v="3"/>
    <x v="9"/>
    <x v="1"/>
    <s v="Julie Brown"/>
    <n v="2092"/>
    <s v="No"/>
    <x v="41"/>
  </r>
  <r>
    <n v="1487429"/>
    <n v="1983"/>
    <x v="4"/>
    <d v="2023-03-05T00:00:00"/>
    <x v="57"/>
    <n v="3"/>
    <x v="6"/>
    <x v="4"/>
    <x v="1"/>
    <s v="Anna O'Hara"/>
    <n v="5465"/>
    <s v="No"/>
    <x v="31"/>
  </r>
  <r>
    <n v="1488818"/>
    <n v="827"/>
    <x v="5"/>
    <d v="2023-05-06T00:00:00"/>
    <x v="35"/>
    <n v="5"/>
    <x v="1"/>
    <x v="11"/>
    <x v="0"/>
    <s v="Martine Rance"/>
    <n v="8763"/>
    <s v="No"/>
    <x v="28"/>
  </r>
  <r>
    <n v="1488979"/>
    <n v="1787"/>
    <x v="3"/>
    <d v="2023-08-18T00:00:00"/>
    <x v="128"/>
    <n v="8"/>
    <x v="0"/>
    <x v="8"/>
    <x v="3"/>
    <s v="Diego Freyre"/>
    <n v="8980"/>
    <s v="No"/>
    <x v="68"/>
  </r>
  <r>
    <n v="1489446"/>
    <n v="1158"/>
    <x v="8"/>
    <d v="2023-10-26T00:00:00"/>
    <x v="23"/>
    <n v="10"/>
    <x v="3"/>
    <x v="3"/>
    <x v="2"/>
    <s v="Dominique Perrier"/>
    <n v="4889"/>
    <s v="No"/>
    <x v="0"/>
  </r>
  <r>
    <n v="1489846"/>
    <n v="1501"/>
    <x v="0"/>
    <d v="2023-05-31T00:00:00"/>
    <x v="129"/>
    <n v="5"/>
    <x v="4"/>
    <x v="11"/>
    <x v="3"/>
    <s v="Martine Rance"/>
    <n v="1094"/>
    <s v="No"/>
    <x v="66"/>
  </r>
  <r>
    <n v="1490112"/>
    <n v="348"/>
    <x v="3"/>
    <d v="2023-08-26T00:00:00"/>
    <x v="130"/>
    <n v="8"/>
    <x v="1"/>
    <x v="8"/>
    <x v="0"/>
    <s v="Michael Frick"/>
    <n v="7429"/>
    <s v="No"/>
    <x v="57"/>
  </r>
  <r>
    <n v="1490458"/>
    <n v="1820"/>
    <x v="14"/>
    <d v="2023-04-04T00:00:00"/>
    <x v="95"/>
    <n v="4"/>
    <x v="2"/>
    <x v="1"/>
    <x v="1"/>
    <s v="Dominique Perrier"/>
    <n v="3873"/>
    <s v="No"/>
    <x v="37"/>
  </r>
  <r>
    <n v="1490598"/>
    <n v="1613"/>
    <x v="0"/>
    <d v="2023-09-15T00:00:00"/>
    <x v="97"/>
    <n v="9"/>
    <x v="0"/>
    <x v="10"/>
    <x v="2"/>
    <s v="Juri Yoshido"/>
    <n v="2270"/>
    <s v="No"/>
    <x v="37"/>
  </r>
  <r>
    <n v="1491354"/>
    <n v="1812"/>
    <x v="4"/>
    <d v="2023-10-26T00:00:00"/>
    <x v="131"/>
    <n v="10"/>
    <x v="3"/>
    <x v="3"/>
    <x v="3"/>
    <s v="Miguel Barajas"/>
    <n v="86"/>
    <s v="No"/>
    <x v="22"/>
  </r>
  <r>
    <n v="1491897"/>
    <n v="1955"/>
    <x v="4"/>
    <d v="2023-10-06T00:00:00"/>
    <x v="129"/>
    <n v="10"/>
    <x v="0"/>
    <x v="3"/>
    <x v="1"/>
    <s v="Marta Hernandez"/>
    <n v="9703"/>
    <s v="No"/>
    <x v="17"/>
  </r>
  <r>
    <n v="1492578"/>
    <n v="1234"/>
    <x v="0"/>
    <d v="2023-08-26T00:00:00"/>
    <x v="54"/>
    <n v="8"/>
    <x v="1"/>
    <x v="8"/>
    <x v="1"/>
    <s v="Matti Karttunen"/>
    <n v="3400"/>
    <s v="No"/>
    <x v="20"/>
  </r>
  <r>
    <n v="1493135"/>
    <n v="378"/>
    <x v="11"/>
    <d v="2023-08-08T00:00:00"/>
    <x v="27"/>
    <n v="8"/>
    <x v="2"/>
    <x v="8"/>
    <x v="1"/>
    <s v="Henriette Pfalzheim"/>
    <n v="8000"/>
    <s v="No"/>
    <x v="45"/>
  </r>
  <r>
    <n v="1494087"/>
    <n v="118"/>
    <x v="0"/>
    <d v="2023-04-23T00:00:00"/>
    <x v="109"/>
    <n v="4"/>
    <x v="6"/>
    <x v="1"/>
    <x v="2"/>
    <s v="Kee Kuo"/>
    <n v="6162"/>
    <s v="No"/>
    <x v="5"/>
  </r>
  <r>
    <n v="1494182"/>
    <n v="1512"/>
    <x v="13"/>
    <d v="2023-11-24T00:00:00"/>
    <x v="101"/>
    <n v="11"/>
    <x v="0"/>
    <x v="2"/>
    <x v="3"/>
    <s v="Rosa Hernandez"/>
    <n v="775"/>
    <s v="No"/>
    <x v="9"/>
  </r>
  <r>
    <n v="1494501"/>
    <n v="1519"/>
    <x v="4"/>
    <d v="2023-09-29T00:00:00"/>
    <x v="71"/>
    <n v="9"/>
    <x v="0"/>
    <x v="10"/>
    <x v="0"/>
    <s v="Paul Henriot"/>
    <n v="5248"/>
    <s v="No"/>
    <x v="1"/>
  </r>
  <r>
    <n v="1494544"/>
    <n v="651"/>
    <x v="0"/>
    <d v="2023-06-20T00:00:00"/>
    <x v="132"/>
    <n v="6"/>
    <x v="2"/>
    <x v="7"/>
    <x v="3"/>
    <s v="Diego Freyre"/>
    <n v="1370"/>
    <s v="No"/>
    <x v="57"/>
  </r>
  <r>
    <n v="1495611"/>
    <n v="1863"/>
    <x v="4"/>
    <d v="2023-10-19T00:00:00"/>
    <x v="56"/>
    <n v="10"/>
    <x v="3"/>
    <x v="3"/>
    <x v="3"/>
    <s v="Laurence Lebihan"/>
    <n v="3590"/>
    <s v="No"/>
    <x v="29"/>
  </r>
  <r>
    <n v="1496982"/>
    <n v="616"/>
    <x v="3"/>
    <d v="2023-07-02T00:00:00"/>
    <x v="130"/>
    <n v="7"/>
    <x v="6"/>
    <x v="6"/>
    <x v="2"/>
    <s v="Diego Freyre"/>
    <n v="4824"/>
    <s v="No"/>
    <x v="28"/>
  </r>
  <r>
    <n v="1497326"/>
    <n v="1050"/>
    <x v="3"/>
    <d v="2023-11-29T00:00:00"/>
    <x v="103"/>
    <n v="11"/>
    <x v="4"/>
    <x v="2"/>
    <x v="2"/>
    <s v="Valarie Nelson"/>
    <n v="1670"/>
    <s v="No"/>
    <x v="34"/>
  </r>
  <r>
    <n v="1498622"/>
    <n v="1094"/>
    <x v="1"/>
    <d v="2023-09-22T00:00:00"/>
    <x v="10"/>
    <n v="9"/>
    <x v="0"/>
    <x v="10"/>
    <x v="3"/>
    <s v="Elizabeth Devon"/>
    <n v="6659"/>
    <s v="No"/>
    <x v="50"/>
  </r>
  <r>
    <n v="1499914"/>
    <n v="684"/>
    <x v="10"/>
    <d v="2023-02-07T00:00:00"/>
    <x v="119"/>
    <n v="2"/>
    <x v="2"/>
    <x v="5"/>
    <x v="1"/>
    <s v="Diego Freyre"/>
    <n v="7716"/>
    <s v="No"/>
    <x v="51"/>
  </r>
  <r>
    <n v="1500165"/>
    <n v="979"/>
    <x v="6"/>
    <d v="2023-05-15T00:00:00"/>
    <x v="69"/>
    <n v="5"/>
    <x v="5"/>
    <x v="11"/>
    <x v="1"/>
    <s v="Marie Bertrand"/>
    <n v="3867"/>
    <s v="No"/>
    <x v="59"/>
  </r>
  <r>
    <n v="1500373"/>
    <n v="746"/>
    <x v="0"/>
    <d v="2023-04-19T00:00:00"/>
    <x v="133"/>
    <n v="4"/>
    <x v="4"/>
    <x v="1"/>
    <x v="1"/>
    <s v="Jeff Young"/>
    <n v="1017"/>
    <s v="No"/>
    <x v="21"/>
  </r>
  <r>
    <n v="1500639"/>
    <n v="298"/>
    <x v="4"/>
    <d v="2023-06-22T00:00:00"/>
    <x v="44"/>
    <n v="6"/>
    <x v="3"/>
    <x v="7"/>
    <x v="2"/>
    <s v="Kalle Suominen"/>
    <n v="611"/>
    <s v="No"/>
    <x v="6"/>
  </r>
  <r>
    <n v="1501027"/>
    <n v="1645"/>
    <x v="6"/>
    <d v="2023-07-06T00:00:00"/>
    <x v="108"/>
    <n v="7"/>
    <x v="3"/>
    <x v="6"/>
    <x v="1"/>
    <s v="Pirkko Koskitalo"/>
    <n v="7105"/>
    <s v="No"/>
    <x v="46"/>
  </r>
  <r>
    <n v="1502119"/>
    <n v="214"/>
    <x v="0"/>
    <d v="2023-09-23T00:00:00"/>
    <x v="134"/>
    <n v="9"/>
    <x v="1"/>
    <x v="10"/>
    <x v="3"/>
    <s v="Eric Natividad"/>
    <n v="8968"/>
    <s v="No"/>
    <x v="65"/>
  </r>
  <r>
    <n v="1502209"/>
    <n v="1512"/>
    <x v="13"/>
    <d v="2023-02-27T00:00:00"/>
    <x v="135"/>
    <n v="2"/>
    <x v="5"/>
    <x v="5"/>
    <x v="2"/>
    <s v="Ann Brown"/>
    <n v="9349"/>
    <s v="No"/>
    <x v="9"/>
  </r>
  <r>
    <n v="1503185"/>
    <n v="738"/>
    <x v="3"/>
    <d v="2023-08-02T00:00:00"/>
    <x v="21"/>
    <n v="8"/>
    <x v="4"/>
    <x v="8"/>
    <x v="1"/>
    <s v="Jose Pedro Roel"/>
    <n v="7706"/>
    <s v="No"/>
    <x v="5"/>
  </r>
  <r>
    <n v="1503619"/>
    <n v="621"/>
    <x v="0"/>
    <d v="2023-01-17T00:00:00"/>
    <x v="73"/>
    <n v="1"/>
    <x v="2"/>
    <x v="9"/>
    <x v="0"/>
    <s v="Steve Frick"/>
    <n v="4436"/>
    <s v="No"/>
    <x v="63"/>
  </r>
  <r>
    <n v="1503941"/>
    <n v="1910"/>
    <x v="3"/>
    <d v="2023-11-14T00:00:00"/>
    <x v="23"/>
    <n v="11"/>
    <x v="2"/>
    <x v="2"/>
    <x v="1"/>
    <s v="Valarie Franco"/>
    <n v="4898"/>
    <s v="No"/>
    <x v="66"/>
  </r>
  <r>
    <n v="1506022"/>
    <n v="949"/>
    <x v="8"/>
    <d v="2023-01-06T00:00:00"/>
    <x v="50"/>
    <n v="1"/>
    <x v="0"/>
    <x v="9"/>
    <x v="1"/>
    <s v="Sue Taylor"/>
    <n v="8624"/>
    <s v="No"/>
    <x v="37"/>
  </r>
  <r>
    <n v="1506385"/>
    <n v="294"/>
    <x v="3"/>
    <d v="2023-12-08T00:00:00"/>
    <x v="136"/>
    <n v="12"/>
    <x v="0"/>
    <x v="0"/>
    <x v="0"/>
    <s v="Valarie Nelson"/>
    <n v="5490"/>
    <s v="No"/>
    <x v="35"/>
  </r>
  <r>
    <n v="1507608"/>
    <n v="1886"/>
    <x v="6"/>
    <d v="2023-05-31T00:00:00"/>
    <x v="121"/>
    <n v="5"/>
    <x v="4"/>
    <x v="11"/>
    <x v="1"/>
    <s v="Diego Freyre"/>
    <n v="8078"/>
    <s v="No"/>
    <x v="9"/>
  </r>
  <r>
    <n v="1508121"/>
    <n v="1786"/>
    <x v="5"/>
    <d v="2023-04-22T00:00:00"/>
    <x v="28"/>
    <n v="4"/>
    <x v="1"/>
    <x v="1"/>
    <x v="1"/>
    <s v="Wendy Victorino"/>
    <n v="4650"/>
    <s v="No"/>
    <x v="61"/>
  </r>
  <r>
    <n v="1508428"/>
    <n v="1815"/>
    <x v="9"/>
    <d v="2023-03-30T00:00:00"/>
    <x v="88"/>
    <n v="3"/>
    <x v="3"/>
    <x v="4"/>
    <x v="0"/>
    <s v="Valarie Nelson"/>
    <n v="5995"/>
    <s v="No"/>
    <x v="64"/>
  </r>
  <r>
    <n v="1508568"/>
    <n v="979"/>
    <x v="6"/>
    <d v="2023-12-24T00:00:00"/>
    <x v="35"/>
    <n v="12"/>
    <x v="6"/>
    <x v="0"/>
    <x v="0"/>
    <s v="Kyung Yu"/>
    <n v="3218"/>
    <s v="No"/>
    <x v="59"/>
  </r>
  <r>
    <n v="1508707"/>
    <n v="376"/>
    <x v="1"/>
    <d v="2023-02-07T00:00:00"/>
    <x v="137"/>
    <n v="2"/>
    <x v="2"/>
    <x v="5"/>
    <x v="3"/>
    <s v="Kwai Yu"/>
    <n v="8491"/>
    <s v="No"/>
    <x v="20"/>
  </r>
  <r>
    <n v="1508738"/>
    <n v="1408"/>
    <x v="0"/>
    <d v="2023-08-26T00:00:00"/>
    <x v="0"/>
    <n v="8"/>
    <x v="1"/>
    <x v="8"/>
    <x v="0"/>
    <s v="Marta Hernandez"/>
    <n v="8503"/>
    <s v="No"/>
    <x v="17"/>
  </r>
  <r>
    <n v="1509554"/>
    <n v="610"/>
    <x v="3"/>
    <d v="2023-04-16T00:00:00"/>
    <x v="21"/>
    <n v="4"/>
    <x v="6"/>
    <x v="1"/>
    <x v="3"/>
    <s v="Yoshi Tannamuri"/>
    <n v="4098"/>
    <s v="No"/>
    <x v="14"/>
  </r>
  <r>
    <n v="1509587"/>
    <n v="822"/>
    <x v="0"/>
    <d v="2023-12-08T00:00:00"/>
    <x v="61"/>
    <n v="12"/>
    <x v="0"/>
    <x v="0"/>
    <x v="1"/>
    <s v="Jonas Bergulfsen"/>
    <n v="43"/>
    <s v="No"/>
    <x v="65"/>
  </r>
  <r>
    <n v="1509701"/>
    <n v="1109"/>
    <x v="1"/>
    <d v="2023-10-27T00:00:00"/>
    <x v="67"/>
    <n v="10"/>
    <x v="0"/>
    <x v="3"/>
    <x v="0"/>
    <s v="Valarie Nelson"/>
    <n v="1460"/>
    <s v="No"/>
    <x v="46"/>
  </r>
  <r>
    <n v="1512442"/>
    <n v="1243"/>
    <x v="4"/>
    <d v="2023-06-18T00:00:00"/>
    <x v="67"/>
    <n v="6"/>
    <x v="6"/>
    <x v="7"/>
    <x v="3"/>
    <s v="Jeff Young"/>
    <n v="7379"/>
    <s v="No"/>
    <x v="32"/>
  </r>
  <r>
    <n v="1512481"/>
    <n v="1560"/>
    <x v="5"/>
    <d v="2023-02-06T00:00:00"/>
    <x v="73"/>
    <n v="2"/>
    <x v="5"/>
    <x v="5"/>
    <x v="0"/>
    <s v="Paul Henriot"/>
    <n v="1363"/>
    <s v="No"/>
    <x v="40"/>
  </r>
  <r>
    <n v="1513008"/>
    <n v="1980"/>
    <x v="11"/>
    <d v="2023-07-26T00:00:00"/>
    <x v="42"/>
    <n v="7"/>
    <x v="4"/>
    <x v="6"/>
    <x v="3"/>
    <s v="Valarie Nelson"/>
    <n v="4837"/>
    <s v="No"/>
    <x v="56"/>
  </r>
  <r>
    <n v="1513475"/>
    <n v="375"/>
    <x v="6"/>
    <d v="2023-06-02T00:00:00"/>
    <x v="0"/>
    <n v="6"/>
    <x v="0"/>
    <x v="7"/>
    <x v="3"/>
    <s v="Diego Freyre"/>
    <n v="7352"/>
    <s v="No"/>
    <x v="23"/>
  </r>
  <r>
    <n v="1513796"/>
    <n v="218"/>
    <x v="3"/>
    <d v="2023-06-23T00:00:00"/>
    <x v="138"/>
    <n v="6"/>
    <x v="0"/>
    <x v="7"/>
    <x v="0"/>
    <s v="Diego Freyre"/>
    <n v="520"/>
    <s v="No"/>
    <x v="6"/>
  </r>
  <r>
    <n v="1513980"/>
    <n v="1164"/>
    <x v="0"/>
    <d v="2023-02-14T00:00:00"/>
    <x v="38"/>
    <n v="2"/>
    <x v="2"/>
    <x v="5"/>
    <x v="2"/>
    <s v="Diego Freyre"/>
    <n v="5236"/>
    <s v="No"/>
    <x v="42"/>
  </r>
  <r>
    <n v="1514182"/>
    <n v="992"/>
    <x v="0"/>
    <d v="2023-01-14T00:00:00"/>
    <x v="139"/>
    <n v="1"/>
    <x v="1"/>
    <x v="9"/>
    <x v="3"/>
    <s v="Janine Labrune"/>
    <n v="4187"/>
    <s v="No"/>
    <x v="66"/>
  </r>
  <r>
    <n v="1515579"/>
    <n v="982"/>
    <x v="0"/>
    <d v="2023-05-06T00:00:00"/>
    <x v="93"/>
    <n v="5"/>
    <x v="1"/>
    <x v="11"/>
    <x v="3"/>
    <s v="Diego Freyre"/>
    <n v="811"/>
    <s v="No"/>
    <x v="31"/>
  </r>
  <r>
    <n v="1516849"/>
    <n v="108"/>
    <x v="4"/>
    <d v="2023-06-03T00:00:00"/>
    <x v="54"/>
    <n v="6"/>
    <x v="1"/>
    <x v="7"/>
    <x v="3"/>
    <s v="Pascale Cartrain"/>
    <n v="5536"/>
    <s v="No"/>
    <x v="42"/>
  </r>
  <r>
    <n v="1516974"/>
    <n v="136"/>
    <x v="0"/>
    <d v="2023-05-11T00:00:00"/>
    <x v="44"/>
    <n v="5"/>
    <x v="3"/>
    <x v="11"/>
    <x v="0"/>
    <s v="Jeff Young"/>
    <n v="1042"/>
    <s v="No"/>
    <x v="40"/>
  </r>
  <r>
    <n v="1519463"/>
    <n v="266"/>
    <x v="0"/>
    <d v="2023-01-10T00:00:00"/>
    <x v="134"/>
    <n v="1"/>
    <x v="2"/>
    <x v="9"/>
    <x v="1"/>
    <s v="Valarie Nelson"/>
    <n v="5361"/>
    <s v="No"/>
    <x v="2"/>
  </r>
  <r>
    <n v="1520253"/>
    <n v="1775"/>
    <x v="0"/>
    <d v="2023-09-23T00:00:00"/>
    <x v="94"/>
    <n v="9"/>
    <x v="1"/>
    <x v="10"/>
    <x v="2"/>
    <s v="Tony Calaghan"/>
    <n v="429"/>
    <s v="No"/>
    <x v="53"/>
  </r>
  <r>
    <n v="1521124"/>
    <n v="1828"/>
    <x v="10"/>
    <d v="2023-03-28T00:00:00"/>
    <x v="102"/>
    <n v="3"/>
    <x v="2"/>
    <x v="4"/>
    <x v="1"/>
    <s v="Eric Natividad"/>
    <n v="8408"/>
    <s v="No"/>
    <x v="66"/>
  </r>
  <r>
    <n v="1521957"/>
    <n v="347"/>
    <x v="13"/>
    <d v="2023-11-06T00:00:00"/>
    <x v="140"/>
    <n v="11"/>
    <x v="5"/>
    <x v="2"/>
    <x v="0"/>
    <s v="Maurizio Moroni"/>
    <n v="2198"/>
    <s v="No"/>
    <x v="0"/>
  </r>
  <r>
    <n v="1522932"/>
    <n v="1737"/>
    <x v="5"/>
    <d v="2023-11-08T00:00:00"/>
    <x v="85"/>
    <n v="11"/>
    <x v="4"/>
    <x v="2"/>
    <x v="3"/>
    <s v="Jose Pedro Roel"/>
    <n v="2633"/>
    <s v="No"/>
    <x v="52"/>
  </r>
  <r>
    <n v="1524093"/>
    <n v="104"/>
    <x v="6"/>
    <d v="2023-10-17T00:00:00"/>
    <x v="27"/>
    <n v="10"/>
    <x v="2"/>
    <x v="3"/>
    <x v="2"/>
    <s v="Steve Frick"/>
    <n v="6754"/>
    <s v="No"/>
    <x v="7"/>
  </r>
  <r>
    <n v="1524999"/>
    <n v="333"/>
    <x v="7"/>
    <d v="2023-01-17T00:00:00"/>
    <x v="141"/>
    <n v="1"/>
    <x v="2"/>
    <x v="9"/>
    <x v="0"/>
    <s v="Valarie Franco"/>
    <n v="1766"/>
    <s v="No"/>
    <x v="64"/>
  </r>
  <r>
    <n v="1525718"/>
    <n v="255"/>
    <x v="2"/>
    <d v="2023-08-23T00:00:00"/>
    <x v="142"/>
    <n v="8"/>
    <x v="4"/>
    <x v="8"/>
    <x v="1"/>
    <s v="Dean Cassidy"/>
    <n v="1434"/>
    <s v="No"/>
    <x v="14"/>
  </r>
  <r>
    <n v="1526107"/>
    <n v="1781"/>
    <x v="13"/>
    <d v="2023-05-05T00:00:00"/>
    <x v="106"/>
    <n v="5"/>
    <x v="0"/>
    <x v="11"/>
    <x v="2"/>
    <s v="Roland Keitel"/>
    <n v="399"/>
    <s v="No"/>
    <x v="3"/>
  </r>
  <r>
    <n v="1526749"/>
    <n v="1926"/>
    <x v="4"/>
    <d v="2023-08-13T00:00:00"/>
    <x v="51"/>
    <n v="8"/>
    <x v="6"/>
    <x v="8"/>
    <x v="3"/>
    <s v="Kalle Suominen"/>
    <n v="7714"/>
    <s v="No"/>
    <x v="32"/>
  </r>
  <r>
    <n v="1527612"/>
    <n v="1654"/>
    <x v="0"/>
    <d v="2023-10-17T00:00:00"/>
    <x v="55"/>
    <n v="10"/>
    <x v="2"/>
    <x v="3"/>
    <x v="0"/>
    <s v="Kyung Yu"/>
    <n v="1813"/>
    <s v="No"/>
    <x v="72"/>
  </r>
  <r>
    <n v="1528079"/>
    <n v="150"/>
    <x v="0"/>
    <d v="2023-12-13T00:00:00"/>
    <x v="48"/>
    <n v="12"/>
    <x v="4"/>
    <x v="0"/>
    <x v="0"/>
    <s v="Valarie Nelson"/>
    <n v="8608"/>
    <s v="No"/>
    <x v="34"/>
  </r>
  <r>
    <n v="1528540"/>
    <n v="913"/>
    <x v="0"/>
    <d v="2023-02-03T00:00:00"/>
    <x v="143"/>
    <n v="2"/>
    <x v="0"/>
    <x v="5"/>
    <x v="1"/>
    <s v="Kwai Yu"/>
    <n v="9004"/>
    <s v="No"/>
    <x v="9"/>
  </r>
  <r>
    <n v="1529840"/>
    <n v="1794"/>
    <x v="6"/>
    <d v="2023-03-03T00:00:00"/>
    <x v="53"/>
    <n v="3"/>
    <x v="0"/>
    <x v="4"/>
    <x v="1"/>
    <s v="Victoria Ashworth"/>
    <n v="1054"/>
    <s v="No"/>
    <x v="10"/>
  </r>
  <r>
    <n v="1530454"/>
    <n v="499"/>
    <x v="6"/>
    <d v="2023-04-27T00:00:00"/>
    <x v="144"/>
    <n v="4"/>
    <x v="3"/>
    <x v="1"/>
    <x v="2"/>
    <s v="Palle Ibsen"/>
    <n v="7456"/>
    <s v="No"/>
    <x v="20"/>
  </r>
  <r>
    <n v="1532546"/>
    <n v="1032"/>
    <x v="3"/>
    <d v="2023-11-15T00:00:00"/>
    <x v="67"/>
    <n v="11"/>
    <x v="4"/>
    <x v="2"/>
    <x v="3"/>
    <s v="Jonas Bergulfsen"/>
    <n v="5274"/>
    <s v="No"/>
    <x v="29"/>
  </r>
  <r>
    <n v="1532610"/>
    <n v="1871"/>
    <x v="2"/>
    <d v="2023-08-21T00:00:00"/>
    <x v="72"/>
    <n v="8"/>
    <x v="5"/>
    <x v="8"/>
    <x v="1"/>
    <s v="Marie Bertrand"/>
    <n v="8644"/>
    <s v="No"/>
    <x v="22"/>
  </r>
  <r>
    <n v="1534392"/>
    <n v="112"/>
    <x v="0"/>
    <d v="2023-01-26T00:00:00"/>
    <x v="114"/>
    <n v="1"/>
    <x v="3"/>
    <x v="9"/>
    <x v="2"/>
    <s v="Diego Freyre"/>
    <n v="2347"/>
    <s v="No"/>
    <x v="41"/>
  </r>
  <r>
    <n v="1535140"/>
    <n v="548"/>
    <x v="0"/>
    <d v="2023-05-25T00:00:00"/>
    <x v="28"/>
    <n v="5"/>
    <x v="3"/>
    <x v="11"/>
    <x v="0"/>
    <s v="Paul Henriot"/>
    <n v="5570"/>
    <s v="No"/>
    <x v="68"/>
  </r>
  <r>
    <n v="1536418"/>
    <n v="760"/>
    <x v="1"/>
    <d v="2023-06-06T00:00:00"/>
    <x v="145"/>
    <n v="6"/>
    <x v="2"/>
    <x v="7"/>
    <x v="2"/>
    <s v="Valarie Nelson"/>
    <n v="5883"/>
    <s v="No"/>
    <x v="13"/>
  </r>
  <r>
    <n v="1536698"/>
    <n v="127"/>
    <x v="13"/>
    <d v="2023-11-10T00:00:00"/>
    <x v="131"/>
    <n v="11"/>
    <x v="0"/>
    <x v="2"/>
    <x v="1"/>
    <s v="Diego Freyre"/>
    <n v="2350"/>
    <s v="No"/>
    <x v="56"/>
  </r>
  <r>
    <n v="1536890"/>
    <n v="1364"/>
    <x v="3"/>
    <d v="2023-08-16T00:00:00"/>
    <x v="142"/>
    <n v="8"/>
    <x v="4"/>
    <x v="8"/>
    <x v="3"/>
    <s v="Diego Freyre"/>
    <n v="7711"/>
    <s v="No"/>
    <x v="43"/>
  </r>
  <r>
    <n v="1536982"/>
    <n v="742"/>
    <x v="0"/>
    <d v="2023-04-02T00:00:00"/>
    <x v="19"/>
    <n v="4"/>
    <x v="6"/>
    <x v="1"/>
    <x v="0"/>
    <s v="Julie King"/>
    <n v="5486"/>
    <s v="No"/>
    <x v="42"/>
  </r>
  <r>
    <n v="1538322"/>
    <n v="1752"/>
    <x v="6"/>
    <d v="2023-10-20T00:00:00"/>
    <x v="146"/>
    <n v="10"/>
    <x v="0"/>
    <x v="3"/>
    <x v="2"/>
    <s v="Jonas Bergulfsen"/>
    <n v="6645"/>
    <s v="No"/>
    <x v="63"/>
  </r>
  <r>
    <n v="1538360"/>
    <n v="1824"/>
    <x v="0"/>
    <d v="2023-02-03T00:00:00"/>
    <x v="144"/>
    <n v="2"/>
    <x v="0"/>
    <x v="5"/>
    <x v="1"/>
    <s v="Valarie Nelson"/>
    <n v="4448"/>
    <s v="No"/>
    <x v="31"/>
  </r>
  <r>
    <n v="1541893"/>
    <n v="1860"/>
    <x v="4"/>
    <d v="2023-01-30T00:00:00"/>
    <x v="1"/>
    <n v="1"/>
    <x v="5"/>
    <x v="9"/>
    <x v="2"/>
    <s v="Mart¡n Sommer"/>
    <n v="1027"/>
    <s v="No"/>
    <x v="57"/>
  </r>
  <r>
    <n v="1542275"/>
    <n v="1647"/>
    <x v="0"/>
    <d v="2023-08-27T00:00:00"/>
    <x v="118"/>
    <n v="8"/>
    <x v="6"/>
    <x v="8"/>
    <x v="1"/>
    <s v="Juri Hirano"/>
    <n v="8992"/>
    <s v="No"/>
    <x v="13"/>
  </r>
  <r>
    <n v="1542373"/>
    <n v="1267"/>
    <x v="2"/>
    <d v="2023-05-13T00:00:00"/>
    <x v="51"/>
    <n v="5"/>
    <x v="1"/>
    <x v="11"/>
    <x v="1"/>
    <s v="Eric Natividad"/>
    <n v="3468"/>
    <s v="No"/>
    <x v="14"/>
  </r>
  <r>
    <n v="1543099"/>
    <n v="1489"/>
    <x v="4"/>
    <d v="2023-02-17T00:00:00"/>
    <x v="147"/>
    <n v="2"/>
    <x v="0"/>
    <x v="5"/>
    <x v="1"/>
    <s v="Roland Mendel"/>
    <n v="5530"/>
    <s v="No"/>
    <x v="7"/>
  </r>
  <r>
    <n v="1543135"/>
    <n v="647"/>
    <x v="6"/>
    <d v="2023-06-07T00:00:00"/>
    <x v="121"/>
    <n v="6"/>
    <x v="4"/>
    <x v="7"/>
    <x v="3"/>
    <s v="Ann Brown"/>
    <n v="9026"/>
    <s v="No"/>
    <x v="15"/>
  </r>
  <r>
    <n v="1543232"/>
    <n v="871"/>
    <x v="2"/>
    <d v="2023-06-26T00:00:00"/>
    <x v="148"/>
    <n v="6"/>
    <x v="5"/>
    <x v="7"/>
    <x v="2"/>
    <s v="Francisca Cervantes"/>
    <n v="2237"/>
    <s v="No"/>
    <x v="15"/>
  </r>
  <r>
    <n v="1543526"/>
    <n v="1554"/>
    <x v="7"/>
    <d v="2023-06-24T00:00:00"/>
    <x v="149"/>
    <n v="6"/>
    <x v="1"/>
    <x v="7"/>
    <x v="2"/>
    <s v="Mary Saveley"/>
    <n v="9175"/>
    <s v="No"/>
    <x v="44"/>
  </r>
  <r>
    <n v="1544633"/>
    <n v="714"/>
    <x v="0"/>
    <d v="2023-08-19T00:00:00"/>
    <x v="92"/>
    <n v="8"/>
    <x v="1"/>
    <x v="8"/>
    <x v="0"/>
    <s v="Yoshi Tannamuri"/>
    <n v="347"/>
    <s v="No"/>
    <x v="5"/>
  </r>
  <r>
    <n v="1545246"/>
    <n v="1069"/>
    <x v="6"/>
    <d v="2023-02-27T00:00:00"/>
    <x v="32"/>
    <n v="2"/>
    <x v="5"/>
    <x v="5"/>
    <x v="2"/>
    <s v="Wendy Victorino"/>
    <n v="5132"/>
    <s v="No"/>
    <x v="16"/>
  </r>
  <r>
    <n v="1546512"/>
    <n v="33"/>
    <x v="4"/>
    <d v="2023-12-24T00:00:00"/>
    <x v="150"/>
    <n v="12"/>
    <x v="6"/>
    <x v="0"/>
    <x v="0"/>
    <s v="Valarie Nelson"/>
    <n v="9521"/>
    <s v="No"/>
    <x v="62"/>
  </r>
  <r>
    <n v="1546802"/>
    <n v="1394"/>
    <x v="0"/>
    <d v="2023-09-01T00:00:00"/>
    <x v="151"/>
    <n v="9"/>
    <x v="0"/>
    <x v="10"/>
    <x v="2"/>
    <s v="Leslie Murphy"/>
    <n v="8149"/>
    <s v="No"/>
    <x v="30"/>
  </r>
  <r>
    <n v="1547057"/>
    <n v="18"/>
    <x v="0"/>
    <d v="2023-05-14T00:00:00"/>
    <x v="85"/>
    <n v="5"/>
    <x v="6"/>
    <x v="11"/>
    <x v="0"/>
    <s v="Akiko Shimamura"/>
    <n v="9727"/>
    <s v="No"/>
    <x v="67"/>
  </r>
  <r>
    <n v="1548032"/>
    <n v="1733"/>
    <x v="2"/>
    <d v="2023-10-17T00:00:00"/>
    <x v="83"/>
    <n v="10"/>
    <x v="2"/>
    <x v="3"/>
    <x v="1"/>
    <s v="Adrian Huxley"/>
    <n v="3053"/>
    <s v="No"/>
    <x v="24"/>
  </r>
  <r>
    <n v="1548655"/>
    <n v="327"/>
    <x v="1"/>
    <d v="2023-08-21T00:00:00"/>
    <x v="77"/>
    <n v="8"/>
    <x v="5"/>
    <x v="8"/>
    <x v="2"/>
    <s v="Kyung Yu"/>
    <n v="8582"/>
    <s v="No"/>
    <x v="24"/>
  </r>
  <r>
    <n v="1548735"/>
    <n v="90"/>
    <x v="0"/>
    <d v="2023-08-02T00:00:00"/>
    <x v="27"/>
    <n v="8"/>
    <x v="4"/>
    <x v="8"/>
    <x v="1"/>
    <s v="Maria Larsson"/>
    <n v="1069"/>
    <s v="No"/>
    <x v="68"/>
  </r>
  <r>
    <n v="1549353"/>
    <n v="1603"/>
    <x v="0"/>
    <d v="2023-09-13T00:00:00"/>
    <x v="124"/>
    <n v="9"/>
    <x v="4"/>
    <x v="10"/>
    <x v="2"/>
    <s v="Daniel Tonini"/>
    <n v="2101"/>
    <s v="No"/>
    <x v="38"/>
  </r>
  <r>
    <n v="1550005"/>
    <n v="1984"/>
    <x v="6"/>
    <d v="2023-03-17T00:00:00"/>
    <x v="44"/>
    <n v="3"/>
    <x v="0"/>
    <x v="4"/>
    <x v="2"/>
    <s v="Yoshi Tannamuri"/>
    <n v="2075"/>
    <s v="No"/>
    <x v="23"/>
  </r>
  <r>
    <n v="1550154"/>
    <n v="1589"/>
    <x v="0"/>
    <d v="2023-05-14T00:00:00"/>
    <x v="59"/>
    <n v="5"/>
    <x v="6"/>
    <x v="11"/>
    <x v="2"/>
    <s v="Michael Frick"/>
    <n v="3729"/>
    <s v="No"/>
    <x v="1"/>
  </r>
  <r>
    <n v="1550175"/>
    <n v="308"/>
    <x v="4"/>
    <d v="2023-03-03T00:00:00"/>
    <x v="101"/>
    <n v="3"/>
    <x v="0"/>
    <x v="4"/>
    <x v="2"/>
    <s v="Julie Murphy"/>
    <n v="6486"/>
    <s v="No"/>
    <x v="28"/>
  </r>
  <r>
    <n v="1551349"/>
    <n v="694"/>
    <x v="10"/>
    <d v="2023-10-28T00:00:00"/>
    <x v="32"/>
    <n v="10"/>
    <x v="1"/>
    <x v="3"/>
    <x v="3"/>
    <s v="Mart¡n Sommer"/>
    <n v="9059"/>
    <s v="No"/>
    <x v="40"/>
  </r>
  <r>
    <n v="1551563"/>
    <n v="394"/>
    <x v="1"/>
    <d v="2023-12-07T00:00:00"/>
    <x v="152"/>
    <n v="12"/>
    <x v="3"/>
    <x v="0"/>
    <x v="1"/>
    <s v="Diego Freyre"/>
    <n v="932"/>
    <s v="No"/>
    <x v="48"/>
  </r>
  <r>
    <n v="1552540"/>
    <n v="1457"/>
    <x v="6"/>
    <d v="2023-08-23T00:00:00"/>
    <x v="153"/>
    <n v="8"/>
    <x v="4"/>
    <x v="8"/>
    <x v="0"/>
    <s v="Anna O'Hara"/>
    <n v="9266"/>
    <s v="No"/>
    <x v="22"/>
  </r>
  <r>
    <n v="1553612"/>
    <n v="1628"/>
    <x v="0"/>
    <d v="2023-05-09T00:00:00"/>
    <x v="61"/>
    <n v="5"/>
    <x v="2"/>
    <x v="11"/>
    <x v="2"/>
    <s v="Valarie Nelson"/>
    <n v="6089"/>
    <s v="No"/>
    <x v="33"/>
  </r>
  <r>
    <n v="1553858"/>
    <n v="699"/>
    <x v="0"/>
    <d v="2023-08-31T00:00:00"/>
    <x v="84"/>
    <n v="8"/>
    <x v="3"/>
    <x v="8"/>
    <x v="3"/>
    <s v="Jean Fresnisre"/>
    <n v="7598"/>
    <s v="No"/>
    <x v="17"/>
  </r>
  <r>
    <n v="1555572"/>
    <n v="1665"/>
    <x v="11"/>
    <d v="2023-03-21T00:00:00"/>
    <x v="130"/>
    <n v="3"/>
    <x v="2"/>
    <x v="4"/>
    <x v="3"/>
    <s v="Diego Freyre"/>
    <n v="1259"/>
    <s v="No"/>
    <x v="11"/>
  </r>
  <r>
    <n v="1556551"/>
    <n v="556"/>
    <x v="3"/>
    <d v="2023-04-11T00:00:00"/>
    <x v="67"/>
    <n v="4"/>
    <x v="2"/>
    <x v="1"/>
    <x v="3"/>
    <s v="Giovanni Rovelli"/>
    <n v="4482"/>
    <s v="No"/>
    <x v="54"/>
  </r>
  <r>
    <n v="1557337"/>
    <n v="508"/>
    <x v="11"/>
    <d v="2023-01-31T00:00:00"/>
    <x v="35"/>
    <n v="1"/>
    <x v="2"/>
    <x v="9"/>
    <x v="3"/>
    <s v="Peter Ferguson"/>
    <n v="4679"/>
    <s v="No"/>
    <x v="48"/>
  </r>
  <r>
    <n v="1558722"/>
    <n v="623"/>
    <x v="1"/>
    <d v="2023-07-27T00:00:00"/>
    <x v="109"/>
    <n v="7"/>
    <x v="3"/>
    <x v="6"/>
    <x v="2"/>
    <s v="Diego Freyre"/>
    <n v="1232"/>
    <s v="No"/>
    <x v="16"/>
  </r>
  <r>
    <n v="1558773"/>
    <n v="1230"/>
    <x v="4"/>
    <d v="2023-08-05T00:00:00"/>
    <x v="42"/>
    <n v="8"/>
    <x v="1"/>
    <x v="8"/>
    <x v="2"/>
    <s v="Pascale Cartrain"/>
    <n v="5890"/>
    <s v="No"/>
    <x v="16"/>
  </r>
  <r>
    <n v="1558851"/>
    <n v="431"/>
    <x v="1"/>
    <d v="2023-12-28T00:00:00"/>
    <x v="154"/>
    <n v="12"/>
    <x v="3"/>
    <x v="0"/>
    <x v="2"/>
    <s v="Juri Hirano"/>
    <n v="3075"/>
    <s v="No"/>
    <x v="6"/>
  </r>
  <r>
    <n v="1558891"/>
    <n v="1358"/>
    <x v="6"/>
    <d v="2023-01-22T00:00:00"/>
    <x v="39"/>
    <n v="1"/>
    <x v="6"/>
    <x v="9"/>
    <x v="0"/>
    <s v="Mory Kentary"/>
    <n v="9227"/>
    <s v="No"/>
    <x v="52"/>
  </r>
  <r>
    <n v="1560730"/>
    <n v="1689"/>
    <x v="6"/>
    <d v="2023-06-29T00:00:00"/>
    <x v="21"/>
    <n v="6"/>
    <x v="3"/>
    <x v="7"/>
    <x v="1"/>
    <s v="Peter Ferguson"/>
    <n v="9570"/>
    <s v="No"/>
    <x v="63"/>
  </r>
  <r>
    <n v="1561328"/>
    <n v="1031"/>
    <x v="6"/>
    <d v="2023-10-30T00:00:00"/>
    <x v="43"/>
    <n v="10"/>
    <x v="5"/>
    <x v="3"/>
    <x v="1"/>
    <s v="Elizabeth Lincoln"/>
    <n v="2619"/>
    <s v="No"/>
    <x v="28"/>
  </r>
  <r>
    <n v="1561588"/>
    <n v="237"/>
    <x v="3"/>
    <d v="2023-08-24T00:00:00"/>
    <x v="140"/>
    <n v="8"/>
    <x v="3"/>
    <x v="8"/>
    <x v="0"/>
    <s v="Sue Frick"/>
    <n v="7424"/>
    <s v="No"/>
    <x v="56"/>
  </r>
  <r>
    <n v="1562667"/>
    <n v="984"/>
    <x v="3"/>
    <d v="2023-07-06T00:00:00"/>
    <x v="155"/>
    <n v="7"/>
    <x v="3"/>
    <x v="6"/>
    <x v="0"/>
    <s v="Diego Freyre"/>
    <n v="424"/>
    <s v="No"/>
    <x v="19"/>
  </r>
  <r>
    <n v="1562703"/>
    <n v="347"/>
    <x v="13"/>
    <d v="2023-09-14T00:00:00"/>
    <x v="148"/>
    <n v="9"/>
    <x v="3"/>
    <x v="10"/>
    <x v="1"/>
    <s v="Janine Labrune"/>
    <n v="1845"/>
    <s v="No"/>
    <x v="0"/>
  </r>
  <r>
    <n v="1562821"/>
    <n v="917"/>
    <x v="8"/>
    <d v="2023-06-13T00:00:00"/>
    <x v="10"/>
    <n v="6"/>
    <x v="2"/>
    <x v="7"/>
    <x v="1"/>
    <s v="Jan Klaeboe"/>
    <n v="5545"/>
    <s v="No"/>
    <x v="10"/>
  </r>
  <r>
    <n v="1563544"/>
    <n v="1905"/>
    <x v="4"/>
    <d v="2023-11-12T00:00:00"/>
    <x v="156"/>
    <n v="11"/>
    <x v="6"/>
    <x v="2"/>
    <x v="2"/>
    <s v="Dean Cassidy"/>
    <n v="4596"/>
    <s v="No"/>
    <x v="68"/>
  </r>
  <r>
    <n v="1563696"/>
    <n v="1079"/>
    <x v="1"/>
    <d v="2023-04-17T00:00:00"/>
    <x v="101"/>
    <n v="4"/>
    <x v="5"/>
    <x v="1"/>
    <x v="2"/>
    <s v="Steve Frick"/>
    <n v="2297"/>
    <s v="No"/>
    <x v="3"/>
  </r>
  <r>
    <n v="1564030"/>
    <n v="1844"/>
    <x v="5"/>
    <d v="2023-12-30T00:00:00"/>
    <x v="126"/>
    <n v="12"/>
    <x v="1"/>
    <x v="0"/>
    <x v="0"/>
    <s v="Helen Bennett"/>
    <n v="9452"/>
    <s v="No"/>
    <x v="51"/>
  </r>
  <r>
    <n v="1564843"/>
    <n v="1271"/>
    <x v="3"/>
    <d v="2023-02-16T00:00:00"/>
    <x v="102"/>
    <n v="2"/>
    <x v="3"/>
    <x v="5"/>
    <x v="0"/>
    <s v="Giovanni Rovelli"/>
    <n v="2114"/>
    <s v="No"/>
    <x v="64"/>
  </r>
  <r>
    <n v="1564926"/>
    <n v="1519"/>
    <x v="4"/>
    <d v="2023-04-23T00:00:00"/>
    <x v="133"/>
    <n v="4"/>
    <x v="6"/>
    <x v="1"/>
    <x v="3"/>
    <s v="Eduardo Saavedra"/>
    <n v="6988"/>
    <s v="No"/>
    <x v="1"/>
  </r>
  <r>
    <n v="1565544"/>
    <n v="1432"/>
    <x v="0"/>
    <d v="2023-01-10T00:00:00"/>
    <x v="36"/>
    <n v="1"/>
    <x v="2"/>
    <x v="9"/>
    <x v="1"/>
    <s v="Dan Lewis"/>
    <n v="1232"/>
    <s v="No"/>
    <x v="35"/>
  </r>
  <r>
    <n v="1566865"/>
    <n v="1937"/>
    <x v="9"/>
    <d v="2023-11-27T00:00:00"/>
    <x v="49"/>
    <n v="11"/>
    <x v="5"/>
    <x v="2"/>
    <x v="0"/>
    <s v="Adrian Huxley"/>
    <n v="1543"/>
    <s v="No"/>
    <x v="18"/>
  </r>
  <r>
    <n v="1567251"/>
    <n v="1808"/>
    <x v="2"/>
    <d v="2023-07-28T00:00:00"/>
    <x v="157"/>
    <n v="7"/>
    <x v="0"/>
    <x v="6"/>
    <x v="1"/>
    <s v="Janine Labrune"/>
    <n v="5439"/>
    <s v="No"/>
    <x v="9"/>
  </r>
  <r>
    <n v="1567280"/>
    <n v="634"/>
    <x v="0"/>
    <d v="2023-11-23T00:00:00"/>
    <x v="158"/>
    <n v="11"/>
    <x v="3"/>
    <x v="2"/>
    <x v="3"/>
    <s v="Violeta Benitez"/>
    <n v="9698"/>
    <s v="No"/>
    <x v="14"/>
  </r>
  <r>
    <n v="1568848"/>
    <n v="1783"/>
    <x v="0"/>
    <d v="2023-07-16T00:00:00"/>
    <x v="93"/>
    <n v="7"/>
    <x v="6"/>
    <x v="6"/>
    <x v="3"/>
    <s v="Paul Henriot"/>
    <n v="8771"/>
    <s v="No"/>
    <x v="18"/>
  </r>
  <r>
    <n v="1569922"/>
    <n v="1948"/>
    <x v="0"/>
    <d v="2023-03-07T00:00:00"/>
    <x v="1"/>
    <n v="3"/>
    <x v="2"/>
    <x v="4"/>
    <x v="2"/>
    <s v="William Brown"/>
    <n v="3425"/>
    <s v="No"/>
    <x v="33"/>
  </r>
  <r>
    <n v="1570720"/>
    <n v="1593"/>
    <x v="3"/>
    <d v="2023-10-21T00:00:00"/>
    <x v="55"/>
    <n v="10"/>
    <x v="1"/>
    <x v="3"/>
    <x v="2"/>
    <s v="Maurizio Moroni"/>
    <n v="414"/>
    <s v="No"/>
    <x v="6"/>
  </r>
  <r>
    <n v="1571075"/>
    <n v="660"/>
    <x v="0"/>
    <d v="2023-05-25T00:00:00"/>
    <x v="124"/>
    <n v="5"/>
    <x v="3"/>
    <x v="11"/>
    <x v="0"/>
    <s v="Arnold Cruz"/>
    <n v="4346"/>
    <s v="No"/>
    <x v="12"/>
  </r>
  <r>
    <n v="1576077"/>
    <n v="1385"/>
    <x v="0"/>
    <d v="2023-11-10T00:00:00"/>
    <x v="159"/>
    <n v="11"/>
    <x v="0"/>
    <x v="2"/>
    <x v="2"/>
    <s v="Paul Henriot"/>
    <n v="9058"/>
    <s v="No"/>
    <x v="24"/>
  </r>
  <r>
    <n v="1576972"/>
    <n v="1702"/>
    <x v="2"/>
    <d v="2023-10-25T00:00:00"/>
    <x v="28"/>
    <n v="10"/>
    <x v="4"/>
    <x v="3"/>
    <x v="0"/>
    <s v="Valarie Nelson"/>
    <n v="8340"/>
    <s v="No"/>
    <x v="47"/>
  </r>
  <r>
    <n v="1578400"/>
    <n v="1795"/>
    <x v="3"/>
    <d v="2023-01-12T00:00:00"/>
    <x v="63"/>
    <n v="1"/>
    <x v="3"/>
    <x v="9"/>
    <x v="0"/>
    <s v="Julie Young"/>
    <n v="5568"/>
    <s v="No"/>
    <x v="62"/>
  </r>
  <r>
    <n v="1579155"/>
    <n v="796"/>
    <x v="10"/>
    <d v="2023-02-16T00:00:00"/>
    <x v="73"/>
    <n v="2"/>
    <x v="3"/>
    <x v="5"/>
    <x v="3"/>
    <s v="Julie Brown"/>
    <n v="799"/>
    <s v="No"/>
    <x v="18"/>
  </r>
  <r>
    <n v="1580103"/>
    <n v="689"/>
    <x v="3"/>
    <d v="2023-03-07T00:00:00"/>
    <x v="42"/>
    <n v="3"/>
    <x v="2"/>
    <x v="4"/>
    <x v="0"/>
    <s v="Anna O'Hara"/>
    <n v="5667"/>
    <s v="No"/>
    <x v="10"/>
  </r>
  <r>
    <n v="1580615"/>
    <n v="932"/>
    <x v="11"/>
    <d v="2023-11-15T00:00:00"/>
    <x v="6"/>
    <n v="11"/>
    <x v="4"/>
    <x v="2"/>
    <x v="2"/>
    <s v="Martine Rance"/>
    <n v="1629"/>
    <s v="No"/>
    <x v="57"/>
  </r>
  <r>
    <n v="1580632"/>
    <n v="1084"/>
    <x v="1"/>
    <d v="2023-10-17T00:00:00"/>
    <x v="52"/>
    <n v="10"/>
    <x v="2"/>
    <x v="3"/>
    <x v="0"/>
    <s v="Diego Freyre"/>
    <n v="9219"/>
    <s v="No"/>
    <x v="21"/>
  </r>
  <r>
    <n v="1580986"/>
    <n v="523"/>
    <x v="0"/>
    <d v="2023-09-06T00:00:00"/>
    <x v="160"/>
    <n v="9"/>
    <x v="4"/>
    <x v="10"/>
    <x v="2"/>
    <s v="Dominique Perrier"/>
    <n v="438"/>
    <s v="No"/>
    <x v="47"/>
  </r>
  <r>
    <n v="1582168"/>
    <n v="1048"/>
    <x v="1"/>
    <d v="2023-11-24T00:00:00"/>
    <x v="30"/>
    <n v="11"/>
    <x v="0"/>
    <x v="2"/>
    <x v="2"/>
    <s v="Martine Rance"/>
    <n v="9234"/>
    <s v="No"/>
    <x v="47"/>
  </r>
  <r>
    <n v="1582591"/>
    <n v="618"/>
    <x v="10"/>
    <d v="2023-10-05T00:00:00"/>
    <x v="161"/>
    <n v="10"/>
    <x v="3"/>
    <x v="3"/>
    <x v="3"/>
    <s v="Michael Frick"/>
    <n v="6609"/>
    <s v="No"/>
    <x v="30"/>
  </r>
  <r>
    <n v="1583961"/>
    <n v="729"/>
    <x v="2"/>
    <d v="2023-05-06T00:00:00"/>
    <x v="11"/>
    <n v="5"/>
    <x v="1"/>
    <x v="11"/>
    <x v="1"/>
    <s v="Dominique Perrier"/>
    <n v="6820"/>
    <s v="No"/>
    <x v="50"/>
  </r>
  <r>
    <n v="1584433"/>
    <n v="1648"/>
    <x v="7"/>
    <d v="2023-01-04T00:00:00"/>
    <x v="104"/>
    <n v="1"/>
    <x v="4"/>
    <x v="9"/>
    <x v="2"/>
    <s v="Juri Yoshido"/>
    <n v="1991"/>
    <s v="No"/>
    <x v="61"/>
  </r>
  <r>
    <n v="1584769"/>
    <n v="1176"/>
    <x v="0"/>
    <d v="2023-10-08T00:00:00"/>
    <x v="137"/>
    <n v="10"/>
    <x v="6"/>
    <x v="3"/>
    <x v="1"/>
    <s v="Miguel Barajas"/>
    <n v="1945"/>
    <s v="No"/>
    <x v="20"/>
  </r>
  <r>
    <n v="1585229"/>
    <n v="187"/>
    <x v="3"/>
    <d v="2023-02-06T00:00:00"/>
    <x v="61"/>
    <n v="2"/>
    <x v="5"/>
    <x v="5"/>
    <x v="3"/>
    <s v="Marta Hernandez"/>
    <n v="7994"/>
    <s v="No"/>
    <x v="17"/>
  </r>
  <r>
    <n v="1585349"/>
    <n v="716"/>
    <x v="1"/>
    <d v="2023-02-25T00:00:00"/>
    <x v="15"/>
    <n v="2"/>
    <x v="1"/>
    <x v="5"/>
    <x v="3"/>
    <s v="Matti Karttunen"/>
    <n v="9212"/>
    <s v="No"/>
    <x v="46"/>
  </r>
  <r>
    <n v="1585425"/>
    <n v="1009"/>
    <x v="0"/>
    <d v="2023-03-22T00:00:00"/>
    <x v="62"/>
    <n v="3"/>
    <x v="4"/>
    <x v="4"/>
    <x v="0"/>
    <s v="Jonas Bergulfsen"/>
    <n v="3322"/>
    <s v="No"/>
    <x v="60"/>
  </r>
  <r>
    <n v="1585483"/>
    <n v="1389"/>
    <x v="0"/>
    <d v="2023-11-12T00:00:00"/>
    <x v="21"/>
    <n v="11"/>
    <x v="6"/>
    <x v="2"/>
    <x v="3"/>
    <s v="Kee Kuo"/>
    <n v="521"/>
    <s v="No"/>
    <x v="3"/>
  </r>
  <r>
    <n v="1586073"/>
    <n v="1330"/>
    <x v="6"/>
    <d v="2023-09-10T00:00:00"/>
    <x v="51"/>
    <n v="9"/>
    <x v="6"/>
    <x v="10"/>
    <x v="3"/>
    <s v="Rosa Hernandez"/>
    <n v="9985"/>
    <s v="No"/>
    <x v="0"/>
  </r>
  <r>
    <n v="1586149"/>
    <n v="1596"/>
    <x v="0"/>
    <d v="2023-03-25T00:00:00"/>
    <x v="71"/>
    <n v="3"/>
    <x v="1"/>
    <x v="4"/>
    <x v="3"/>
    <s v="Georg Pipps"/>
    <n v="5945"/>
    <s v="No"/>
    <x v="60"/>
  </r>
  <r>
    <n v="1586243"/>
    <n v="1472"/>
    <x v="0"/>
    <d v="2023-07-08T00:00:00"/>
    <x v="14"/>
    <n v="7"/>
    <x v="1"/>
    <x v="6"/>
    <x v="2"/>
    <s v="Diego Freyre"/>
    <n v="2468"/>
    <s v="No"/>
    <x v="69"/>
  </r>
  <r>
    <n v="1587760"/>
    <n v="1290"/>
    <x v="0"/>
    <d v="2023-12-02T00:00:00"/>
    <x v="162"/>
    <n v="12"/>
    <x v="1"/>
    <x v="0"/>
    <x v="3"/>
    <s v="Wing C Tam"/>
    <n v="9238"/>
    <s v="No"/>
    <x v="34"/>
  </r>
  <r>
    <n v="1587777"/>
    <n v="1962"/>
    <x v="0"/>
    <d v="2023-12-11T00:00:00"/>
    <x v="19"/>
    <n v="12"/>
    <x v="5"/>
    <x v="0"/>
    <x v="3"/>
    <s v="Janine Labrune"/>
    <n v="9310"/>
    <s v="No"/>
    <x v="12"/>
  </r>
  <r>
    <n v="1587832"/>
    <n v="1483"/>
    <x v="0"/>
    <d v="2023-11-09T00:00:00"/>
    <x v="159"/>
    <n v="11"/>
    <x v="3"/>
    <x v="2"/>
    <x v="2"/>
    <s v="Valarie Nelson"/>
    <n v="3831"/>
    <s v="No"/>
    <x v="43"/>
  </r>
  <r>
    <n v="1587870"/>
    <n v="1515"/>
    <x v="0"/>
    <d v="2023-06-01T00:00:00"/>
    <x v="163"/>
    <n v="6"/>
    <x v="3"/>
    <x v="7"/>
    <x v="2"/>
    <s v="Elizabeth Devon"/>
    <n v="3277"/>
    <s v="No"/>
    <x v="26"/>
  </r>
  <r>
    <n v="1587900"/>
    <n v="1466"/>
    <x v="12"/>
    <d v="2023-05-26T00:00:00"/>
    <x v="139"/>
    <n v="5"/>
    <x v="0"/>
    <x v="11"/>
    <x v="1"/>
    <s v="Giovanni Rovelli"/>
    <n v="465"/>
    <s v="No"/>
    <x v="36"/>
  </r>
  <r>
    <n v="1589059"/>
    <n v="1381"/>
    <x v="0"/>
    <d v="2023-04-13T00:00:00"/>
    <x v="88"/>
    <n v="4"/>
    <x v="3"/>
    <x v="1"/>
    <x v="2"/>
    <s v="Peter Ferguson"/>
    <n v="8578"/>
    <s v="No"/>
    <x v="9"/>
  </r>
  <r>
    <n v="1589657"/>
    <n v="880"/>
    <x v="1"/>
    <d v="2023-04-12T00:00:00"/>
    <x v="164"/>
    <n v="4"/>
    <x v="4"/>
    <x v="1"/>
    <x v="0"/>
    <s v="Diego Freyre"/>
    <n v="3223"/>
    <s v="No"/>
    <x v="60"/>
  </r>
  <r>
    <n v="1589664"/>
    <n v="98"/>
    <x v="13"/>
    <d v="2023-10-18T00:00:00"/>
    <x v="152"/>
    <n v="10"/>
    <x v="4"/>
    <x v="3"/>
    <x v="2"/>
    <s v="Wing C Tam"/>
    <n v="9044"/>
    <s v="No"/>
    <x v="31"/>
  </r>
  <r>
    <n v="1590156"/>
    <n v="131"/>
    <x v="2"/>
    <d v="2023-03-30T00:00:00"/>
    <x v="9"/>
    <n v="3"/>
    <x v="3"/>
    <x v="4"/>
    <x v="3"/>
    <s v="Diego Freyre"/>
    <n v="8404"/>
    <s v="No"/>
    <x v="70"/>
  </r>
  <r>
    <n v="1592825"/>
    <n v="1447"/>
    <x v="5"/>
    <d v="2023-07-06T00:00:00"/>
    <x v="83"/>
    <n v="7"/>
    <x v="3"/>
    <x v="6"/>
    <x v="3"/>
    <s v="Juri Hirano"/>
    <n v="7216"/>
    <s v="No"/>
    <x v="1"/>
  </r>
  <r>
    <n v="1594427"/>
    <n v="822"/>
    <x v="0"/>
    <d v="2023-12-12T00:00:00"/>
    <x v="165"/>
    <n v="12"/>
    <x v="2"/>
    <x v="0"/>
    <x v="3"/>
    <s v="Steve Thompson"/>
    <n v="4417"/>
    <s v="No"/>
    <x v="65"/>
  </r>
  <r>
    <n v="1594617"/>
    <n v="1747"/>
    <x v="0"/>
    <d v="2023-05-16T00:00:00"/>
    <x v="75"/>
    <n v="5"/>
    <x v="2"/>
    <x v="11"/>
    <x v="3"/>
    <s v="Mory Kentary"/>
    <n v="4361"/>
    <s v="No"/>
    <x v="57"/>
  </r>
  <r>
    <n v="1594721"/>
    <n v="1894"/>
    <x v="4"/>
    <d v="2023-07-16T00:00:00"/>
    <x v="166"/>
    <n v="7"/>
    <x v="6"/>
    <x v="6"/>
    <x v="0"/>
    <s v="Peter Ferguson"/>
    <n v="5493"/>
    <s v="No"/>
    <x v="45"/>
  </r>
  <r>
    <n v="1594992"/>
    <n v="114"/>
    <x v="0"/>
    <d v="2023-12-10T00:00:00"/>
    <x v="140"/>
    <n v="12"/>
    <x v="6"/>
    <x v="0"/>
    <x v="3"/>
    <s v="Elizabeth Lincoln"/>
    <n v="1650"/>
    <s v="No"/>
    <x v="4"/>
  </r>
  <r>
    <n v="1595227"/>
    <n v="441"/>
    <x v="0"/>
    <d v="2023-07-14T00:00:00"/>
    <x v="88"/>
    <n v="7"/>
    <x v="0"/>
    <x v="6"/>
    <x v="1"/>
    <s v="Sue Frick"/>
    <n v="4974"/>
    <s v="No"/>
    <x v="55"/>
  </r>
  <r>
    <n v="1595262"/>
    <n v="1837"/>
    <x v="11"/>
    <d v="2023-09-20T00:00:00"/>
    <x v="57"/>
    <n v="9"/>
    <x v="4"/>
    <x v="10"/>
    <x v="0"/>
    <s v="Diego Freyre"/>
    <n v="8118"/>
    <s v="No"/>
    <x v="27"/>
  </r>
  <r>
    <n v="1597150"/>
    <n v="1599"/>
    <x v="0"/>
    <d v="2023-11-12T00:00:00"/>
    <x v="167"/>
    <n v="11"/>
    <x v="6"/>
    <x v="2"/>
    <x v="1"/>
    <s v="Janine Labrune"/>
    <n v="3756"/>
    <s v="No"/>
    <x v="49"/>
  </r>
  <r>
    <n v="1598652"/>
    <n v="191"/>
    <x v="7"/>
    <d v="2023-10-26T00:00:00"/>
    <x v="91"/>
    <n v="10"/>
    <x v="3"/>
    <x v="3"/>
    <x v="3"/>
    <s v="Jan Klaeboe"/>
    <n v="2084"/>
    <s v="No"/>
    <x v="12"/>
  </r>
  <r>
    <n v="1599039"/>
    <n v="1483"/>
    <x v="0"/>
    <d v="2023-01-23T00:00:00"/>
    <x v="105"/>
    <n v="1"/>
    <x v="5"/>
    <x v="9"/>
    <x v="1"/>
    <s v="Michael Donnermeyer"/>
    <n v="9658"/>
    <s v="No"/>
    <x v="43"/>
  </r>
  <r>
    <n v="1599499"/>
    <n v="427"/>
    <x v="1"/>
    <d v="2023-03-13T00:00:00"/>
    <x v="87"/>
    <n v="3"/>
    <x v="5"/>
    <x v="4"/>
    <x v="2"/>
    <s v="Steve Frick"/>
    <n v="3608"/>
    <s v="No"/>
    <x v="0"/>
  </r>
  <r>
    <n v="1599786"/>
    <n v="821"/>
    <x v="2"/>
    <d v="2023-01-19T00:00:00"/>
    <x v="141"/>
    <n v="1"/>
    <x v="3"/>
    <x v="9"/>
    <x v="3"/>
    <s v="Helen Bennett"/>
    <n v="480"/>
    <s v="No"/>
    <x v="62"/>
  </r>
  <r>
    <n v="1600216"/>
    <n v="314"/>
    <x v="4"/>
    <d v="2023-11-19T00:00:00"/>
    <x v="123"/>
    <n v="11"/>
    <x v="6"/>
    <x v="2"/>
    <x v="3"/>
    <s v="Giovanni Rovelli"/>
    <n v="8607"/>
    <s v="No"/>
    <x v="4"/>
  </r>
  <r>
    <n v="1602189"/>
    <n v="676"/>
    <x v="1"/>
    <d v="2023-07-09T00:00:00"/>
    <x v="30"/>
    <n v="7"/>
    <x v="6"/>
    <x v="6"/>
    <x v="3"/>
    <s v="Eduardo Saavedra"/>
    <n v="179"/>
    <s v="No"/>
    <x v="8"/>
  </r>
  <r>
    <n v="1604175"/>
    <n v="265"/>
    <x v="6"/>
    <d v="2023-04-30T00:00:00"/>
    <x v="20"/>
    <n v="4"/>
    <x v="6"/>
    <x v="1"/>
    <x v="2"/>
    <s v="Dan Lewis"/>
    <n v="5731"/>
    <s v="No"/>
    <x v="50"/>
  </r>
  <r>
    <n v="1604289"/>
    <n v="214"/>
    <x v="0"/>
    <d v="2023-04-15T00:00:00"/>
    <x v="157"/>
    <n v="4"/>
    <x v="1"/>
    <x v="1"/>
    <x v="2"/>
    <s v="Adrian Huxley"/>
    <n v="9600"/>
    <s v="No"/>
    <x v="65"/>
  </r>
  <r>
    <n v="1604334"/>
    <n v="1237"/>
    <x v="0"/>
    <d v="2023-12-17T00:00:00"/>
    <x v="91"/>
    <n v="12"/>
    <x v="6"/>
    <x v="0"/>
    <x v="1"/>
    <s v="Janine Labrune"/>
    <n v="4433"/>
    <s v="No"/>
    <x v="27"/>
  </r>
  <r>
    <n v="1605621"/>
    <n v="98"/>
    <x v="13"/>
    <d v="2023-09-05T00:00:00"/>
    <x v="47"/>
    <n v="9"/>
    <x v="2"/>
    <x v="10"/>
    <x v="3"/>
    <s v="Violeta Benitez"/>
    <n v="4118"/>
    <s v="No"/>
    <x v="31"/>
  </r>
  <r>
    <n v="1605700"/>
    <n v="1574"/>
    <x v="9"/>
    <d v="2023-02-09T00:00:00"/>
    <x v="168"/>
    <n v="2"/>
    <x v="3"/>
    <x v="5"/>
    <x v="0"/>
    <s v="Paul Henriot"/>
    <n v="2305"/>
    <s v="No"/>
    <x v="40"/>
  </r>
  <r>
    <n v="1605731"/>
    <n v="564"/>
    <x v="0"/>
    <d v="2023-06-24T00:00:00"/>
    <x v="89"/>
    <n v="6"/>
    <x v="1"/>
    <x v="7"/>
    <x v="1"/>
    <s v="William Brown"/>
    <n v="6271"/>
    <s v="No"/>
    <x v="69"/>
  </r>
  <r>
    <n v="1605754"/>
    <n v="1734"/>
    <x v="0"/>
    <d v="2023-06-09T00:00:00"/>
    <x v="84"/>
    <n v="6"/>
    <x v="0"/>
    <x v="7"/>
    <x v="1"/>
    <s v="Maurizio Moroni"/>
    <n v="504"/>
    <s v="No"/>
    <x v="14"/>
  </r>
  <r>
    <n v="1607015"/>
    <n v="1741"/>
    <x v="0"/>
    <d v="2023-12-26T00:00:00"/>
    <x v="37"/>
    <n v="12"/>
    <x v="2"/>
    <x v="0"/>
    <x v="1"/>
    <s v="Diego Freyre"/>
    <n v="4369"/>
    <s v="No"/>
    <x v="37"/>
  </r>
  <r>
    <n v="1607569"/>
    <n v="1930"/>
    <x v="0"/>
    <d v="2023-09-07T00:00:00"/>
    <x v="100"/>
    <n v="9"/>
    <x v="3"/>
    <x v="10"/>
    <x v="2"/>
    <s v="Maria Hernandez"/>
    <n v="1307"/>
    <s v="No"/>
    <x v="28"/>
  </r>
  <r>
    <n v="1608036"/>
    <n v="1794"/>
    <x v="6"/>
    <d v="2023-08-22T00:00:00"/>
    <x v="169"/>
    <n v="8"/>
    <x v="2"/>
    <x v="8"/>
    <x v="0"/>
    <s v="Jeff Young"/>
    <n v="3016"/>
    <s v="No"/>
    <x v="10"/>
  </r>
  <r>
    <n v="1609306"/>
    <n v="529"/>
    <x v="1"/>
    <d v="2023-12-01T00:00:00"/>
    <x v="128"/>
    <n v="12"/>
    <x v="0"/>
    <x v="0"/>
    <x v="3"/>
    <s v="Kalle Suominen"/>
    <n v="847"/>
    <s v="No"/>
    <x v="60"/>
  </r>
  <r>
    <n v="1609928"/>
    <n v="1237"/>
    <x v="0"/>
    <d v="2023-06-05T00:00:00"/>
    <x v="28"/>
    <n v="6"/>
    <x v="5"/>
    <x v="7"/>
    <x v="3"/>
    <s v="Pirkko Koskitalo"/>
    <n v="373"/>
    <s v="No"/>
    <x v="27"/>
  </r>
  <r>
    <n v="1610660"/>
    <n v="1126"/>
    <x v="3"/>
    <d v="2023-03-15T00:00:00"/>
    <x v="87"/>
    <n v="3"/>
    <x v="4"/>
    <x v="4"/>
    <x v="2"/>
    <s v="Eric Natividad"/>
    <n v="4580"/>
    <s v="No"/>
    <x v="48"/>
  </r>
  <r>
    <n v="1611854"/>
    <n v="1101"/>
    <x v="1"/>
    <d v="2023-07-08T00:00:00"/>
    <x v="96"/>
    <n v="7"/>
    <x v="1"/>
    <x v="6"/>
    <x v="0"/>
    <s v="Maurizio Moroni"/>
    <n v="508"/>
    <s v="No"/>
    <x v="18"/>
  </r>
  <r>
    <n v="1612026"/>
    <n v="730"/>
    <x v="9"/>
    <d v="2023-01-25T00:00:00"/>
    <x v="103"/>
    <n v="1"/>
    <x v="4"/>
    <x v="9"/>
    <x v="3"/>
    <s v="Jose Pedro Roel"/>
    <n v="5053"/>
    <s v="No"/>
    <x v="57"/>
  </r>
  <r>
    <n v="1612028"/>
    <n v="1167"/>
    <x v="0"/>
    <d v="2023-01-18T00:00:00"/>
    <x v="96"/>
    <n v="1"/>
    <x v="4"/>
    <x v="9"/>
    <x v="1"/>
    <s v="Steve Frick"/>
    <n v="9324"/>
    <s v="No"/>
    <x v="61"/>
  </r>
  <r>
    <n v="1613483"/>
    <n v="296"/>
    <x v="13"/>
    <d v="2023-10-20T00:00:00"/>
    <x v="12"/>
    <n v="10"/>
    <x v="0"/>
    <x v="3"/>
    <x v="0"/>
    <s v="Valarie Franco"/>
    <n v="2248"/>
    <s v="No"/>
    <x v="41"/>
  </r>
  <r>
    <n v="1615509"/>
    <n v="63"/>
    <x v="8"/>
    <d v="2023-10-30T00:00:00"/>
    <x v="170"/>
    <n v="10"/>
    <x v="5"/>
    <x v="3"/>
    <x v="0"/>
    <s v="Dean Cassidy"/>
    <n v="7909"/>
    <s v="No"/>
    <x v="12"/>
  </r>
  <r>
    <n v="1616083"/>
    <n v="894"/>
    <x v="6"/>
    <d v="2023-06-13T00:00:00"/>
    <x v="73"/>
    <n v="6"/>
    <x v="2"/>
    <x v="7"/>
    <x v="3"/>
    <s v="Roland Keitel"/>
    <n v="9153"/>
    <s v="No"/>
    <x v="2"/>
  </r>
  <r>
    <n v="1616804"/>
    <n v="902"/>
    <x v="0"/>
    <d v="2023-04-07T00:00:00"/>
    <x v="171"/>
    <n v="4"/>
    <x v="0"/>
    <x v="1"/>
    <x v="3"/>
    <s v="Diego Freyre"/>
    <n v="8265"/>
    <s v="No"/>
    <x v="43"/>
  </r>
  <r>
    <n v="1617273"/>
    <n v="547"/>
    <x v="0"/>
    <d v="2023-08-18T00:00:00"/>
    <x v="64"/>
    <n v="8"/>
    <x v="0"/>
    <x v="8"/>
    <x v="3"/>
    <s v="Wendy Victorino"/>
    <n v="2095"/>
    <s v="No"/>
    <x v="45"/>
  </r>
  <r>
    <n v="1617524"/>
    <n v="34"/>
    <x v="6"/>
    <d v="2023-02-11T00:00:00"/>
    <x v="38"/>
    <n v="2"/>
    <x v="1"/>
    <x v="5"/>
    <x v="0"/>
    <s v="Valarie Nelson"/>
    <n v="1527"/>
    <s v="No"/>
    <x v="1"/>
  </r>
  <r>
    <n v="1620752"/>
    <n v="1687"/>
    <x v="6"/>
    <d v="2023-10-13T00:00:00"/>
    <x v="78"/>
    <n v="10"/>
    <x v="0"/>
    <x v="3"/>
    <x v="0"/>
    <s v="Valarie Nelson"/>
    <n v="7191"/>
    <s v="No"/>
    <x v="4"/>
  </r>
  <r>
    <n v="1622340"/>
    <n v="1487"/>
    <x v="2"/>
    <d v="2023-05-06T00:00:00"/>
    <x v="172"/>
    <n v="5"/>
    <x v="1"/>
    <x v="11"/>
    <x v="1"/>
    <s v="Kwai Yu"/>
    <n v="4769"/>
    <s v="No"/>
    <x v="15"/>
  </r>
  <r>
    <n v="1622599"/>
    <n v="453"/>
    <x v="3"/>
    <d v="2023-01-14T00:00:00"/>
    <x v="87"/>
    <n v="1"/>
    <x v="1"/>
    <x v="9"/>
    <x v="3"/>
    <s v="Marta Hernandez"/>
    <n v="8568"/>
    <s v="No"/>
    <x v="44"/>
  </r>
  <r>
    <n v="1624567"/>
    <n v="977"/>
    <x v="1"/>
    <d v="2023-07-20T00:00:00"/>
    <x v="157"/>
    <n v="7"/>
    <x v="3"/>
    <x v="6"/>
    <x v="2"/>
    <s v="Palle Ibsen"/>
    <n v="1814"/>
    <s v="No"/>
    <x v="34"/>
  </r>
  <r>
    <n v="1625256"/>
    <n v="1551"/>
    <x v="0"/>
    <d v="2023-08-30T00:00:00"/>
    <x v="102"/>
    <n v="8"/>
    <x v="4"/>
    <x v="8"/>
    <x v="1"/>
    <s v="Jonas Bergulfsen"/>
    <n v="2960"/>
    <s v="No"/>
    <x v="29"/>
  </r>
  <r>
    <n v="1625678"/>
    <n v="239"/>
    <x v="1"/>
    <d v="2023-06-01T00:00:00"/>
    <x v="19"/>
    <n v="6"/>
    <x v="3"/>
    <x v="7"/>
    <x v="0"/>
    <s v="Marie Bertrand"/>
    <n v="1366"/>
    <s v="No"/>
    <x v="55"/>
  </r>
  <r>
    <n v="1625859"/>
    <n v="1409"/>
    <x v="0"/>
    <d v="2023-07-17T00:00:00"/>
    <x v="94"/>
    <n v="7"/>
    <x v="5"/>
    <x v="6"/>
    <x v="3"/>
    <s v="Diego Freyre"/>
    <n v="3766"/>
    <s v="No"/>
    <x v="42"/>
  </r>
  <r>
    <n v="1626780"/>
    <n v="230"/>
    <x v="0"/>
    <d v="2023-12-25T00:00:00"/>
    <x v="134"/>
    <n v="12"/>
    <x v="5"/>
    <x v="0"/>
    <x v="2"/>
    <s v="Paul Henriot"/>
    <n v="3369"/>
    <s v="No"/>
    <x v="33"/>
  </r>
  <r>
    <n v="1627081"/>
    <n v="741"/>
    <x v="0"/>
    <d v="2023-01-09T00:00:00"/>
    <x v="173"/>
    <n v="1"/>
    <x v="5"/>
    <x v="9"/>
    <x v="0"/>
    <s v="Valarie Nelson"/>
    <n v="5636"/>
    <s v="No"/>
    <x v="5"/>
  </r>
  <r>
    <n v="1628939"/>
    <n v="1474"/>
    <x v="0"/>
    <d v="2023-09-05T00:00:00"/>
    <x v="73"/>
    <n v="9"/>
    <x v="2"/>
    <x v="10"/>
    <x v="2"/>
    <s v="Diego Freyre"/>
    <n v="4675"/>
    <s v="No"/>
    <x v="5"/>
  </r>
  <r>
    <n v="1629259"/>
    <n v="1982"/>
    <x v="2"/>
    <d v="2023-08-28T00:00:00"/>
    <x v="95"/>
    <n v="8"/>
    <x v="5"/>
    <x v="8"/>
    <x v="3"/>
    <s v="Daniel Da Cunha"/>
    <n v="9052"/>
    <s v="No"/>
    <x v="8"/>
  </r>
  <r>
    <n v="1629885"/>
    <n v="366"/>
    <x v="1"/>
    <d v="2023-08-31T00:00:00"/>
    <x v="116"/>
    <n v="8"/>
    <x v="3"/>
    <x v="8"/>
    <x v="0"/>
    <s v="Diego Freyre"/>
    <n v="6675"/>
    <s v="No"/>
    <x v="33"/>
  </r>
  <r>
    <n v="1629891"/>
    <n v="1088"/>
    <x v="1"/>
    <d v="2023-06-20T00:00:00"/>
    <x v="6"/>
    <n v="6"/>
    <x v="2"/>
    <x v="7"/>
    <x v="0"/>
    <s v="Janine Labrune"/>
    <n v="5428"/>
    <s v="No"/>
    <x v="54"/>
  </r>
  <r>
    <n v="1630533"/>
    <n v="450"/>
    <x v="2"/>
    <d v="2023-04-11T00:00:00"/>
    <x v="77"/>
    <n v="4"/>
    <x v="2"/>
    <x v="1"/>
    <x v="0"/>
    <s v="Diego Freyre"/>
    <n v="1269"/>
    <s v="No"/>
    <x v="62"/>
  </r>
  <r>
    <n v="1630634"/>
    <n v="400"/>
    <x v="6"/>
    <d v="2023-03-10T00:00:00"/>
    <x v="121"/>
    <n v="3"/>
    <x v="0"/>
    <x v="4"/>
    <x v="1"/>
    <s v="Eric Natividad"/>
    <n v="4641"/>
    <s v="No"/>
    <x v="16"/>
  </r>
  <r>
    <n v="1631258"/>
    <n v="1613"/>
    <x v="0"/>
    <d v="2023-12-02T00:00:00"/>
    <x v="174"/>
    <n v="12"/>
    <x v="1"/>
    <x v="0"/>
    <x v="2"/>
    <s v="Jeff Young"/>
    <n v="382"/>
    <s v="No"/>
    <x v="37"/>
  </r>
  <r>
    <n v="1631401"/>
    <n v="932"/>
    <x v="11"/>
    <d v="2023-06-25T00:00:00"/>
    <x v="143"/>
    <n v="6"/>
    <x v="6"/>
    <x v="7"/>
    <x v="1"/>
    <s v="Valarie Nelson"/>
    <n v="638"/>
    <s v="No"/>
    <x v="57"/>
  </r>
  <r>
    <n v="1632433"/>
    <n v="520"/>
    <x v="4"/>
    <d v="2023-10-05T00:00:00"/>
    <x v="48"/>
    <n v="10"/>
    <x v="3"/>
    <x v="3"/>
    <x v="2"/>
    <s v="Diego Freyre"/>
    <n v="2927"/>
    <s v="No"/>
    <x v="49"/>
  </r>
  <r>
    <n v="1632791"/>
    <n v="1581"/>
    <x v="0"/>
    <d v="2023-10-10T00:00:00"/>
    <x v="79"/>
    <n v="10"/>
    <x v="2"/>
    <x v="3"/>
    <x v="0"/>
    <s v="Eric Natividad"/>
    <n v="3408"/>
    <s v="No"/>
    <x v="33"/>
  </r>
  <r>
    <n v="1633524"/>
    <n v="1801"/>
    <x v="4"/>
    <d v="2023-07-12T00:00:00"/>
    <x v="10"/>
    <n v="7"/>
    <x v="4"/>
    <x v="6"/>
    <x v="3"/>
    <s v="Maurizio Moroni"/>
    <n v="6028"/>
    <s v="No"/>
    <x v="62"/>
  </r>
  <r>
    <n v="1635379"/>
    <n v="1673"/>
    <x v="4"/>
    <d v="2023-04-12T00:00:00"/>
    <x v="88"/>
    <n v="4"/>
    <x v="4"/>
    <x v="1"/>
    <x v="1"/>
    <s v="Wing C Tam"/>
    <n v="5543"/>
    <s v="No"/>
    <x v="35"/>
  </r>
  <r>
    <n v="1635597"/>
    <n v="1235"/>
    <x v="5"/>
    <d v="2023-09-03T00:00:00"/>
    <x v="175"/>
    <n v="9"/>
    <x v="6"/>
    <x v="10"/>
    <x v="1"/>
    <s v="Leslie Murphy"/>
    <n v="7590"/>
    <s v="No"/>
    <x v="45"/>
  </r>
  <r>
    <n v="1635802"/>
    <n v="1031"/>
    <x v="6"/>
    <d v="2023-12-27T00:00:00"/>
    <x v="94"/>
    <n v="12"/>
    <x v="4"/>
    <x v="0"/>
    <x v="2"/>
    <s v="Mary Saveley"/>
    <n v="67"/>
    <s v="No"/>
    <x v="28"/>
  </r>
  <r>
    <n v="1638003"/>
    <n v="291"/>
    <x v="1"/>
    <d v="2023-11-30T00:00:00"/>
    <x v="165"/>
    <n v="11"/>
    <x v="3"/>
    <x v="2"/>
    <x v="1"/>
    <s v="Dean Cassidy"/>
    <n v="4753"/>
    <s v="No"/>
    <x v="60"/>
  </r>
  <r>
    <n v="1638963"/>
    <n v="1152"/>
    <x v="4"/>
    <d v="2023-03-06T00:00:00"/>
    <x v="117"/>
    <n v="3"/>
    <x v="5"/>
    <x v="4"/>
    <x v="2"/>
    <s v="Roland Keitel"/>
    <n v="1352"/>
    <s v="No"/>
    <x v="25"/>
  </r>
  <r>
    <n v="1639546"/>
    <n v="1491"/>
    <x v="0"/>
    <d v="2023-04-29T00:00:00"/>
    <x v="171"/>
    <n v="4"/>
    <x v="1"/>
    <x v="1"/>
    <x v="3"/>
    <s v="Kalle Suominen"/>
    <n v="4460"/>
    <s v="No"/>
    <x v="25"/>
  </r>
  <r>
    <n v="1639990"/>
    <n v="1616"/>
    <x v="0"/>
    <d v="2023-04-30T00:00:00"/>
    <x v="65"/>
    <n v="4"/>
    <x v="6"/>
    <x v="1"/>
    <x v="1"/>
    <s v="Kyung Yu"/>
    <n v="3972"/>
    <s v="No"/>
    <x v="4"/>
  </r>
  <r>
    <n v="1640444"/>
    <n v="823"/>
    <x v="3"/>
    <d v="2023-02-03T00:00:00"/>
    <x v="174"/>
    <n v="2"/>
    <x v="0"/>
    <x v="5"/>
    <x v="2"/>
    <s v="Valarie Nelson"/>
    <n v="6055"/>
    <s v="No"/>
    <x v="42"/>
  </r>
  <r>
    <n v="1641043"/>
    <n v="42"/>
    <x v="4"/>
    <d v="2023-02-19T00:00:00"/>
    <x v="114"/>
    <n v="2"/>
    <x v="6"/>
    <x v="5"/>
    <x v="0"/>
    <s v="Kwai Yu"/>
    <n v="8182"/>
    <s v="No"/>
    <x v="64"/>
  </r>
  <r>
    <n v="1641217"/>
    <n v="1098"/>
    <x v="5"/>
    <d v="2023-05-06T00:00:00"/>
    <x v="85"/>
    <n v="5"/>
    <x v="1"/>
    <x v="11"/>
    <x v="2"/>
    <s v="Victoria Ashworth"/>
    <n v="8834"/>
    <s v="No"/>
    <x v="34"/>
  </r>
  <r>
    <n v="1642122"/>
    <n v="143"/>
    <x v="0"/>
    <d v="2023-10-28T00:00:00"/>
    <x v="20"/>
    <n v="10"/>
    <x v="1"/>
    <x v="3"/>
    <x v="3"/>
    <s v="Palle Ibsen"/>
    <n v="819"/>
    <s v="No"/>
    <x v="7"/>
  </r>
  <r>
    <n v="1642131"/>
    <n v="368"/>
    <x v="10"/>
    <d v="2023-07-16T00:00:00"/>
    <x v="68"/>
    <n v="7"/>
    <x v="6"/>
    <x v="6"/>
    <x v="0"/>
    <s v="Jonas Bergulfsen"/>
    <n v="419"/>
    <s v="No"/>
    <x v="30"/>
  </r>
  <r>
    <n v="1642677"/>
    <n v="387"/>
    <x v="6"/>
    <d v="2023-02-04T00:00:00"/>
    <x v="176"/>
    <n v="2"/>
    <x v="1"/>
    <x v="5"/>
    <x v="3"/>
    <s v="Maria Hernandez"/>
    <n v="8906"/>
    <s v="No"/>
    <x v="10"/>
  </r>
  <r>
    <n v="1643238"/>
    <n v="455"/>
    <x v="7"/>
    <d v="2023-03-31T00:00:00"/>
    <x v="23"/>
    <n v="3"/>
    <x v="0"/>
    <x v="4"/>
    <x v="1"/>
    <s v="Diego Freyre"/>
    <n v="3777"/>
    <s v="No"/>
    <x v="44"/>
  </r>
  <r>
    <n v="1643298"/>
    <n v="1699"/>
    <x v="6"/>
    <d v="2023-04-19T00:00:00"/>
    <x v="164"/>
    <n v="4"/>
    <x v="4"/>
    <x v="1"/>
    <x v="2"/>
    <s v="Paul Henriot"/>
    <n v="6207"/>
    <s v="No"/>
    <x v="29"/>
  </r>
  <r>
    <n v="1644933"/>
    <n v="164"/>
    <x v="0"/>
    <d v="2023-07-20T00:00:00"/>
    <x v="50"/>
    <n v="7"/>
    <x v="3"/>
    <x v="6"/>
    <x v="3"/>
    <s v="Akiko Shimamura"/>
    <n v="3831"/>
    <s v="No"/>
    <x v="40"/>
  </r>
  <r>
    <n v="1644988"/>
    <n v="1400"/>
    <x v="0"/>
    <d v="2023-10-27T00:00:00"/>
    <x v="67"/>
    <n v="10"/>
    <x v="0"/>
    <x v="3"/>
    <x v="2"/>
    <s v="Diego Freyre"/>
    <n v="523"/>
    <s v="No"/>
    <x v="6"/>
  </r>
  <r>
    <n v="1646606"/>
    <n v="654"/>
    <x v="3"/>
    <d v="2023-11-13T00:00:00"/>
    <x v="62"/>
    <n v="11"/>
    <x v="5"/>
    <x v="2"/>
    <x v="3"/>
    <s v="Daniel Da Cunha"/>
    <n v="673"/>
    <s v="No"/>
    <x v="66"/>
  </r>
  <r>
    <n v="1646930"/>
    <n v="146"/>
    <x v="8"/>
    <d v="2023-06-10T00:00:00"/>
    <x v="92"/>
    <n v="6"/>
    <x v="1"/>
    <x v="7"/>
    <x v="0"/>
    <s v="Julie King"/>
    <n v="5619"/>
    <s v="No"/>
    <x v="67"/>
  </r>
  <r>
    <n v="1646954"/>
    <n v="275"/>
    <x v="2"/>
    <d v="2023-01-23T00:00:00"/>
    <x v="21"/>
    <n v="1"/>
    <x v="5"/>
    <x v="9"/>
    <x v="2"/>
    <s v="Arnold Cruz"/>
    <n v="4944"/>
    <s v="No"/>
    <x v="53"/>
  </r>
  <r>
    <n v="1647290"/>
    <n v="1451"/>
    <x v="0"/>
    <d v="2023-11-06T00:00:00"/>
    <x v="64"/>
    <n v="11"/>
    <x v="5"/>
    <x v="2"/>
    <x v="0"/>
    <s v="Paul Henriot"/>
    <n v="4573"/>
    <s v="No"/>
    <x v="66"/>
  </r>
  <r>
    <n v="1648180"/>
    <n v="993"/>
    <x v="10"/>
    <d v="2023-01-02T00:00:00"/>
    <x v="39"/>
    <n v="1"/>
    <x v="5"/>
    <x v="9"/>
    <x v="3"/>
    <s v="Valarie Nelson"/>
    <n v="4526"/>
    <s v="No"/>
    <x v="46"/>
  </r>
  <r>
    <n v="1648466"/>
    <n v="842"/>
    <x v="3"/>
    <d v="2023-01-22T00:00:00"/>
    <x v="100"/>
    <n v="1"/>
    <x v="6"/>
    <x v="9"/>
    <x v="1"/>
    <s v="Julie Young"/>
    <n v="3076"/>
    <s v="No"/>
    <x v="10"/>
  </r>
  <r>
    <n v="1649120"/>
    <n v="74"/>
    <x v="0"/>
    <d v="2023-04-14T00:00:00"/>
    <x v="39"/>
    <n v="4"/>
    <x v="0"/>
    <x v="1"/>
    <x v="3"/>
    <s v="Julie Brown"/>
    <n v="4798"/>
    <s v="No"/>
    <x v="9"/>
  </r>
  <r>
    <n v="1649225"/>
    <n v="859"/>
    <x v="0"/>
    <d v="2023-09-12T00:00:00"/>
    <x v="159"/>
    <n v="9"/>
    <x v="2"/>
    <x v="10"/>
    <x v="0"/>
    <s v="Anna O'Hara"/>
    <n v="811"/>
    <s v="No"/>
    <x v="6"/>
  </r>
  <r>
    <n v="1650492"/>
    <n v="473"/>
    <x v="12"/>
    <d v="2023-12-02T00:00:00"/>
    <x v="20"/>
    <n v="12"/>
    <x v="1"/>
    <x v="0"/>
    <x v="1"/>
    <s v="Martine Rance"/>
    <n v="8148"/>
    <s v="No"/>
    <x v="11"/>
  </r>
  <r>
    <n v="1650779"/>
    <n v="1034"/>
    <x v="2"/>
    <d v="2023-04-12T00:00:00"/>
    <x v="88"/>
    <n v="4"/>
    <x v="4"/>
    <x v="1"/>
    <x v="0"/>
    <s v="Diego Freyre"/>
    <n v="8843"/>
    <s v="No"/>
    <x v="34"/>
  </r>
  <r>
    <n v="1651135"/>
    <n v="1845"/>
    <x v="10"/>
    <d v="2023-12-07T00:00:00"/>
    <x v="81"/>
    <n v="12"/>
    <x v="3"/>
    <x v="0"/>
    <x v="0"/>
    <s v="Dominique Perrier"/>
    <n v="2721"/>
    <s v="No"/>
    <x v="69"/>
  </r>
  <r>
    <n v="1653886"/>
    <n v="1518"/>
    <x v="0"/>
    <d v="2023-05-08T00:00:00"/>
    <x v="177"/>
    <n v="5"/>
    <x v="5"/>
    <x v="11"/>
    <x v="0"/>
    <s v="Martine Rance"/>
    <n v="8879"/>
    <s v="No"/>
    <x v="50"/>
  </r>
  <r>
    <n v="1654315"/>
    <n v="762"/>
    <x v="13"/>
    <d v="2023-08-31T00:00:00"/>
    <x v="68"/>
    <n v="8"/>
    <x v="3"/>
    <x v="8"/>
    <x v="3"/>
    <s v="Michael Frick"/>
    <n v="4846"/>
    <s v="No"/>
    <x v="29"/>
  </r>
  <r>
    <n v="1654344"/>
    <n v="1851"/>
    <x v="4"/>
    <d v="2023-02-04T00:00:00"/>
    <x v="0"/>
    <n v="2"/>
    <x v="1"/>
    <x v="5"/>
    <x v="3"/>
    <s v="Dominique Perrier"/>
    <n v="1085"/>
    <s v="No"/>
    <x v="15"/>
  </r>
  <r>
    <n v="1654679"/>
    <n v="804"/>
    <x v="7"/>
    <d v="2023-06-18T00:00:00"/>
    <x v="101"/>
    <n v="6"/>
    <x v="6"/>
    <x v="7"/>
    <x v="0"/>
    <s v="Juri Yoshido"/>
    <n v="8264"/>
    <s v="No"/>
    <x v="72"/>
  </r>
  <r>
    <n v="1655697"/>
    <n v="499"/>
    <x v="6"/>
    <d v="2023-05-05T00:00:00"/>
    <x v="150"/>
    <n v="5"/>
    <x v="0"/>
    <x v="11"/>
    <x v="0"/>
    <s v="Miguel Barajas"/>
    <n v="3864"/>
    <s v="No"/>
    <x v="20"/>
  </r>
  <r>
    <n v="1656071"/>
    <n v="901"/>
    <x v="0"/>
    <d v="2023-11-05T00:00:00"/>
    <x v="63"/>
    <n v="11"/>
    <x v="6"/>
    <x v="2"/>
    <x v="3"/>
    <s v="Marta Hernandez"/>
    <n v="634"/>
    <s v="No"/>
    <x v="60"/>
  </r>
  <r>
    <n v="1656749"/>
    <n v="316"/>
    <x v="1"/>
    <d v="2023-06-06T00:00:00"/>
    <x v="68"/>
    <n v="6"/>
    <x v="2"/>
    <x v="7"/>
    <x v="3"/>
    <s v="Matti Karttunen"/>
    <n v="7917"/>
    <s v="No"/>
    <x v="20"/>
  </r>
  <r>
    <n v="1657013"/>
    <n v="1799"/>
    <x v="3"/>
    <d v="2023-04-15T00:00:00"/>
    <x v="167"/>
    <n v="4"/>
    <x v="1"/>
    <x v="1"/>
    <x v="1"/>
    <s v="Jonas Bergulfsen"/>
    <n v="5240"/>
    <s v="No"/>
    <x v="21"/>
  </r>
  <r>
    <n v="1657910"/>
    <n v="853"/>
    <x v="0"/>
    <d v="2023-06-25T00:00:00"/>
    <x v="11"/>
    <n v="6"/>
    <x v="6"/>
    <x v="7"/>
    <x v="2"/>
    <s v="Kee Kuo"/>
    <n v="8403"/>
    <s v="No"/>
    <x v="56"/>
  </r>
  <r>
    <n v="1659401"/>
    <n v="214"/>
    <x v="0"/>
    <d v="2023-07-11T00:00:00"/>
    <x v="137"/>
    <n v="7"/>
    <x v="2"/>
    <x v="6"/>
    <x v="0"/>
    <s v="Rosa Hernandez"/>
    <n v="1671"/>
    <s v="No"/>
    <x v="65"/>
  </r>
  <r>
    <n v="1659771"/>
    <n v="597"/>
    <x v="3"/>
    <d v="2023-11-17T00:00:00"/>
    <x v="156"/>
    <n v="11"/>
    <x v="0"/>
    <x v="2"/>
    <x v="3"/>
    <s v="Georg Pipps"/>
    <n v="2382"/>
    <s v="No"/>
    <x v="64"/>
  </r>
  <r>
    <n v="1659887"/>
    <n v="1854"/>
    <x v="0"/>
    <d v="2023-12-11T00:00:00"/>
    <x v="64"/>
    <n v="12"/>
    <x v="5"/>
    <x v="0"/>
    <x v="2"/>
    <s v="Daniel Da Cunha"/>
    <n v="3461"/>
    <s v="No"/>
    <x v="27"/>
  </r>
  <r>
    <n v="1660154"/>
    <n v="105"/>
    <x v="0"/>
    <d v="2023-05-10T00:00:00"/>
    <x v="76"/>
    <n v="5"/>
    <x v="4"/>
    <x v="11"/>
    <x v="3"/>
    <s v="Wing C Tam"/>
    <n v="9184"/>
    <s v="No"/>
    <x v="16"/>
  </r>
  <r>
    <n v="1660467"/>
    <n v="46"/>
    <x v="10"/>
    <d v="2023-09-07T00:00:00"/>
    <x v="60"/>
    <n v="9"/>
    <x v="3"/>
    <x v="10"/>
    <x v="0"/>
    <s v="Janine Labrune"/>
    <n v="7481"/>
    <s v="No"/>
    <x v="50"/>
  </r>
  <r>
    <n v="1661217"/>
    <n v="1025"/>
    <x v="6"/>
    <d v="2023-09-03T00:00:00"/>
    <x v="69"/>
    <n v="9"/>
    <x v="6"/>
    <x v="10"/>
    <x v="2"/>
    <s v="Valarie Nelson"/>
    <n v="9380"/>
    <s v="No"/>
    <x v="68"/>
  </r>
  <r>
    <n v="1662668"/>
    <n v="1000"/>
    <x v="1"/>
    <d v="2023-10-06T00:00:00"/>
    <x v="123"/>
    <n v="10"/>
    <x v="0"/>
    <x v="3"/>
    <x v="2"/>
    <s v="Elizabeth Devon"/>
    <n v="4805"/>
    <s v="No"/>
    <x v="45"/>
  </r>
  <r>
    <n v="1662944"/>
    <n v="1488"/>
    <x v="0"/>
    <d v="2023-12-20T00:00:00"/>
    <x v="75"/>
    <n v="12"/>
    <x v="4"/>
    <x v="0"/>
    <x v="2"/>
    <s v="Jytte Petersen"/>
    <n v="9411"/>
    <s v="No"/>
    <x v="31"/>
  </r>
  <r>
    <n v="1664960"/>
    <n v="754"/>
    <x v="2"/>
    <d v="2023-05-24T00:00:00"/>
    <x v="178"/>
    <n v="5"/>
    <x v="4"/>
    <x v="11"/>
    <x v="2"/>
    <s v="Georg Pipps"/>
    <n v="4918"/>
    <s v="No"/>
    <x v="30"/>
  </r>
  <r>
    <n v="1664973"/>
    <n v="698"/>
    <x v="6"/>
    <d v="2023-08-10T00:00:00"/>
    <x v="73"/>
    <n v="8"/>
    <x v="3"/>
    <x v="8"/>
    <x v="1"/>
    <s v="Ann Brown"/>
    <n v="1301"/>
    <s v="No"/>
    <x v="57"/>
  </r>
  <r>
    <n v="1665135"/>
    <n v="818"/>
    <x v="3"/>
    <d v="2023-12-31T00:00:00"/>
    <x v="156"/>
    <n v="12"/>
    <x v="6"/>
    <x v="0"/>
    <x v="1"/>
    <s v="Valarie Nelson"/>
    <n v="4905"/>
    <s v="No"/>
    <x v="27"/>
  </r>
  <r>
    <n v="1665167"/>
    <n v="479"/>
    <x v="10"/>
    <d v="2023-03-04T00:00:00"/>
    <x v="129"/>
    <n v="3"/>
    <x v="1"/>
    <x v="4"/>
    <x v="3"/>
    <s v="Diego Freyre"/>
    <n v="6692"/>
    <s v="No"/>
    <x v="49"/>
  </r>
  <r>
    <n v="1665250"/>
    <n v="329"/>
    <x v="4"/>
    <d v="2023-05-02T00:00:00"/>
    <x v="58"/>
    <n v="5"/>
    <x v="2"/>
    <x v="11"/>
    <x v="1"/>
    <s v="Maria Larsson"/>
    <n v="6153"/>
    <s v="No"/>
    <x v="39"/>
  </r>
  <r>
    <n v="1665582"/>
    <n v="1022"/>
    <x v="1"/>
    <d v="2023-06-24T00:00:00"/>
    <x v="61"/>
    <n v="6"/>
    <x v="1"/>
    <x v="7"/>
    <x v="0"/>
    <s v="Jesus Fernandez"/>
    <n v="7517"/>
    <s v="No"/>
    <x v="52"/>
  </r>
  <r>
    <n v="1665843"/>
    <n v="1411"/>
    <x v="4"/>
    <d v="2023-07-01T00:00:00"/>
    <x v="129"/>
    <n v="7"/>
    <x v="1"/>
    <x v="6"/>
    <x v="3"/>
    <s v="Wing C Tam"/>
    <n v="687"/>
    <s v="No"/>
    <x v="44"/>
  </r>
  <r>
    <n v="1665934"/>
    <n v="89"/>
    <x v="2"/>
    <d v="2023-09-20T00:00:00"/>
    <x v="84"/>
    <n v="9"/>
    <x v="4"/>
    <x v="10"/>
    <x v="0"/>
    <s v="Eduardo Saavedra"/>
    <n v="4910"/>
    <s v="No"/>
    <x v="19"/>
  </r>
  <r>
    <n v="1666083"/>
    <n v="1307"/>
    <x v="3"/>
    <d v="2023-01-19T00:00:00"/>
    <x v="37"/>
    <n v="1"/>
    <x v="3"/>
    <x v="9"/>
    <x v="0"/>
    <s v="Mary Saveley"/>
    <n v="4117"/>
    <s v="No"/>
    <x v="61"/>
  </r>
  <r>
    <n v="1666505"/>
    <n v="1736"/>
    <x v="0"/>
    <d v="2023-01-22T00:00:00"/>
    <x v="128"/>
    <n v="1"/>
    <x v="6"/>
    <x v="9"/>
    <x v="3"/>
    <s v="Valarie Thompson"/>
    <n v="2955"/>
    <s v="No"/>
    <x v="12"/>
  </r>
  <r>
    <n v="1666521"/>
    <n v="1386"/>
    <x v="9"/>
    <d v="2023-07-30T00:00:00"/>
    <x v="169"/>
    <n v="7"/>
    <x v="6"/>
    <x v="6"/>
    <x v="2"/>
    <s v="William Brown"/>
    <n v="4645"/>
    <s v="No"/>
    <x v="65"/>
  </r>
  <r>
    <n v="1666856"/>
    <n v="1370"/>
    <x v="12"/>
    <d v="2023-10-04T00:00:00"/>
    <x v="8"/>
    <n v="10"/>
    <x v="4"/>
    <x v="3"/>
    <x v="0"/>
    <s v="Kwai Yu"/>
    <n v="148"/>
    <s v="No"/>
    <x v="20"/>
  </r>
  <r>
    <n v="1667133"/>
    <n v="1173"/>
    <x v="0"/>
    <d v="2023-08-14T00:00:00"/>
    <x v="10"/>
    <n v="8"/>
    <x v="5"/>
    <x v="8"/>
    <x v="0"/>
    <s v="Jean Fresnisre"/>
    <n v="8164"/>
    <s v="No"/>
    <x v="58"/>
  </r>
  <r>
    <n v="1667673"/>
    <n v="991"/>
    <x v="0"/>
    <d v="2023-09-09T00:00:00"/>
    <x v="57"/>
    <n v="9"/>
    <x v="1"/>
    <x v="10"/>
    <x v="3"/>
    <s v="Catherine Dewey"/>
    <n v="1581"/>
    <s v="No"/>
    <x v="39"/>
  </r>
  <r>
    <n v="1668081"/>
    <n v="1858"/>
    <x v="0"/>
    <d v="2023-03-05T00:00:00"/>
    <x v="121"/>
    <n v="3"/>
    <x v="6"/>
    <x v="4"/>
    <x v="3"/>
    <s v="Elizabeth Lincoln"/>
    <n v="7774"/>
    <s v="No"/>
    <x v="0"/>
  </r>
  <r>
    <n v="1668581"/>
    <n v="186"/>
    <x v="5"/>
    <d v="2023-09-24T00:00:00"/>
    <x v="35"/>
    <n v="9"/>
    <x v="6"/>
    <x v="10"/>
    <x v="2"/>
    <s v="Juri Yoshido"/>
    <n v="6296"/>
    <s v="No"/>
    <x v="42"/>
  </r>
  <r>
    <n v="1669169"/>
    <n v="1146"/>
    <x v="0"/>
    <d v="2023-05-12T00:00:00"/>
    <x v="135"/>
    <n v="5"/>
    <x v="0"/>
    <x v="11"/>
    <x v="2"/>
    <s v="Victoria Ashworth"/>
    <n v="8796"/>
    <s v="No"/>
    <x v="12"/>
  </r>
  <r>
    <n v="1669358"/>
    <n v="351"/>
    <x v="6"/>
    <d v="2023-02-05T00:00:00"/>
    <x v="179"/>
    <n v="2"/>
    <x v="6"/>
    <x v="5"/>
    <x v="2"/>
    <s v="Janine Labrune"/>
    <n v="462"/>
    <s v="No"/>
    <x v="27"/>
  </r>
  <r>
    <n v="1670695"/>
    <n v="48"/>
    <x v="0"/>
    <d v="2023-03-08T00:00:00"/>
    <x v="21"/>
    <n v="3"/>
    <x v="4"/>
    <x v="4"/>
    <x v="3"/>
    <s v="Christina Berglund"/>
    <n v="8888"/>
    <s v="No"/>
    <x v="50"/>
  </r>
  <r>
    <n v="1670797"/>
    <n v="1465"/>
    <x v="3"/>
    <d v="2023-06-19T00:00:00"/>
    <x v="109"/>
    <n v="6"/>
    <x v="5"/>
    <x v="7"/>
    <x v="0"/>
    <s v="Akiko Shimamura"/>
    <n v="556"/>
    <s v="No"/>
    <x v="37"/>
  </r>
  <r>
    <n v="1671351"/>
    <n v="861"/>
    <x v="0"/>
    <d v="2023-11-25T00:00:00"/>
    <x v="149"/>
    <n v="11"/>
    <x v="1"/>
    <x v="2"/>
    <x v="1"/>
    <s v="Diego Freyre"/>
    <n v="4300"/>
    <s v="No"/>
    <x v="61"/>
  </r>
  <r>
    <n v="1672350"/>
    <n v="1440"/>
    <x v="4"/>
    <d v="2023-03-21T00:00:00"/>
    <x v="36"/>
    <n v="3"/>
    <x v="2"/>
    <x v="4"/>
    <x v="2"/>
    <s v="Pirkko Koskitalo"/>
    <n v="4066"/>
    <s v="No"/>
    <x v="52"/>
  </r>
  <r>
    <n v="1672683"/>
    <n v="727"/>
    <x v="3"/>
    <d v="2023-12-03T00:00:00"/>
    <x v="17"/>
    <n v="12"/>
    <x v="6"/>
    <x v="0"/>
    <x v="1"/>
    <s v="Valarie Nelson"/>
    <n v="8160"/>
    <s v="No"/>
    <x v="71"/>
  </r>
  <r>
    <n v="1673913"/>
    <n v="1434"/>
    <x v="0"/>
    <d v="2023-06-26T00:00:00"/>
    <x v="84"/>
    <n v="6"/>
    <x v="5"/>
    <x v="7"/>
    <x v="0"/>
    <s v="Valarie Nelson"/>
    <n v="4928"/>
    <s v="No"/>
    <x v="48"/>
  </r>
  <r>
    <n v="1674149"/>
    <n v="1974"/>
    <x v="0"/>
    <d v="2023-08-21T00:00:00"/>
    <x v="92"/>
    <n v="8"/>
    <x v="5"/>
    <x v="8"/>
    <x v="3"/>
    <s v="Juri Yoshido"/>
    <n v="2019"/>
    <s v="No"/>
    <x v="8"/>
  </r>
  <r>
    <n v="1674723"/>
    <n v="1511"/>
    <x v="0"/>
    <d v="2023-09-09T00:00:00"/>
    <x v="165"/>
    <n v="9"/>
    <x v="1"/>
    <x v="10"/>
    <x v="2"/>
    <s v="Giovanni Rovelli"/>
    <n v="3096"/>
    <s v="No"/>
    <x v="11"/>
  </r>
  <r>
    <n v="1675193"/>
    <n v="552"/>
    <x v="1"/>
    <d v="2023-11-12T00:00:00"/>
    <x v="100"/>
    <n v="11"/>
    <x v="6"/>
    <x v="2"/>
    <x v="1"/>
    <s v="Peter Ferguson"/>
    <n v="2913"/>
    <s v="No"/>
    <x v="25"/>
  </r>
  <r>
    <n v="1675253"/>
    <n v="632"/>
    <x v="0"/>
    <d v="2023-08-26T00:00:00"/>
    <x v="139"/>
    <n v="8"/>
    <x v="1"/>
    <x v="8"/>
    <x v="2"/>
    <s v="Diego Freyre"/>
    <n v="3340"/>
    <s v="No"/>
    <x v="25"/>
  </r>
  <r>
    <n v="1675528"/>
    <n v="360"/>
    <x v="1"/>
    <d v="2023-07-30T00:00:00"/>
    <x v="19"/>
    <n v="7"/>
    <x v="6"/>
    <x v="6"/>
    <x v="1"/>
    <s v="Wing C Tam"/>
    <n v="3204"/>
    <s v="No"/>
    <x v="24"/>
  </r>
  <r>
    <n v="1676930"/>
    <n v="640"/>
    <x v="3"/>
    <d v="2023-11-24T00:00:00"/>
    <x v="155"/>
    <n v="11"/>
    <x v="0"/>
    <x v="2"/>
    <x v="2"/>
    <s v="Diego Freyre"/>
    <n v="598"/>
    <s v="No"/>
    <x v="66"/>
  </r>
  <r>
    <n v="1677048"/>
    <n v="1415"/>
    <x v="3"/>
    <d v="2023-10-19T00:00:00"/>
    <x v="180"/>
    <n v="10"/>
    <x v="3"/>
    <x v="3"/>
    <x v="1"/>
    <s v="Juri Hirano"/>
    <n v="598"/>
    <s v="No"/>
    <x v="37"/>
  </r>
  <r>
    <n v="1677075"/>
    <n v="460"/>
    <x v="6"/>
    <d v="2023-10-12T00:00:00"/>
    <x v="116"/>
    <n v="10"/>
    <x v="3"/>
    <x v="3"/>
    <x v="3"/>
    <s v="Steve Thompson"/>
    <n v="7376"/>
    <s v="No"/>
    <x v="30"/>
  </r>
  <r>
    <n v="1677682"/>
    <n v="1224"/>
    <x v="3"/>
    <d v="2023-03-26T00:00:00"/>
    <x v="125"/>
    <n v="3"/>
    <x v="6"/>
    <x v="4"/>
    <x v="0"/>
    <s v="Mory Kentary"/>
    <n v="8833"/>
    <s v="No"/>
    <x v="37"/>
  </r>
  <r>
    <n v="1677717"/>
    <n v="376"/>
    <x v="1"/>
    <d v="2023-06-21T00:00:00"/>
    <x v="138"/>
    <n v="6"/>
    <x v="4"/>
    <x v="7"/>
    <x v="0"/>
    <s v="Peter Ferguson"/>
    <n v="8542"/>
    <s v="No"/>
    <x v="20"/>
  </r>
  <r>
    <n v="1678550"/>
    <n v="1521"/>
    <x v="0"/>
    <d v="2023-11-06T00:00:00"/>
    <x v="77"/>
    <n v="11"/>
    <x v="5"/>
    <x v="2"/>
    <x v="0"/>
    <s v="Elizabeth Lincoln"/>
    <n v="8554"/>
    <s v="No"/>
    <x v="51"/>
  </r>
  <r>
    <n v="1679147"/>
    <n v="696"/>
    <x v="3"/>
    <d v="2023-04-16T00:00:00"/>
    <x v="135"/>
    <n v="4"/>
    <x v="6"/>
    <x v="1"/>
    <x v="0"/>
    <s v="Sue Frick"/>
    <n v="4669"/>
    <s v="No"/>
    <x v="35"/>
  </r>
  <r>
    <n v="1679923"/>
    <n v="1835"/>
    <x v="10"/>
    <d v="2023-02-23T00:00:00"/>
    <x v="181"/>
    <n v="2"/>
    <x v="3"/>
    <x v="5"/>
    <x v="1"/>
    <s v="Diego Freyre"/>
    <n v="2710"/>
    <s v="No"/>
    <x v="64"/>
  </r>
  <r>
    <n v="1680806"/>
    <n v="1304"/>
    <x v="2"/>
    <d v="2023-06-23T00:00:00"/>
    <x v="50"/>
    <n v="6"/>
    <x v="0"/>
    <x v="7"/>
    <x v="3"/>
    <s v="Janine Labrune"/>
    <n v="3072"/>
    <s v="No"/>
    <x v="65"/>
  </r>
  <r>
    <n v="1681214"/>
    <n v="291"/>
    <x v="1"/>
    <d v="2023-05-15T00:00:00"/>
    <x v="168"/>
    <n v="5"/>
    <x v="5"/>
    <x v="11"/>
    <x v="2"/>
    <s v="Jan Klaeboe"/>
    <n v="8168"/>
    <s v="No"/>
    <x v="60"/>
  </r>
  <r>
    <n v="1681720"/>
    <n v="71"/>
    <x v="1"/>
    <d v="2023-04-06T00:00:00"/>
    <x v="115"/>
    <n v="4"/>
    <x v="3"/>
    <x v="1"/>
    <x v="0"/>
    <s v="Michael Donnermeyer"/>
    <n v="1552"/>
    <s v="No"/>
    <x v="68"/>
  </r>
  <r>
    <n v="1682186"/>
    <n v="1537"/>
    <x v="0"/>
    <d v="2023-07-31T00:00:00"/>
    <x v="0"/>
    <n v="7"/>
    <x v="5"/>
    <x v="6"/>
    <x v="3"/>
    <s v="Steve Frick"/>
    <n v="9912"/>
    <s v="No"/>
    <x v="69"/>
  </r>
  <r>
    <n v="1682358"/>
    <n v="567"/>
    <x v="6"/>
    <d v="2023-03-27T00:00:00"/>
    <x v="24"/>
    <n v="3"/>
    <x v="5"/>
    <x v="4"/>
    <x v="2"/>
    <s v="Helen Bennett"/>
    <n v="4540"/>
    <s v="No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s v="Amelia"/>
    <s v="Johnson"/>
    <x v="0"/>
    <x v="0"/>
    <n v="100000"/>
    <n v="135017"/>
    <x v="0"/>
  </r>
  <r>
    <x v="1"/>
    <s v="Lukas"/>
    <s v="Schmidt"/>
    <x v="1"/>
    <x v="1"/>
    <n v="200000"/>
    <n v="192740"/>
    <x v="1"/>
  </r>
  <r>
    <x v="2"/>
    <s v="Olivia"/>
    <s v="Jensen"/>
    <x v="2"/>
    <x v="2"/>
    <n v="200000"/>
    <n v="227134"/>
    <x v="0"/>
  </r>
  <r>
    <x v="3"/>
    <s v="Sofia"/>
    <s v="Laine"/>
    <x v="3"/>
    <x v="3"/>
    <n v="100000"/>
    <n v="130274"/>
    <x v="0"/>
  </r>
  <r>
    <x v="4"/>
    <s v="Chloe"/>
    <s v="Dupont"/>
    <x v="4"/>
    <x v="2"/>
    <n v="200000"/>
    <n v="182094"/>
    <x v="1"/>
  </r>
  <r>
    <x v="5"/>
    <s v="Alexander"/>
    <s v="Müller"/>
    <x v="5"/>
    <x v="1"/>
    <n v="200000"/>
    <n v="219735"/>
    <x v="0"/>
  </r>
  <r>
    <x v="6"/>
    <s v="Liam"/>
    <s v="O'Sullivan"/>
    <x v="6"/>
    <x v="2"/>
    <n v="100000"/>
    <n v="145221"/>
    <x v="0"/>
  </r>
  <r>
    <x v="7"/>
    <s v="Sophia"/>
    <s v="Rossi"/>
    <x v="7"/>
    <x v="2"/>
    <n v="200000"/>
    <n v="195983"/>
    <x v="1"/>
  </r>
  <r>
    <x v="8"/>
    <s v="Emma"/>
    <s v="Hansen"/>
    <x v="8"/>
    <x v="3"/>
    <n v="100000"/>
    <n v="107896"/>
    <x v="0"/>
  </r>
  <r>
    <x v="9"/>
    <s v="Ethan"/>
    <s v="Lee"/>
    <x v="9"/>
    <x v="2"/>
    <n v="250000"/>
    <n v="261093"/>
    <x v="0"/>
  </r>
  <r>
    <x v="10"/>
    <s v="Isabella"/>
    <s v="Garcia"/>
    <x v="10"/>
    <x v="1"/>
    <n v="200000"/>
    <n v="242439"/>
    <x v="0"/>
  </r>
  <r>
    <x v="11"/>
    <s v="Noah"/>
    <s v="Meier"/>
    <x v="11"/>
    <x v="1"/>
    <n v="1000000"/>
    <n v="1089868"/>
    <x v="0"/>
  </r>
  <r>
    <x v="12"/>
    <s v="Ava"/>
    <s v="Williams"/>
    <x v="12"/>
    <x v="0"/>
    <n v="100000"/>
    <n v="88953"/>
    <x v="1"/>
  </r>
  <r>
    <x v="13"/>
    <s v="Dev"/>
    <s v="Patel"/>
    <x v="13"/>
    <x v="4"/>
    <n v="200000"/>
    <n v="203887"/>
    <x v="0"/>
  </r>
  <r>
    <x v="14"/>
    <s v="Mia"/>
    <s v="Khan"/>
    <x v="14"/>
    <x v="0"/>
    <n v="50000"/>
    <n v="49487"/>
    <x v="1"/>
  </r>
  <r>
    <x v="15"/>
    <s v="William"/>
    <s v="Brown"/>
    <x v="15"/>
    <x v="3"/>
    <n v="100000"/>
    <n v="84119"/>
    <x v="1"/>
  </r>
  <r>
    <x v="16"/>
    <s v="Sophie"/>
    <s v="Gruber"/>
    <x v="16"/>
    <x v="4"/>
    <n v="100000"/>
    <n v="98119"/>
    <x v="1"/>
  </r>
  <r>
    <x v="17"/>
    <s v="Lucas"/>
    <s v="Nielsen"/>
    <x v="17"/>
    <x v="3"/>
    <n v="150000"/>
    <n v="173391"/>
    <x v="0"/>
  </r>
  <r>
    <x v="18"/>
    <s v="Aino"/>
    <s v="Virtanen"/>
    <x v="18"/>
    <x v="2"/>
    <n v="150000"/>
    <n v="145237"/>
    <x v="1"/>
  </r>
  <r>
    <x v="19"/>
    <s v="Emily"/>
    <s v="Dubois"/>
    <x v="19"/>
    <x v="4"/>
    <n v="150000"/>
    <n v="115291"/>
    <x v="1"/>
  </r>
  <r>
    <x v="20"/>
    <s v="Benjamin"/>
    <s v="Weber"/>
    <x v="20"/>
    <x v="0"/>
    <n v="100000"/>
    <n v="98950"/>
    <x v="1"/>
  </r>
  <r>
    <x v="21"/>
    <s v="Emily"/>
    <s v="Murphy"/>
    <x v="21"/>
    <x v="1"/>
    <n v="150000"/>
    <n v="175816"/>
    <x v="0"/>
  </r>
  <r>
    <x v="22"/>
    <s v="Marco"/>
    <s v="Bianchi"/>
    <x v="22"/>
    <x v="1"/>
    <n v="150000"/>
    <n v="137504"/>
    <x v="1"/>
  </r>
  <r>
    <x v="23"/>
    <s v="Lucas"/>
    <s v="Olsen"/>
    <x v="23"/>
    <x v="3"/>
    <n v="100000"/>
    <n v="108833"/>
    <x v="0"/>
  </r>
  <r>
    <x v="24"/>
    <s v="Benjamin"/>
    <s v="Chen"/>
    <x v="24"/>
    <x v="4"/>
    <n v="1000000"/>
    <n v="776835"/>
    <x v="1"/>
  </r>
  <r>
    <x v="25"/>
    <s v="Daniela"/>
    <s v="Hernandez"/>
    <x v="25"/>
    <x v="3"/>
    <n v="100000"/>
    <n v="94689"/>
    <x v="1"/>
  </r>
  <r>
    <x v="26"/>
    <s v="Liam"/>
    <s v="Baumann"/>
    <x v="26"/>
    <x v="2"/>
    <n v="100000"/>
    <n v="132192"/>
    <x v="0"/>
  </r>
  <r>
    <x v="27"/>
    <s v="Charlotte"/>
    <s v="Miller"/>
    <x v="27"/>
    <x v="3"/>
    <n v="150000"/>
    <n v="125181"/>
    <x v="1"/>
  </r>
  <r>
    <x v="28"/>
    <s v="Priya"/>
    <s v="Kapoor"/>
    <x v="28"/>
    <x v="1"/>
    <n v="150000"/>
    <n v="188709"/>
    <x v="0"/>
  </r>
  <r>
    <x v="29"/>
    <s v="Oliver"/>
    <s v="Kumar"/>
    <x v="29"/>
    <x v="2"/>
    <n v="50000"/>
    <n v="57084"/>
    <x v="0"/>
  </r>
  <r>
    <x v="30"/>
    <s v="Amelia"/>
    <s v="Johnson"/>
    <x v="0"/>
    <x v="0"/>
    <n v="100000"/>
    <n v="92100"/>
    <x v="1"/>
  </r>
  <r>
    <x v="31"/>
    <s v="Lukas"/>
    <s v="Schmidt"/>
    <x v="1"/>
    <x v="1"/>
    <n v="100000"/>
    <n v="94314"/>
    <x v="1"/>
  </r>
  <r>
    <x v="32"/>
    <s v="Olivia"/>
    <s v="Jensen"/>
    <x v="2"/>
    <x v="2"/>
    <n v="100000"/>
    <n v="110015"/>
    <x v="0"/>
  </r>
  <r>
    <x v="33"/>
    <s v="Sofia"/>
    <s v="Laine"/>
    <x v="3"/>
    <x v="3"/>
    <n v="150000"/>
    <n v="167417"/>
    <x v="0"/>
  </r>
  <r>
    <x v="34"/>
    <s v="Chloe"/>
    <s v="Dupont"/>
    <x v="4"/>
    <x v="2"/>
    <n v="150000"/>
    <n v="139565"/>
    <x v="1"/>
  </r>
  <r>
    <x v="35"/>
    <s v="Alexander"/>
    <s v="Müller"/>
    <x v="5"/>
    <x v="1"/>
    <n v="80000"/>
    <n v="71209"/>
    <x v="1"/>
  </r>
  <r>
    <x v="36"/>
    <s v="Liam"/>
    <s v="O'Sullivan"/>
    <x v="6"/>
    <x v="2"/>
    <n v="150000"/>
    <n v="143869"/>
    <x v="1"/>
  </r>
  <r>
    <x v="37"/>
    <s v="Sophia"/>
    <s v="Rossi"/>
    <x v="7"/>
    <x v="2"/>
    <n v="150000"/>
    <n v="123241"/>
    <x v="1"/>
  </r>
  <r>
    <x v="38"/>
    <s v="Emma"/>
    <s v="Hansen"/>
    <x v="8"/>
    <x v="3"/>
    <n v="100000"/>
    <n v="92050"/>
    <x v="1"/>
  </r>
  <r>
    <x v="39"/>
    <s v="Ethan"/>
    <s v="Lee"/>
    <x v="9"/>
    <x v="2"/>
    <n v="30000"/>
    <n v="25048"/>
    <x v="1"/>
  </r>
  <r>
    <x v="40"/>
    <s v="Isabella"/>
    <s v="Garcia"/>
    <x v="10"/>
    <x v="1"/>
    <n v="150000"/>
    <n v="144598"/>
    <x v="1"/>
  </r>
  <r>
    <x v="41"/>
    <s v="Noah"/>
    <s v="Meier"/>
    <x v="11"/>
    <x v="1"/>
    <n v="100000"/>
    <n v="130563"/>
    <x v="0"/>
  </r>
  <r>
    <x v="42"/>
    <s v="Ava"/>
    <s v="Williams"/>
    <x v="12"/>
    <x v="0"/>
    <n v="150000"/>
    <n v="133448"/>
    <x v="1"/>
  </r>
  <r>
    <x v="43"/>
    <s v="Dev"/>
    <s v="Patel"/>
    <x v="13"/>
    <x v="4"/>
    <n v="100000"/>
    <n v="88589"/>
    <x v="1"/>
  </r>
  <r>
    <x v="44"/>
    <s v="Mia"/>
    <s v="Khan"/>
    <x v="14"/>
    <x v="0"/>
    <n v="30000"/>
    <n v="31897"/>
    <x v="0"/>
  </r>
  <r>
    <x v="45"/>
    <s v="William"/>
    <s v="Brown"/>
    <x v="15"/>
    <x v="3"/>
    <n v="100000"/>
    <n v="93064"/>
    <x v="1"/>
  </r>
  <r>
    <x v="46"/>
    <s v="Sophie"/>
    <s v="Gruber"/>
    <x v="16"/>
    <x v="4"/>
    <n v="100000"/>
    <n v="78336"/>
    <x v="1"/>
  </r>
  <r>
    <x v="47"/>
    <s v="Lucas"/>
    <s v="Nielsen"/>
    <x v="17"/>
    <x v="3"/>
    <n v="150000"/>
    <n v="107830"/>
    <x v="1"/>
  </r>
  <r>
    <x v="48"/>
    <s v="Aino"/>
    <s v="Virtanen"/>
    <x v="18"/>
    <x v="2"/>
    <n v="100000"/>
    <n v="99157"/>
    <x v="1"/>
  </r>
  <r>
    <x v="49"/>
    <s v="Emily"/>
    <s v="Dubois"/>
    <x v="19"/>
    <x v="4"/>
    <n v="150000"/>
    <n v="164789"/>
    <x v="0"/>
  </r>
  <r>
    <x v="50"/>
    <s v="Benjamin"/>
    <s v="Weber"/>
    <x v="20"/>
    <x v="0"/>
    <n v="250000"/>
    <n v="171694"/>
    <x v="1"/>
  </r>
  <r>
    <x v="51"/>
    <s v="Emily"/>
    <s v="Murphy"/>
    <x v="21"/>
    <x v="1"/>
    <n v="50000"/>
    <n v="45184"/>
    <x v="1"/>
  </r>
  <r>
    <x v="52"/>
    <s v="Marco"/>
    <s v="Bianchi"/>
    <x v="22"/>
    <x v="1"/>
    <n v="100000"/>
    <n v="89991"/>
    <x v="1"/>
  </r>
  <r>
    <x v="53"/>
    <s v="Lucas"/>
    <s v="Olsen"/>
    <x v="23"/>
    <x v="3"/>
    <n v="150000"/>
    <n v="166573"/>
    <x v="0"/>
  </r>
  <r>
    <x v="54"/>
    <s v="Benjamin"/>
    <s v="Chen"/>
    <x v="24"/>
    <x v="4"/>
    <n v="150000"/>
    <n v="156971"/>
    <x v="0"/>
  </r>
  <r>
    <x v="55"/>
    <s v="Daniela"/>
    <s v="Hernandez"/>
    <x v="25"/>
    <x v="3"/>
    <n v="200000"/>
    <n v="201398"/>
    <x v="0"/>
  </r>
  <r>
    <x v="56"/>
    <s v="Liam"/>
    <s v="Baumann"/>
    <x v="26"/>
    <x v="2"/>
    <n v="150000"/>
    <n v="88917"/>
    <x v="1"/>
  </r>
  <r>
    <x v="57"/>
    <s v="Charlotte"/>
    <s v="Miller"/>
    <x v="27"/>
    <x v="3"/>
    <n v="100000"/>
    <n v="115877"/>
    <x v="0"/>
  </r>
  <r>
    <x v="58"/>
    <s v="Priya"/>
    <s v="Kapoor"/>
    <x v="28"/>
    <x v="1"/>
    <n v="100000"/>
    <n v="87374"/>
    <x v="1"/>
  </r>
  <r>
    <x v="59"/>
    <s v="Oliver"/>
    <s v="Kumar"/>
    <x v="29"/>
    <x v="2"/>
    <n v="150000"/>
    <n v="155548"/>
    <x v="0"/>
  </r>
  <r>
    <x v="60"/>
    <s v="Amelia"/>
    <s v="Johnson"/>
    <x v="0"/>
    <x v="0"/>
    <n v="150000"/>
    <n v="156627"/>
    <x v="0"/>
  </r>
  <r>
    <x v="61"/>
    <s v="Lukas"/>
    <s v="Schmidt"/>
    <x v="1"/>
    <x v="1"/>
    <n v="80000"/>
    <n v="87550"/>
    <x v="0"/>
  </r>
  <r>
    <x v="62"/>
    <s v="Olivia"/>
    <s v="Jensen"/>
    <x v="2"/>
    <x v="2"/>
    <n v="50000"/>
    <n v="44651"/>
    <x v="1"/>
  </r>
  <r>
    <x v="63"/>
    <s v="Sofia"/>
    <s v="Laine"/>
    <x v="3"/>
    <x v="3"/>
    <n v="30000"/>
    <n v="10197"/>
    <x v="1"/>
  </r>
  <r>
    <x v="64"/>
    <s v="Chloe"/>
    <s v="Dupont"/>
    <x v="4"/>
    <x v="2"/>
    <n v="80000"/>
    <n v="56034"/>
    <x v="1"/>
  </r>
  <r>
    <x v="65"/>
    <s v="Alexander"/>
    <s v="Müller"/>
    <x v="5"/>
    <x v="1"/>
    <n v="100000"/>
    <n v="116145"/>
    <x v="0"/>
  </r>
  <r>
    <x v="66"/>
    <s v="Liam"/>
    <s v="O'Sullivan"/>
    <x v="6"/>
    <x v="2"/>
    <n v="200000"/>
    <n v="63116"/>
    <x v="1"/>
  </r>
  <r>
    <x v="67"/>
    <s v="Sophia"/>
    <s v="Rossi"/>
    <x v="7"/>
    <x v="2"/>
    <n v="100000"/>
    <n v="87269"/>
    <x v="1"/>
  </r>
  <r>
    <x v="68"/>
    <s v="Emma"/>
    <s v="Hansen"/>
    <x v="8"/>
    <x v="3"/>
    <n v="150000"/>
    <n v="158488"/>
    <x v="0"/>
  </r>
  <r>
    <x v="69"/>
    <s v="Ethan"/>
    <s v="Lee"/>
    <x v="9"/>
    <x v="2"/>
    <n v="100000"/>
    <n v="74372"/>
    <x v="1"/>
  </r>
  <r>
    <x v="70"/>
    <s v="Isabella"/>
    <s v="Garcia"/>
    <x v="10"/>
    <x v="1"/>
    <n v="150000"/>
    <n v="153373"/>
    <x v="0"/>
  </r>
  <r>
    <x v="71"/>
    <s v="Noah"/>
    <s v="Meier"/>
    <x v="11"/>
    <x v="1"/>
    <n v="100000"/>
    <n v="86682"/>
    <x v="1"/>
  </r>
  <r>
    <x v="72"/>
    <s v="Ava"/>
    <s v="Williams"/>
    <x v="12"/>
    <x v="0"/>
    <n v="100000"/>
    <n v="91534"/>
    <x v="1"/>
  </r>
  <r>
    <x v="73"/>
    <s v="Dev"/>
    <s v="Patel"/>
    <x v="13"/>
    <x v="4"/>
    <n v="100000"/>
    <n v="107329"/>
    <x v="0"/>
  </r>
  <r>
    <x v="74"/>
    <s v="Mia"/>
    <s v="Khan"/>
    <x v="14"/>
    <x v="0"/>
    <n v="100000"/>
    <n v="73048"/>
    <x v="1"/>
  </r>
  <r>
    <x v="75"/>
    <s v="William"/>
    <s v="Brown"/>
    <x v="15"/>
    <x v="3"/>
    <n v="100000"/>
    <n v="86855"/>
    <x v="1"/>
  </r>
  <r>
    <x v="76"/>
    <s v="Sophie"/>
    <s v="Gruber"/>
    <x v="16"/>
    <x v="4"/>
    <n v="80000"/>
    <n v="67941"/>
    <x v="1"/>
  </r>
  <r>
    <x v="77"/>
    <s v="Lucas"/>
    <s v="Nielsen"/>
    <x v="17"/>
    <x v="3"/>
    <n v="100000"/>
    <n v="85772"/>
    <x v="1"/>
  </r>
  <r>
    <x v="78"/>
    <s v="Aino"/>
    <s v="Virtanen"/>
    <x v="18"/>
    <x v="2"/>
    <n v="30000"/>
    <n v="38017"/>
    <x v="0"/>
  </r>
  <r>
    <x v="79"/>
    <s v="Emily"/>
    <s v="Dubois"/>
    <x v="19"/>
    <x v="4"/>
    <n v="30000"/>
    <n v="42553"/>
    <x v="0"/>
  </r>
  <r>
    <x v="80"/>
    <s v="Benjamin"/>
    <s v="Weber"/>
    <x v="20"/>
    <x v="0"/>
    <n v="200000"/>
    <n v="195359"/>
    <x v="1"/>
  </r>
  <r>
    <x v="81"/>
    <s v="Emily"/>
    <s v="Murphy"/>
    <x v="21"/>
    <x v="1"/>
    <n v="80000"/>
    <n v="67627"/>
    <x v="1"/>
  </r>
  <r>
    <x v="82"/>
    <s v="Marco"/>
    <s v="Bianchi"/>
    <x v="22"/>
    <x v="1"/>
    <n v="250000"/>
    <n v="261772"/>
    <x v="0"/>
  </r>
  <r>
    <x v="83"/>
    <s v="Lucas"/>
    <s v="Olsen"/>
    <x v="23"/>
    <x v="3"/>
    <n v="100000"/>
    <n v="44273"/>
    <x v="1"/>
  </r>
  <r>
    <x v="84"/>
    <s v="Benjamin"/>
    <s v="Chen"/>
    <x v="24"/>
    <x v="4"/>
    <n v="150000"/>
    <n v="98774"/>
    <x v="1"/>
  </r>
  <r>
    <x v="85"/>
    <s v="Daniela"/>
    <s v="Hernandez"/>
    <x v="25"/>
    <x v="3"/>
    <n v="100000"/>
    <n v="94616"/>
    <x v="1"/>
  </r>
  <r>
    <x v="86"/>
    <s v="Liam"/>
    <s v="Baumann"/>
    <x v="26"/>
    <x v="2"/>
    <n v="50000"/>
    <n v="51911"/>
    <x v="0"/>
  </r>
  <r>
    <x v="87"/>
    <s v="Charlotte"/>
    <s v="Miller"/>
    <x v="27"/>
    <x v="3"/>
    <n v="80000"/>
    <n v="86182"/>
    <x v="0"/>
  </r>
  <r>
    <x v="88"/>
    <s v="Priya"/>
    <s v="Kapoor"/>
    <x v="28"/>
    <x v="1"/>
    <n v="100000"/>
    <n v="85279"/>
    <x v="1"/>
  </r>
  <r>
    <x v="89"/>
    <s v="Oliver"/>
    <s v="Kumar"/>
    <x v="29"/>
    <x v="2"/>
    <n v="80000"/>
    <n v="70369"/>
    <x v="1"/>
  </r>
  <r>
    <x v="90"/>
    <s v="Noah"/>
    <s v="Meier"/>
    <x v="11"/>
    <x v="1"/>
    <n v="100000"/>
    <n v="95828"/>
    <x v="1"/>
  </r>
  <r>
    <x v="91"/>
    <s v="Ava"/>
    <s v="Williams"/>
    <x v="12"/>
    <x v="0"/>
    <n v="50000"/>
    <n v="4195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Kalle Suominen"/>
    <s v="Amelia"/>
    <s v="Johnson"/>
    <s v="Amelia Johnson"/>
    <x v="0"/>
    <n v="100000"/>
    <n v="135017"/>
    <s v="Target Exceeded"/>
    <n v="0"/>
    <x v="0"/>
  </r>
  <r>
    <s v="Julie Brown"/>
    <s v="Lukas"/>
    <s v="Schmidt"/>
    <s v="Lukas Schmidt"/>
    <x v="1"/>
    <n v="200000"/>
    <n v="192740"/>
    <s v="Target Not Met"/>
    <n v="7260"/>
    <x v="1"/>
  </r>
  <r>
    <s v="Jeff Young"/>
    <s v="Olivia"/>
    <s v="Jensen"/>
    <s v="Olivia Jensen"/>
    <x v="2"/>
    <n v="200000"/>
    <n v="227134"/>
    <s v="Target Exceeded"/>
    <n v="0"/>
    <x v="2"/>
  </r>
  <r>
    <s v="Kyung Yu"/>
    <s v="Sofia"/>
    <s v="Laine"/>
    <s v="Sofia Laine"/>
    <x v="3"/>
    <n v="100000"/>
    <n v="130274"/>
    <s v="Target Exceeded"/>
    <n v="0"/>
    <x v="3"/>
  </r>
  <r>
    <s v="Adrian Huxley"/>
    <s v="Chloe"/>
    <s v="Dupont"/>
    <s v="Chloe Dupont"/>
    <x v="2"/>
    <n v="200000"/>
    <n v="182094"/>
    <s v="Target Not Met"/>
    <n v="17906"/>
    <x v="4"/>
  </r>
  <r>
    <s v="Kwai Yu"/>
    <s v="Alexander"/>
    <s v="Müller"/>
    <s v="Alexander Müller"/>
    <x v="1"/>
    <n v="200000"/>
    <n v="219735"/>
    <s v="Target Exceeded"/>
    <n v="0"/>
    <x v="5"/>
  </r>
  <r>
    <s v="Jytte Petersen"/>
    <s v="Liam"/>
    <s v="O'Sullivan"/>
    <s v="Liam O'Sullivan"/>
    <x v="2"/>
    <n v="100000"/>
    <n v="145221"/>
    <s v="Target Exceeded"/>
    <n v="0"/>
    <x v="6"/>
  </r>
  <r>
    <s v="Paul Henriot"/>
    <s v="Sophia"/>
    <s v="Rossi"/>
    <s v="Sophia Rossi"/>
    <x v="2"/>
    <n v="200000"/>
    <n v="195983"/>
    <s v="Target Not Met"/>
    <n v="4017"/>
    <x v="7"/>
  </r>
  <r>
    <s v="Sue King"/>
    <s v="Emma"/>
    <s v="Hansen"/>
    <s v="Emma Hansen"/>
    <x v="3"/>
    <n v="100000"/>
    <n v="107896"/>
    <s v="Target Exceeded"/>
    <n v="0"/>
    <x v="8"/>
  </r>
  <r>
    <s v="Victoria Ashworth"/>
    <s v="Ethan"/>
    <s v="Lee"/>
    <s v="Ethan Lee"/>
    <x v="2"/>
    <n v="250000"/>
    <n v="261093"/>
    <s v="Target Exceeded"/>
    <n v="0"/>
    <x v="9"/>
  </r>
  <r>
    <s v="Anna O'Hara"/>
    <s v="Isabella"/>
    <s v="Garcia"/>
    <s v="Isabella Garcia"/>
    <x v="1"/>
    <n v="200000"/>
    <n v="242439"/>
    <s v="Target Exceeded"/>
    <n v="0"/>
    <x v="10"/>
  </r>
  <r>
    <s v="Diego Freyre"/>
    <s v="Noah"/>
    <s v="Meier"/>
    <s v="Noah Meier"/>
    <x v="1"/>
    <n v="1000000"/>
    <n v="1089868"/>
    <s v="Target Exceeded"/>
    <n v="0"/>
    <x v="11"/>
  </r>
  <r>
    <s v="Akiko Shimamura"/>
    <s v="Ava"/>
    <s v="Williams"/>
    <s v="Ava Williams"/>
    <x v="0"/>
    <n v="100000"/>
    <n v="88953"/>
    <s v="Target Not Met"/>
    <n v="11047"/>
    <x v="12"/>
  </r>
  <r>
    <s v="Janine Labrune"/>
    <s v="Dev"/>
    <s v="Patel"/>
    <s v="Dev Patel"/>
    <x v="4"/>
    <n v="200000"/>
    <n v="203887"/>
    <s v="Target Exceeded"/>
    <n v="0"/>
    <x v="13"/>
  </r>
  <r>
    <s v="Thomas Hardy"/>
    <s v="Mia"/>
    <s v="Khan"/>
    <s v="Mia Khan"/>
    <x v="0"/>
    <n v="50000"/>
    <n v="49487"/>
    <s v="Target Not Met"/>
    <n v="513"/>
    <x v="14"/>
  </r>
  <r>
    <s v="Annette Roulet"/>
    <s v="William"/>
    <s v="Brown"/>
    <s v="William Brown"/>
    <x v="3"/>
    <n v="100000"/>
    <n v="84119"/>
    <s v="Target Not Met"/>
    <n v="15881"/>
    <x v="15"/>
  </r>
  <r>
    <s v="Steve Frick"/>
    <s v="Sophie"/>
    <s v="Gruber"/>
    <s v="Sophie Gruber"/>
    <x v="4"/>
    <n v="100000"/>
    <n v="98119"/>
    <s v="Target Not Met"/>
    <n v="1881"/>
    <x v="16"/>
  </r>
  <r>
    <s v="Mary Saveley"/>
    <s v="Lucas"/>
    <s v="Nielsen"/>
    <s v="Lucas Nielsen"/>
    <x v="3"/>
    <n v="150000"/>
    <n v="173391"/>
    <s v="Target Exceeded"/>
    <n v="0"/>
    <x v="17"/>
  </r>
  <r>
    <s v="Henriette Pfalzheim"/>
    <s v="Aino"/>
    <s v="Virtanen"/>
    <s v="Aino Virtanen"/>
    <x v="2"/>
    <n v="150000"/>
    <n v="145237"/>
    <s v="Target Not Met"/>
    <n v="4763"/>
    <x v="18"/>
  </r>
  <r>
    <s v="Laurence Lebihan"/>
    <s v="Emily"/>
    <s v="Dubois"/>
    <s v="Emily Dubois"/>
    <x v="4"/>
    <n v="150000"/>
    <n v="115291"/>
    <s v="Target Not Met"/>
    <n v="34709"/>
    <x v="19"/>
  </r>
  <r>
    <s v="Catherine Dewey"/>
    <s v="Benjamin"/>
    <s v="Weber"/>
    <s v="Benjamin Weber"/>
    <x v="0"/>
    <n v="100000"/>
    <n v="98950"/>
    <s v="Target Not Met"/>
    <n v="1050"/>
    <x v="20"/>
  </r>
  <r>
    <s v="Giovanni Rovelli"/>
    <s v="Emily"/>
    <s v="Murphy"/>
    <s v="Emily Murphy"/>
    <x v="1"/>
    <n v="150000"/>
    <n v="175816"/>
    <s v="Target Exceeded"/>
    <n v="0"/>
    <x v="21"/>
  </r>
  <r>
    <s v="Paolo Accorti"/>
    <s v="Marco"/>
    <s v="Bianchi"/>
    <s v="Marco Bianchi"/>
    <x v="1"/>
    <n v="150000"/>
    <n v="137504"/>
    <s v="Target Not Met"/>
    <n v="12496"/>
    <x v="22"/>
  </r>
  <r>
    <s v="Daniel Da Cunha"/>
    <s v="Lucas"/>
    <s v="Olsen"/>
    <s v="Lucas Olsen"/>
    <x v="3"/>
    <n v="100000"/>
    <n v="108833"/>
    <s v="Target Exceeded"/>
    <n v="0"/>
    <x v="23"/>
  </r>
  <r>
    <s v="Valarie Nelson"/>
    <s v="Benjamin"/>
    <s v="Chen"/>
    <s v="Benjamin Chen"/>
    <x v="4"/>
    <n v="1000000"/>
    <n v="776835"/>
    <s v="Target Not Met"/>
    <n v="223165"/>
    <x v="24"/>
  </r>
  <r>
    <s v="Frederique Citeaux"/>
    <s v="Daniela"/>
    <s v="Hernandez"/>
    <s v="Daniela Hernandez"/>
    <x v="3"/>
    <n v="100000"/>
    <n v="94689"/>
    <s v="Target Not Met"/>
    <n v="5311"/>
    <x v="25"/>
  </r>
  <r>
    <s v="Arnold Cruz"/>
    <s v="Liam"/>
    <s v="Baumann"/>
    <s v="Liam Baumann"/>
    <x v="2"/>
    <n v="100000"/>
    <n v="132192"/>
    <s v="Target Exceeded"/>
    <n v="0"/>
    <x v="26"/>
  </r>
  <r>
    <s v="Marie Bertrand"/>
    <s v="Charlotte"/>
    <s v="Miller"/>
    <s v="Charlotte Miller"/>
    <x v="3"/>
    <n v="150000"/>
    <n v="125181"/>
    <s v="Target Not Met"/>
    <n v="24819"/>
    <x v="27"/>
  </r>
  <r>
    <s v="Georg Pipps"/>
    <s v="Priya"/>
    <s v="Kapoor"/>
    <s v="Priya Kapoor"/>
    <x v="1"/>
    <n v="150000"/>
    <n v="188709"/>
    <s v="Target Exceeded"/>
    <n v="0"/>
    <x v="28"/>
  </r>
  <r>
    <s v="Dean Cassidy"/>
    <s v="Oliver"/>
    <s v="Kumar"/>
    <s v="Oliver Kumar"/>
    <x v="2"/>
    <n v="50000"/>
    <n v="57084"/>
    <s v="Target Exceeded"/>
    <n v="0"/>
    <x v="29"/>
  </r>
  <r>
    <s v="Rosa Hernandez"/>
    <s v="Amelia"/>
    <s v="Johnson"/>
    <s v="Amelia Johnson"/>
    <x v="0"/>
    <n v="100000"/>
    <n v="92100"/>
    <s v="Target Not Met"/>
    <n v="7900"/>
    <x v="30"/>
  </r>
  <r>
    <s v="Violeta Benitez"/>
    <s v="Lukas"/>
    <s v="Schmidt"/>
    <s v="Lukas Schmidt"/>
    <x v="1"/>
    <n v="100000"/>
    <n v="94314"/>
    <s v="Target Not Met"/>
    <n v="5686"/>
    <x v="31"/>
  </r>
  <r>
    <s v="Christina Berglund"/>
    <s v="Olivia"/>
    <s v="Jensen"/>
    <s v="Olivia Jensen"/>
    <x v="2"/>
    <n v="100000"/>
    <n v="110015"/>
    <s v="Target Exceeded"/>
    <n v="0"/>
    <x v="32"/>
  </r>
  <r>
    <s v="Juri Hirano"/>
    <s v="Sofia"/>
    <s v="Laine"/>
    <s v="Sofia Laine"/>
    <x v="3"/>
    <n v="150000"/>
    <n v="167417"/>
    <s v="Target Exceeded"/>
    <n v="0"/>
    <x v="33"/>
  </r>
  <r>
    <s v="Mart¡n Sommer"/>
    <s v="Chloe"/>
    <s v="Dupont"/>
    <s v="Chloe Dupont"/>
    <x v="2"/>
    <n v="150000"/>
    <n v="139565"/>
    <s v="Target Not Met"/>
    <n v="10435"/>
    <x v="34"/>
  </r>
  <r>
    <s v="Elizabeth Lincoln"/>
    <s v="Alexander"/>
    <s v="Müller"/>
    <s v="Alexander Müller"/>
    <x v="1"/>
    <n v="80000"/>
    <n v="71209"/>
    <s v="Target Not Met"/>
    <n v="8791"/>
    <x v="35"/>
  </r>
  <r>
    <s v="Dominique Perrier"/>
    <s v="Liam"/>
    <s v="O'Sullivan"/>
    <s v="Liam O'Sullivan"/>
    <x v="2"/>
    <n v="150000"/>
    <n v="143869"/>
    <s v="Target Not Met"/>
    <n v="6131"/>
    <x v="36"/>
  </r>
  <r>
    <s v="Michael Frick"/>
    <s v="Sophia"/>
    <s v="Rossi"/>
    <s v="Sophia Rossi"/>
    <x v="2"/>
    <n v="150000"/>
    <n v="123241"/>
    <s v="Target Not Met"/>
    <n v="26759"/>
    <x v="37"/>
  </r>
  <r>
    <s v="Valarie Franco"/>
    <s v="Emma"/>
    <s v="Hansen"/>
    <s v="Emma Hansen"/>
    <x v="3"/>
    <n v="100000"/>
    <n v="92050"/>
    <s v="Target Not Met"/>
    <n v="7950"/>
    <x v="38"/>
  </r>
  <r>
    <s v="Leslie Taylor"/>
    <s v="Ethan"/>
    <s v="Lee"/>
    <s v="Ethan Lee"/>
    <x v="2"/>
    <n v="30000"/>
    <n v="25048"/>
    <s v="Target Not Met"/>
    <n v="4952"/>
    <x v="39"/>
  </r>
  <r>
    <s v="Marta Hernandez"/>
    <s v="Isabella"/>
    <s v="Garcia"/>
    <s v="Isabella Garcia"/>
    <x v="1"/>
    <n v="150000"/>
    <n v="144598"/>
    <s v="Target Not Met"/>
    <n v="5402"/>
    <x v="40"/>
  </r>
  <r>
    <s v="Julie King"/>
    <s v="Noah"/>
    <s v="Meier"/>
    <s v="Noah Meier"/>
    <x v="1"/>
    <n v="100000"/>
    <n v="130563"/>
    <s v="Target Exceeded"/>
    <n v="0"/>
    <x v="41"/>
  </r>
  <r>
    <s v="Matti Karttunen"/>
    <s v="Ava"/>
    <s v="Williams"/>
    <s v="Ava Williams"/>
    <x v="0"/>
    <n v="150000"/>
    <n v="133448"/>
    <s v="Target Not Met"/>
    <n v="16552"/>
    <x v="42"/>
  </r>
  <r>
    <s v="Francisca Cervantes"/>
    <s v="Dev"/>
    <s v="Patel"/>
    <s v="Dev Patel"/>
    <x v="4"/>
    <n v="100000"/>
    <n v="88589"/>
    <s v="Target Not Met"/>
    <n v="11411"/>
    <x v="43"/>
  </r>
  <r>
    <s v="Michael Donnermeyer"/>
    <s v="Mia"/>
    <s v="Khan"/>
    <s v="Mia Khan"/>
    <x v="0"/>
    <n v="30000"/>
    <n v="31897"/>
    <s v="Target Exceeded"/>
    <n v="0"/>
    <x v="44"/>
  </r>
  <r>
    <s v="Yoshi Tannamuri"/>
    <s v="William"/>
    <s v="Brown"/>
    <s v="William Brown"/>
    <x v="3"/>
    <n v="100000"/>
    <n v="93064"/>
    <s v="Target Not Met"/>
    <n v="6936"/>
    <x v="45"/>
  </r>
  <r>
    <s v="Juri Yoshido"/>
    <s v="Sophie"/>
    <s v="Gruber"/>
    <s v="Sophie Gruber"/>
    <x v="4"/>
    <n v="100000"/>
    <n v="78336"/>
    <s v="Target Not Met"/>
    <n v="21664"/>
    <x v="46"/>
  </r>
  <r>
    <s v="Jan Klaeboe"/>
    <s v="Lucas"/>
    <s v="Nielsen"/>
    <s v="Lucas Nielsen"/>
    <x v="3"/>
    <n v="150000"/>
    <n v="107830"/>
    <s v="Target Not Met"/>
    <n v="42170"/>
    <x v="47"/>
  </r>
  <r>
    <s v="Pirkko Koskitalo"/>
    <s v="Aino"/>
    <s v="Virtanen"/>
    <s v="Aino Virtanen"/>
    <x v="2"/>
    <n v="100000"/>
    <n v="99157"/>
    <s v="Target Not Met"/>
    <n v="843"/>
    <x v="48"/>
  </r>
  <r>
    <s v="Maurizio Moroni"/>
    <s v="Emily"/>
    <s v="Dubois"/>
    <s v="Emily Dubois"/>
    <x v="4"/>
    <n v="150000"/>
    <n v="164789"/>
    <s v="Target Exceeded"/>
    <n v="0"/>
    <x v="49"/>
  </r>
  <r>
    <s v="Wendy Victorino"/>
    <s v="Benjamin"/>
    <s v="Weber"/>
    <s v="Benjamin Weber"/>
    <x v="0"/>
    <n v="250000"/>
    <n v="171694"/>
    <s v="Target Not Met"/>
    <n v="78306"/>
    <x v="50"/>
  </r>
  <r>
    <s v="Eduardo Saavedra"/>
    <s v="Emily"/>
    <s v="Murphy"/>
    <s v="Emily Murphy"/>
    <x v="1"/>
    <n v="50000"/>
    <n v="45184"/>
    <s v="Target Not Met"/>
    <n v="4816"/>
    <x v="51"/>
  </r>
  <r>
    <s v="Ann Brown"/>
    <s v="Marco"/>
    <s v="Bianchi"/>
    <s v="Marco Bianchi"/>
    <x v="1"/>
    <n v="100000"/>
    <n v="89991"/>
    <s v="Target Not Met"/>
    <n v="10009"/>
    <x v="52"/>
  </r>
  <r>
    <s v="Valarie Young"/>
    <s v="Lucas"/>
    <s v="Olsen"/>
    <s v="Lucas Olsen"/>
    <x v="3"/>
    <n v="150000"/>
    <n v="166573"/>
    <s v="Target Exceeded"/>
    <n v="0"/>
    <x v="53"/>
  </r>
  <r>
    <s v="Maria Larsson"/>
    <s v="Benjamin"/>
    <s v="Chen"/>
    <s v="Benjamin Chen"/>
    <x v="4"/>
    <n v="150000"/>
    <n v="156971"/>
    <s v="Target Exceeded"/>
    <n v="0"/>
    <x v="54"/>
  </r>
  <r>
    <s v="Eric Natividad"/>
    <s v="Daniela"/>
    <s v="Hernandez"/>
    <s v="Daniela Hernandez"/>
    <x v="3"/>
    <n v="200000"/>
    <n v="201398"/>
    <s v="Target Exceeded"/>
    <n v="0"/>
    <x v="55"/>
  </r>
  <r>
    <s v="Julie Murphy"/>
    <s v="Liam"/>
    <s v="Baumann"/>
    <s v="Liam Baumann"/>
    <x v="2"/>
    <n v="150000"/>
    <n v="88917"/>
    <s v="Target Not Met"/>
    <n v="61083"/>
    <x v="56"/>
  </r>
  <r>
    <s v="Wing C Tam"/>
    <s v="Charlotte"/>
    <s v="Miller"/>
    <s v="Charlotte Miller"/>
    <x v="3"/>
    <n v="100000"/>
    <n v="115877"/>
    <s v="Target Exceeded"/>
    <n v="0"/>
    <x v="57"/>
  </r>
  <r>
    <s v="Sean Connery"/>
    <s v="Priya"/>
    <s v="Kapoor"/>
    <s v="Priya Kapoor"/>
    <x v="1"/>
    <n v="100000"/>
    <n v="87374"/>
    <s v="Target Not Met"/>
    <n v="12626"/>
    <x v="58"/>
  </r>
  <r>
    <s v="Veysel Oeztan"/>
    <s v="Oliver"/>
    <s v="Kumar"/>
    <s v="Oliver Kumar"/>
    <x v="2"/>
    <n v="150000"/>
    <n v="155548"/>
    <s v="Target Exceeded"/>
    <n v="0"/>
    <x v="59"/>
  </r>
  <r>
    <s v="Michael Holz"/>
    <s v="Amelia"/>
    <s v="Johnson"/>
    <s v="Amelia Johnson"/>
    <x v="0"/>
    <n v="150000"/>
    <n v="156627"/>
    <s v="Target Exceeded"/>
    <n v="0"/>
    <x v="60"/>
  </r>
  <r>
    <s v="Roland Keitel"/>
    <s v="Lukas"/>
    <s v="Schmidt"/>
    <s v="Lukas Schmidt"/>
    <x v="1"/>
    <n v="80000"/>
    <n v="87550"/>
    <s v="Target Exceeded"/>
    <n v="0"/>
    <x v="61"/>
  </r>
  <r>
    <s v="Pascale Cartrain"/>
    <s v="Olivia"/>
    <s v="Jensen"/>
    <s v="Olivia Jensen"/>
    <x v="2"/>
    <n v="50000"/>
    <n v="44651"/>
    <s v="Target Not Met"/>
    <n v="5349"/>
    <x v="62"/>
  </r>
  <r>
    <s v="Leslie Young"/>
    <s v="Sofia"/>
    <s v="Laine"/>
    <s v="Sofia Laine"/>
    <x v="3"/>
    <n v="30000"/>
    <n v="10197"/>
    <s v="Target Not Met"/>
    <n v="19803"/>
    <x v="63"/>
  </r>
  <r>
    <s v="Michael Chandler"/>
    <s v="Chloe"/>
    <s v="Dupont"/>
    <s v="Chloe Dupont"/>
    <x v="2"/>
    <n v="80000"/>
    <n v="56034"/>
    <s v="Target Not Met"/>
    <n v="23966"/>
    <x v="64"/>
  </r>
  <r>
    <s v="Allen Nelson"/>
    <s v="Alexander"/>
    <s v="Müller"/>
    <s v="Alexander Müller"/>
    <x v="1"/>
    <n v="100000"/>
    <n v="116145"/>
    <s v="Target Exceeded"/>
    <n v="0"/>
    <x v="65"/>
  </r>
  <r>
    <s v="Kee Kuo"/>
    <s v="Liam"/>
    <s v="O'Sullivan"/>
    <s v="Liam O'Sullivan"/>
    <x v="2"/>
    <n v="200000"/>
    <n v="63116"/>
    <s v="Target Not Met"/>
    <n v="136884"/>
    <x v="66"/>
  </r>
  <r>
    <s v="Helen Bennett"/>
    <s v="Sophia"/>
    <s v="Rossi"/>
    <s v="Sophia Rossi"/>
    <x v="2"/>
    <n v="100000"/>
    <n v="87269"/>
    <s v="Target Not Met"/>
    <n v="12731"/>
    <x v="67"/>
  </r>
  <r>
    <s v="Julie Young"/>
    <s v="Emma"/>
    <s v="Hansen"/>
    <s v="Emma Hansen"/>
    <x v="3"/>
    <n v="150000"/>
    <n v="158488"/>
    <s v="Target Exceeded"/>
    <n v="0"/>
    <x v="68"/>
  </r>
  <r>
    <s v="Leslie Murphy"/>
    <s v="Ethan"/>
    <s v="Lee"/>
    <s v="Ethan Lee"/>
    <x v="2"/>
    <n v="100000"/>
    <n v="74372"/>
    <s v="Target Not Met"/>
    <n v="25628"/>
    <x v="69"/>
  </r>
  <r>
    <s v="Jonas Bergulfsen"/>
    <s v="Isabella"/>
    <s v="Garcia"/>
    <s v="Isabella Garcia"/>
    <x v="1"/>
    <n v="150000"/>
    <n v="153373"/>
    <s v="Target Exceeded"/>
    <n v="0"/>
    <x v="70"/>
  </r>
  <r>
    <s v="Palle Ibsen"/>
    <s v="Noah"/>
    <s v="Meier"/>
    <s v="Noah Meier"/>
    <x v="1"/>
    <n v="100000"/>
    <n v="86682"/>
    <s v="Target Not Met"/>
    <n v="13318"/>
    <x v="71"/>
  </r>
  <r>
    <s v="Jose Pedro Roel"/>
    <s v="Ava"/>
    <s v="Williams"/>
    <s v="Ava Williams"/>
    <x v="0"/>
    <n v="100000"/>
    <n v="91534"/>
    <s v="Target Not Met"/>
    <n v="8466"/>
    <x v="72"/>
  </r>
  <r>
    <s v="Elizabeth Devon"/>
    <s v="Dev"/>
    <s v="Patel"/>
    <s v="Dev Patel"/>
    <x v="4"/>
    <n v="100000"/>
    <n v="107329"/>
    <s v="Target Exceeded"/>
    <n v="0"/>
    <x v="73"/>
  </r>
  <r>
    <s v="Steve Thompson"/>
    <s v="Mia"/>
    <s v="Khan"/>
    <s v="Mia Khan"/>
    <x v="0"/>
    <n v="100000"/>
    <n v="73048"/>
    <s v="Target Not Met"/>
    <n v="26952"/>
    <x v="74"/>
  </r>
  <r>
    <s v="Daniel Tonini"/>
    <s v="William"/>
    <s v="Brown"/>
    <s v="William Brown"/>
    <x v="3"/>
    <n v="100000"/>
    <n v="86855"/>
    <s v="Target Not Met"/>
    <n v="13145"/>
    <x v="75"/>
  </r>
  <r>
    <s v="Tony Calaghan"/>
    <s v="Sophie"/>
    <s v="Gruber"/>
    <s v="Sophie Gruber"/>
    <x v="4"/>
    <n v="80000"/>
    <n v="67941"/>
    <s v="Target Not Met"/>
    <n v="12059"/>
    <x v="76"/>
  </r>
  <r>
    <s v="Jean Fresnisre"/>
    <s v="Lucas"/>
    <s v="Nielsen"/>
    <s v="Lucas Nielsen"/>
    <x v="3"/>
    <n v="100000"/>
    <n v="85772"/>
    <s v="Target Not Met"/>
    <n v="14228"/>
    <x v="77"/>
  </r>
  <r>
    <s v="Carine Schmitt"/>
    <s v="Aino"/>
    <s v="Virtanen"/>
    <s v="Aino Virtanen"/>
    <x v="2"/>
    <n v="30000"/>
    <n v="38017"/>
    <s v="Target Exceeded"/>
    <n v="0"/>
    <x v="78"/>
  </r>
  <r>
    <s v="Dan Lewis"/>
    <s v="Emily"/>
    <s v="Dubois"/>
    <s v="Emily Dubois"/>
    <x v="4"/>
    <n v="30000"/>
    <n v="42553"/>
    <s v="Target Exceeded"/>
    <n v="0"/>
    <x v="79"/>
  </r>
  <r>
    <s v="Sue Frick"/>
    <s v="Benjamin"/>
    <s v="Weber"/>
    <s v="Benjamin Weber"/>
    <x v="0"/>
    <n v="200000"/>
    <n v="195359"/>
    <s v="Target Not Met"/>
    <n v="4641"/>
    <x v="80"/>
  </r>
  <r>
    <s v="William Brown"/>
    <s v="Emily"/>
    <s v="Murphy"/>
    <s v="Emily Murphy"/>
    <x v="1"/>
    <n v="80000"/>
    <n v="67627"/>
    <s v="Target Not Met"/>
    <n v="12373"/>
    <x v="81"/>
  </r>
  <r>
    <s v="Peter Ferguson"/>
    <s v="Marco"/>
    <s v="Bianchi"/>
    <s v="Marco Bianchi"/>
    <x v="1"/>
    <n v="250000"/>
    <n v="261772"/>
    <s v="Target Exceeded"/>
    <n v="0"/>
    <x v="82"/>
  </r>
  <r>
    <s v="Kyung Tseng"/>
    <s v="Lucas"/>
    <s v="Olsen"/>
    <s v="Lucas Olsen"/>
    <x v="3"/>
    <n v="100000"/>
    <n v="44273"/>
    <s v="Target Not Met"/>
    <n v="55727"/>
    <x v="83"/>
  </r>
  <r>
    <s v="Martine Rance"/>
    <s v="Benjamin"/>
    <s v="Chen"/>
    <s v="Benjamin Chen"/>
    <x v="4"/>
    <n v="150000"/>
    <n v="98774"/>
    <s v="Target Not Met"/>
    <n v="51226"/>
    <x v="84"/>
  </r>
  <r>
    <s v="Sue Taylor"/>
    <s v="Daniela"/>
    <s v="Hernandez"/>
    <s v="Daniela Hernandez"/>
    <x v="3"/>
    <n v="100000"/>
    <n v="94616"/>
    <s v="Target Not Met"/>
    <n v="5384"/>
    <x v="85"/>
  </r>
  <r>
    <s v="Miguel Barajas"/>
    <s v="Liam"/>
    <s v="Baumann"/>
    <s v="Liam Baumann"/>
    <x v="2"/>
    <n v="50000"/>
    <n v="51911"/>
    <s v="Target Exceeded"/>
    <n v="0"/>
    <x v="86"/>
  </r>
  <r>
    <s v="Valarie Thompson"/>
    <s v="Charlotte"/>
    <s v="Miller"/>
    <s v="Charlotte Miller"/>
    <x v="3"/>
    <n v="80000"/>
    <n v="86182"/>
    <s v="Target Exceeded"/>
    <n v="0"/>
    <x v="87"/>
  </r>
  <r>
    <s v="Roland Mendel"/>
    <s v="Priya"/>
    <s v="Kapoor"/>
    <s v="Priya Kapoor"/>
    <x v="1"/>
    <n v="100000"/>
    <n v="85279"/>
    <s v="Target Not Met"/>
    <n v="14721"/>
    <x v="88"/>
  </r>
  <r>
    <s v="Maria Hernandez"/>
    <s v="Oliver"/>
    <s v="Kumar"/>
    <s v="Oliver Kumar"/>
    <x v="2"/>
    <n v="80000"/>
    <n v="70369"/>
    <s v="Target Not Met"/>
    <n v="9631"/>
    <x v="89"/>
  </r>
  <r>
    <s v="Mory Kentary"/>
    <s v="Noah"/>
    <s v="Meier"/>
    <s v="Noah Meier"/>
    <x v="1"/>
    <n v="100000"/>
    <n v="95828"/>
    <s v="Target Not Met"/>
    <n v="4172"/>
    <x v="90"/>
  </r>
  <r>
    <s v="Jesus Fernandez"/>
    <s v="Ava"/>
    <s v="Williams"/>
    <s v="Ava Williams"/>
    <x v="0"/>
    <n v="50000"/>
    <n v="41950"/>
    <s v="Target Not Met"/>
    <n v="8050"/>
    <x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E36E3-72F0-434D-917A-D95EAB83A2B1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6" firstHeaderRow="0" firstDataRow="1" firstDataCol="1"/>
  <pivotFields count="14">
    <pivotField dataField="1" showAll="0"/>
    <pivotField showAll="0"/>
    <pivotField showAll="0"/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showAll="0"/>
    <pivotField axis="axisRow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Order Value" fld="10" subtotal="average" baseField="0" baseItem="0" numFmtId="2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9D920-B794-4515-9A21-573B310A1F9B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9" firstHeaderRow="0" firstDataRow="1" firstDataCol="1"/>
  <pivotFields count="14">
    <pivotField showAll="0"/>
    <pivotField dataField="1" showAll="0"/>
    <pivotField axis="axisRow" showAll="0">
      <items count="16">
        <item x="6"/>
        <item x="9"/>
        <item x="13"/>
        <item x="10"/>
        <item x="3"/>
        <item x="7"/>
        <item x="1"/>
        <item x="12"/>
        <item x="2"/>
        <item x="14"/>
        <item x="8"/>
        <item x="5"/>
        <item x="4"/>
        <item x="11"/>
        <item x="0"/>
        <item t="default"/>
      </items>
    </pivotField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showAll="0"/>
    <pivotField showAll="0"/>
    <pivotField showAll="0"/>
    <pivotField showAll="0"/>
    <pivotField dataField="1" showAll="0"/>
    <pivotField showAll="0"/>
    <pivotField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1" subtotal="count" baseField="0" baseItem="0"/>
    <dataField name="Sum of Order Value" fld="10" baseField="0" baseItem="0" numFmtId="1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1C4BF-CA4F-49CE-8162-4E23788554D6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1" firstHeaderRow="0" firstDataRow="1" firstDataCol="1"/>
  <pivotFields count="14">
    <pivotField dataField="1" showAll="0"/>
    <pivotField showAll="0"/>
    <pivotField showAll="0"/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showAll="0"/>
    <pivotField showAll="0"/>
    <pivotField showAll="0"/>
    <pivotField showAll="0"/>
    <pivotField dataField="1" showAll="0"/>
    <pivotField showAll="0"/>
    <pivotField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8">
    <i>
      <x v="1"/>
    </i>
    <i>
      <x v="2"/>
    </i>
    <i>
      <x v="3"/>
    </i>
    <i>
      <x v="5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Order Value" fld="10" subtotal="average" baseField="0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73693-944A-43E8-9FCF-A7B5B93A1F46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1" firstHeaderRow="0" firstDataRow="1" firstDataCol="1"/>
  <pivotFields count="14">
    <pivotField dataField="1" showAll="0"/>
    <pivotField showAll="0"/>
    <pivotField showAll="0"/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axis="axisRow" showAll="0">
      <items count="8">
        <item x="5"/>
        <item x="2"/>
        <item x="4"/>
        <item x="3"/>
        <item x="0"/>
        <item x="1"/>
        <item x="6"/>
        <item t="default"/>
      </items>
    </pivotField>
    <pivotField showAll="0"/>
    <pivotField showAll="0"/>
    <pivotField showAll="0"/>
    <pivotField dataField="1" showAll="0"/>
    <pivotField showAll="0"/>
    <pivotField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Order Value" fld="10" subtotal="average" baseField="0" baseItem="0" numFmtId="2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C474A-796F-4BFB-8B6B-D714C2E5BE2B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dataField="1" showAll="0"/>
    <pivotField showAll="0"/>
    <pivotField showAll="0"/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AA08E-9409-44AC-9630-B73ED10A11EC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C12" firstHeaderRow="0" firstDataRow="1" firstDataCol="1"/>
  <pivotFields count="14">
    <pivotField dataField="1" showAll="0"/>
    <pivotField showAll="0"/>
    <pivotField showAll="0"/>
    <pivotField numFmtId="14" showAll="0"/>
    <pivotField numFmtId="170" showAll="0">
      <items count="222">
        <item x="168"/>
        <item x="32"/>
        <item x="156"/>
        <item x="127"/>
        <item x="84"/>
        <item x="210"/>
        <item x="95"/>
        <item x="8"/>
        <item x="128"/>
        <item x="142"/>
        <item x="83"/>
        <item x="124"/>
        <item x="195"/>
        <item x="65"/>
        <item x="219"/>
        <item x="49"/>
        <item x="103"/>
        <item x="209"/>
        <item x="177"/>
        <item x="117"/>
        <item x="47"/>
        <item x="161"/>
        <item x="200"/>
        <item x="173"/>
        <item x="109"/>
        <item x="211"/>
        <item x="152"/>
        <item x="76"/>
        <item x="86"/>
        <item x="14"/>
        <item x="118"/>
        <item x="203"/>
        <item x="59"/>
        <item x="129"/>
        <item x="189"/>
        <item x="46"/>
        <item x="33"/>
        <item x="45"/>
        <item x="104"/>
        <item x="179"/>
        <item x="102"/>
        <item x="143"/>
        <item x="220"/>
        <item x="212"/>
        <item x="217"/>
        <item x="157"/>
        <item x="132"/>
        <item x="23"/>
        <item x="198"/>
        <item x="98"/>
        <item x="204"/>
        <item x="41"/>
        <item x="197"/>
        <item x="113"/>
        <item x="180"/>
        <item x="214"/>
        <item x="205"/>
        <item x="13"/>
        <item x="208"/>
        <item x="170"/>
        <item x="17"/>
        <item x="196"/>
        <item x="55"/>
        <item x="106"/>
        <item x="218"/>
        <item x="90"/>
        <item x="145"/>
        <item x="119"/>
        <item x="188"/>
        <item x="147"/>
        <item x="193"/>
        <item x="165"/>
        <item x="206"/>
        <item x="133"/>
        <item x="184"/>
        <item x="5"/>
        <item x="178"/>
        <item x="105"/>
        <item x="125"/>
        <item x="26"/>
        <item x="110"/>
        <item x="158"/>
        <item x="25"/>
        <item x="171"/>
        <item x="15"/>
        <item x="70"/>
        <item x="136"/>
        <item x="18"/>
        <item x="190"/>
        <item x="140"/>
        <item x="24"/>
        <item x="27"/>
        <item x="69"/>
        <item x="137"/>
        <item x="154"/>
        <item x="56"/>
        <item x="141"/>
        <item x="191"/>
        <item x="79"/>
        <item x="134"/>
        <item x="71"/>
        <item x="213"/>
        <item x="57"/>
        <item x="91"/>
        <item x="62"/>
        <item x="99"/>
        <item x="74"/>
        <item x="135"/>
        <item x="78"/>
        <item x="80"/>
        <item x="101"/>
        <item x="1"/>
        <item x="155"/>
        <item x="38"/>
        <item x="169"/>
        <item x="146"/>
        <item x="164"/>
        <item x="9"/>
        <item x="100"/>
        <item x="153"/>
        <item x="43"/>
        <item x="194"/>
        <item x="87"/>
        <item x="94"/>
        <item x="187"/>
        <item x="174"/>
        <item x="166"/>
        <item x="138"/>
        <item x="116"/>
        <item x="96"/>
        <item x="181"/>
        <item x="126"/>
        <item x="97"/>
        <item x="172"/>
        <item x="123"/>
        <item x="61"/>
        <item x="20"/>
        <item x="139"/>
        <item x="167"/>
        <item x="68"/>
        <item x="2"/>
        <item x="54"/>
        <item x="6"/>
        <item x="115"/>
        <item x="148"/>
        <item x="151"/>
        <item x="108"/>
        <item x="39"/>
        <item x="50"/>
        <item x="111"/>
        <item x="3"/>
        <item x="58"/>
        <item x="53"/>
        <item x="21"/>
        <item x="67"/>
        <item x="120"/>
        <item x="201"/>
        <item x="162"/>
        <item x="11"/>
        <item x="51"/>
        <item x="60"/>
        <item x="215"/>
        <item x="112"/>
        <item x="85"/>
        <item x="29"/>
        <item x="77"/>
        <item x="75"/>
        <item x="88"/>
        <item x="35"/>
        <item x="0"/>
        <item x="93"/>
        <item x="30"/>
        <item x="36"/>
        <item x="73"/>
        <item x="44"/>
        <item x="150"/>
        <item x="42"/>
        <item x="28"/>
        <item x="192"/>
        <item x="16"/>
        <item x="144"/>
        <item x="63"/>
        <item x="186"/>
        <item x="114"/>
        <item x="89"/>
        <item x="130"/>
        <item x="183"/>
        <item x="72"/>
        <item x="121"/>
        <item x="182"/>
        <item x="64"/>
        <item x="12"/>
        <item x="160"/>
        <item x="159"/>
        <item x="48"/>
        <item x="207"/>
        <item x="216"/>
        <item x="163"/>
        <item x="22"/>
        <item x="31"/>
        <item x="131"/>
        <item x="40"/>
        <item x="34"/>
        <item x="37"/>
        <item x="66"/>
        <item x="149"/>
        <item x="92"/>
        <item x="202"/>
        <item x="175"/>
        <item x="81"/>
        <item x="7"/>
        <item x="199"/>
        <item x="176"/>
        <item x="107"/>
        <item x="122"/>
        <item x="4"/>
        <item x="10"/>
        <item x="52"/>
        <item x="82"/>
        <item x="185"/>
        <item x="19"/>
        <item t="default"/>
      </items>
    </pivotField>
    <pivotField numFmtId="1" showAll="0"/>
    <pivotField showAll="0"/>
    <pivotField showAll="0"/>
    <pivotField showAll="0"/>
    <pivotField showAll="0"/>
    <pivotField dataField="1" showAll="0"/>
    <pivotField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Value" fld="10" baseField="0" baseItem="0"/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984F2-9E20-49A8-927F-D7CA9C1AEB7D}" name="PivotTable1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8">
    <pivotField dataField="1" showAll="0">
      <items count="93">
        <item x="4"/>
        <item x="12"/>
        <item x="65"/>
        <item x="52"/>
        <item x="10"/>
        <item x="15"/>
        <item x="26"/>
        <item x="78"/>
        <item x="20"/>
        <item x="32"/>
        <item x="79"/>
        <item x="23"/>
        <item x="75"/>
        <item x="29"/>
        <item x="11"/>
        <item x="36"/>
        <item x="51"/>
        <item x="73"/>
        <item x="35"/>
        <item x="55"/>
        <item x="43"/>
        <item x="25"/>
        <item x="28"/>
        <item x="21"/>
        <item x="67"/>
        <item x="18"/>
        <item x="47"/>
        <item x="13"/>
        <item x="77"/>
        <item x="2"/>
        <item x="91"/>
        <item x="70"/>
        <item x="72"/>
        <item x="1"/>
        <item x="41"/>
        <item x="56"/>
        <item x="68"/>
        <item x="33"/>
        <item x="46"/>
        <item x="6"/>
        <item x="0"/>
        <item x="66"/>
        <item x="5"/>
        <item x="83"/>
        <item x="3"/>
        <item x="19"/>
        <item x="69"/>
        <item x="39"/>
        <item x="63"/>
        <item x="89"/>
        <item x="54"/>
        <item x="27"/>
        <item x="34"/>
        <item x="40"/>
        <item x="84"/>
        <item x="17"/>
        <item x="42"/>
        <item x="49"/>
        <item x="64"/>
        <item x="44"/>
        <item x="37"/>
        <item x="60"/>
        <item x="86"/>
        <item x="90"/>
        <item x="71"/>
        <item x="22"/>
        <item x="62"/>
        <item x="7"/>
        <item x="82"/>
        <item x="48"/>
        <item x="61"/>
        <item x="88"/>
        <item x="30"/>
        <item x="58"/>
        <item x="16"/>
        <item x="74"/>
        <item x="80"/>
        <item x="8"/>
        <item x="85"/>
        <item x="14"/>
        <item x="76"/>
        <item x="38"/>
        <item x="24"/>
        <item x="87"/>
        <item x="53"/>
        <item x="59"/>
        <item x="9"/>
        <item x="31"/>
        <item x="50"/>
        <item x="81"/>
        <item x="57"/>
        <item x="45"/>
        <item t="default"/>
      </items>
    </pivotField>
    <pivotField showAll="0"/>
    <pivotField showAll="0"/>
    <pivotField showAll="0"/>
    <pivotField showAll="0"/>
    <pivotField showAll="0"/>
    <pivotField numFmtId="43"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ales POC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BEAAC-707C-4B7E-9BA9-9A9DD03B9C88}" name="PivotTable1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0" firstDataRow="1" firstDataCol="1"/>
  <pivotFields count="8"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dataField="1" numFmtId="43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23 Sales Target" fld="5" baseField="0" baseItem="0"/>
    <dataField name="Sum of Actual Sales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FC8C9-AF65-40D4-A9F5-AE9C808BCA5A}" name="PivotTable1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34" firstHeaderRow="0" firstDataRow="1" firstDataCol="1" rowPageCount="1" colPageCount="1"/>
  <pivotFields count="8">
    <pivotField showAll="0"/>
    <pivotField showAll="0"/>
    <pivotField showAll="0"/>
    <pivotField axis="axisRow" showAll="0" sortType="descending">
      <items count="31">
        <item x="18"/>
        <item x="5"/>
        <item x="0"/>
        <item x="12"/>
        <item x="24"/>
        <item x="20"/>
        <item x="27"/>
        <item x="4"/>
        <item x="25"/>
        <item x="13"/>
        <item x="19"/>
        <item x="21"/>
        <item x="8"/>
        <item x="9"/>
        <item x="10"/>
        <item x="26"/>
        <item x="6"/>
        <item x="17"/>
        <item x="23"/>
        <item x="1"/>
        <item x="22"/>
        <item x="14"/>
        <item x="11"/>
        <item x="29"/>
        <item x="2"/>
        <item x="28"/>
        <item x="3"/>
        <item x="7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numFmtId="43" showAll="0"/>
    <pivotField axis="axisPage" multipleItemSelectionAllowed="1" showAll="0">
      <items count="3">
        <item x="0"/>
        <item x="1"/>
        <item t="default"/>
      </items>
    </pivotField>
  </pivotFields>
  <rowFields count="1">
    <field x="3"/>
  </rowFields>
  <rowItems count="31">
    <i>
      <x v="22"/>
    </i>
    <i>
      <x v="4"/>
    </i>
    <i>
      <x v="5"/>
    </i>
    <i>
      <x v="20"/>
    </i>
    <i>
      <x v="14"/>
    </i>
    <i>
      <x v="16"/>
    </i>
    <i>
      <x v="27"/>
    </i>
    <i>
      <x v="7"/>
    </i>
    <i>
      <x v="3"/>
    </i>
    <i>
      <x v="9"/>
    </i>
    <i>
      <x v="8"/>
    </i>
    <i>
      <x v="17"/>
    </i>
    <i>
      <x v="13"/>
    </i>
    <i>
      <x v="19"/>
    </i>
    <i>
      <x v="1"/>
    </i>
    <i>
      <x v="12"/>
    </i>
    <i>
      <x v="24"/>
    </i>
    <i>
      <x v="2"/>
    </i>
    <i>
      <x v="25"/>
    </i>
    <i>
      <x v="18"/>
    </i>
    <i>
      <x v="6"/>
    </i>
    <i>
      <x v="10"/>
    </i>
    <i>
      <x v="29"/>
    </i>
    <i>
      <x v="15"/>
    </i>
    <i>
      <x v="11"/>
    </i>
    <i>
      <x/>
    </i>
    <i>
      <x v="28"/>
    </i>
    <i>
      <x v="23"/>
    </i>
    <i>
      <x v="26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2023 Sales Target" fld="5" baseField="0" baseItem="0"/>
    <dataField name="Sum of Actual Sales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B9458-AEBF-482B-B106-2244D0313BE8}" name="PivotTable1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0"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numFmtId="43" showAll="0"/>
    <pivotField showAll="0"/>
    <pivotField showAll="0"/>
    <pivotField dataField="1" numFmtId="9" showAll="0">
      <items count="93">
        <item x="66"/>
        <item x="63"/>
        <item x="83"/>
        <item x="56"/>
        <item x="84"/>
        <item x="50"/>
        <item x="64"/>
        <item x="47"/>
        <item x="74"/>
        <item x="69"/>
        <item x="19"/>
        <item x="24"/>
        <item x="46"/>
        <item x="37"/>
        <item x="27"/>
        <item x="39"/>
        <item x="91"/>
        <item x="15"/>
        <item x="81"/>
        <item x="76"/>
        <item x="88"/>
        <item x="77"/>
        <item x="71"/>
        <item x="75"/>
        <item x="67"/>
        <item x="58"/>
        <item x="89"/>
        <item x="43"/>
        <item x="12"/>
        <item x="42"/>
        <item x="35"/>
        <item x="62"/>
        <item x="52"/>
        <item x="51"/>
        <item x="4"/>
        <item x="72"/>
        <item x="22"/>
        <item x="38"/>
        <item x="30"/>
        <item x="34"/>
        <item x="45"/>
        <item x="31"/>
        <item x="85"/>
        <item x="25"/>
        <item x="90"/>
        <item x="36"/>
        <item x="1"/>
        <item x="40"/>
        <item x="18"/>
        <item x="80"/>
        <item x="7"/>
        <item x="16"/>
        <item x="20"/>
        <item x="14"/>
        <item x="48"/>
        <item x="55"/>
        <item x="13"/>
        <item x="70"/>
        <item x="59"/>
        <item x="86"/>
        <item x="60"/>
        <item x="9"/>
        <item x="54"/>
        <item x="82"/>
        <item x="68"/>
        <item x="44"/>
        <item x="73"/>
        <item x="87"/>
        <item x="8"/>
        <item x="23"/>
        <item x="11"/>
        <item x="61"/>
        <item x="49"/>
        <item x="5"/>
        <item x="32"/>
        <item x="53"/>
        <item x="33"/>
        <item x="2"/>
        <item x="29"/>
        <item x="17"/>
        <item x="57"/>
        <item x="65"/>
        <item x="21"/>
        <item x="10"/>
        <item x="28"/>
        <item x="78"/>
        <item x="3"/>
        <item x="41"/>
        <item x="26"/>
        <item x="0"/>
        <item x="79"/>
        <item x="6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% Target Reached" fld="9" subtotal="average" baseField="0" baseItem="0" numFmtId="9"/>
  </dataFields>
  <chartFormats count="1">
    <chartFormat chart="0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O2823"/>
  <sheetViews>
    <sheetView tabSelected="1" zoomScale="85" zoomScaleNormal="85" workbookViewId="0">
      <selection activeCell="I24" sqref="I24"/>
    </sheetView>
  </sheetViews>
  <sheetFormatPr defaultRowHeight="14.4" x14ac:dyDescent="0.3"/>
  <cols>
    <col min="1" max="1" width="8.44140625" bestFit="1" customWidth="1"/>
    <col min="2" max="2" width="11.77734375" bestFit="1" customWidth="1"/>
    <col min="3" max="3" width="17.21875" style="2" bestFit="1" customWidth="1"/>
    <col min="4" max="4" width="10.5546875" style="5" bestFit="1" customWidth="1"/>
    <col min="5" max="5" width="11.6640625" style="10" bestFit="1" customWidth="1"/>
    <col min="6" max="6" width="17.109375" style="14" bestFit="1" customWidth="1"/>
    <col min="7" max="7" width="10.77734375" style="10" bestFit="1" customWidth="1"/>
    <col min="8" max="8" width="12.21875" style="9" bestFit="1" customWidth="1"/>
    <col min="9" max="9" width="12.77734375" bestFit="1" customWidth="1"/>
    <col min="10" max="10" width="19.88671875" bestFit="1" customWidth="1"/>
    <col min="11" max="11" width="11.6640625" bestFit="1" customWidth="1"/>
    <col min="12" max="12" width="13.5546875" style="5" bestFit="1" customWidth="1"/>
    <col min="13" max="13" width="5.5546875" style="14" bestFit="1" customWidth="1"/>
    <col min="14" max="14" width="11.44140625" bestFit="1" customWidth="1"/>
  </cols>
  <sheetData>
    <row r="1" spans="1:15" x14ac:dyDescent="0.3">
      <c r="A1" s="4" t="s">
        <v>147</v>
      </c>
      <c r="B1" s="4" t="s">
        <v>1</v>
      </c>
      <c r="C1" s="4" t="s">
        <v>113</v>
      </c>
      <c r="D1" s="6" t="s">
        <v>192</v>
      </c>
      <c r="E1" s="12" t="s">
        <v>191</v>
      </c>
      <c r="F1" s="13" t="s">
        <v>195</v>
      </c>
      <c r="G1" s="12" t="s">
        <v>194</v>
      </c>
      <c r="H1" s="8" t="s">
        <v>193</v>
      </c>
      <c r="I1" s="4" t="s">
        <v>111</v>
      </c>
      <c r="J1" s="4" t="s">
        <v>2</v>
      </c>
      <c r="K1" s="4" t="s">
        <v>0</v>
      </c>
      <c r="L1" s="6" t="s">
        <v>211</v>
      </c>
      <c r="M1" s="13" t="s">
        <v>149</v>
      </c>
      <c r="N1" s="4"/>
      <c r="O1" s="4"/>
    </row>
    <row r="2" spans="1:15" x14ac:dyDescent="0.3">
      <c r="A2">
        <v>1597</v>
      </c>
      <c r="B2">
        <v>856</v>
      </c>
      <c r="C2" s="1" t="s">
        <v>98</v>
      </c>
      <c r="D2" s="5">
        <v>45275</v>
      </c>
      <c r="E2" s="10">
        <v>0.53472222222222221</v>
      </c>
      <c r="F2" s="15">
        <f>MONTH(D2)</f>
        <v>12</v>
      </c>
      <c r="G2" s="10" t="str">
        <f>TEXT(D2,"dddd")</f>
        <v>Friday</v>
      </c>
      <c r="H2" s="9" t="str">
        <f>TEXT(D2,"mmmm")</f>
        <v>December</v>
      </c>
      <c r="I2" t="s">
        <v>95</v>
      </c>
      <c r="J2" t="s">
        <v>3</v>
      </c>
      <c r="K2">
        <v>412</v>
      </c>
      <c r="L2" s="5" t="str">
        <f>IF(OR(K2&lt;Answers!$C$16,Orders!K2&gt;Answers!$C$17),"Yes","No")</f>
        <v>No</v>
      </c>
      <c r="M2" s="14">
        <f>VLOOKUP(B2,Customers!$A$1:$E$2501,4,0)</f>
        <v>59</v>
      </c>
    </row>
    <row r="3" spans="1:15" x14ac:dyDescent="0.3">
      <c r="A3">
        <v>2011</v>
      </c>
      <c r="B3">
        <v>525</v>
      </c>
      <c r="C3" s="1" t="s">
        <v>112</v>
      </c>
      <c r="D3" s="5">
        <v>45045</v>
      </c>
      <c r="E3" s="10">
        <v>0.4861111111111111</v>
      </c>
      <c r="F3" s="15">
        <f t="shared" ref="F3:F66" si="0">MONTH(D3)</f>
        <v>4</v>
      </c>
      <c r="G3" s="10" t="str">
        <f t="shared" ref="G3:G66" si="1">TEXT(D3,"dddd")</f>
        <v>Saturday</v>
      </c>
      <c r="H3" s="9" t="str">
        <f t="shared" ref="H3:H66" si="2">TEXT(D3,"mmmm")</f>
        <v>April</v>
      </c>
      <c r="I3" t="s">
        <v>190</v>
      </c>
      <c r="J3" t="s">
        <v>4</v>
      </c>
      <c r="K3">
        <v>4551</v>
      </c>
      <c r="L3" s="5" t="str">
        <f>IF(OR(K3&lt;Answers!$C$16,Orders!K3&gt;Answers!$C$17),"Yes","No")</f>
        <v>No</v>
      </c>
      <c r="M3" s="14">
        <f>VLOOKUP(B3,Customers!$A$1:$E$2501,4,0)</f>
        <v>20</v>
      </c>
    </row>
    <row r="4" spans="1:15" x14ac:dyDescent="0.3">
      <c r="A4">
        <v>2822</v>
      </c>
      <c r="B4">
        <v>1614</v>
      </c>
      <c r="C4" s="1" t="s">
        <v>98</v>
      </c>
      <c r="D4" s="5">
        <v>45290</v>
      </c>
      <c r="E4" s="10">
        <v>0.51458333333333328</v>
      </c>
      <c r="F4" s="15">
        <f t="shared" si="0"/>
        <v>12</v>
      </c>
      <c r="G4" s="10" t="str">
        <f t="shared" si="1"/>
        <v>Saturday</v>
      </c>
      <c r="H4" s="9" t="str">
        <f t="shared" si="2"/>
        <v>December</v>
      </c>
      <c r="I4" t="s">
        <v>190</v>
      </c>
      <c r="J4" t="s">
        <v>5</v>
      </c>
      <c r="K4">
        <v>3960</v>
      </c>
      <c r="L4" s="5" t="str">
        <f>IF(OR(K4&lt;Answers!$C$16,Orders!K4&gt;Answers!$C$17),"Yes","No")</f>
        <v>No</v>
      </c>
      <c r="M4" s="14">
        <f>VLOOKUP(B4,Customers!$A$1:$E$2501,4,0)</f>
        <v>37</v>
      </c>
    </row>
    <row r="5" spans="1:15" x14ac:dyDescent="0.3">
      <c r="A5">
        <v>2889</v>
      </c>
      <c r="B5">
        <v>743</v>
      </c>
      <c r="C5" s="1" t="s">
        <v>98</v>
      </c>
      <c r="D5" s="5">
        <v>45258</v>
      </c>
      <c r="E5" s="10">
        <v>0.52152777777777781</v>
      </c>
      <c r="F5" s="15">
        <f t="shared" si="0"/>
        <v>11</v>
      </c>
      <c r="G5" s="10" t="str">
        <f t="shared" si="1"/>
        <v>Tuesday</v>
      </c>
      <c r="H5" s="9" t="str">
        <f t="shared" si="2"/>
        <v>November</v>
      </c>
      <c r="I5" t="s">
        <v>190</v>
      </c>
      <c r="J5" t="s">
        <v>6</v>
      </c>
      <c r="K5">
        <v>8397</v>
      </c>
      <c r="L5" s="5" t="str">
        <f>IF(OR(K5&lt;Answers!$C$16,Orders!K5&gt;Answers!$C$17),"Yes","No")</f>
        <v>No</v>
      </c>
      <c r="M5" s="14">
        <f>VLOOKUP(B5,Customers!$A$1:$E$2501,4,0)</f>
        <v>29</v>
      </c>
    </row>
    <row r="6" spans="1:15" x14ac:dyDescent="0.3">
      <c r="A6">
        <v>3971</v>
      </c>
      <c r="B6">
        <v>20</v>
      </c>
      <c r="C6" s="1" t="s">
        <v>98</v>
      </c>
      <c r="D6" s="5">
        <v>45225</v>
      </c>
      <c r="E6" s="10">
        <v>36841</v>
      </c>
      <c r="F6" s="15">
        <f t="shared" si="0"/>
        <v>10</v>
      </c>
      <c r="G6" s="10" t="str">
        <f t="shared" si="1"/>
        <v>Thursday</v>
      </c>
      <c r="H6" s="9" t="str">
        <f t="shared" si="2"/>
        <v>October</v>
      </c>
      <c r="I6" t="s">
        <v>97</v>
      </c>
      <c r="J6" t="s">
        <v>7</v>
      </c>
      <c r="K6">
        <v>5545</v>
      </c>
      <c r="L6" s="5" t="str">
        <f>IF(OR(K6&lt;Answers!$C$16,Orders!K6&gt;Answers!$C$17),"Yes","No")</f>
        <v>No</v>
      </c>
      <c r="M6" s="14">
        <f>VLOOKUP(B6,Customers!$A$1:$E$2501,4,0)</f>
        <v>38</v>
      </c>
    </row>
    <row r="7" spans="1:15" x14ac:dyDescent="0.3">
      <c r="A7">
        <v>4111</v>
      </c>
      <c r="B7">
        <v>1367</v>
      </c>
      <c r="C7" s="1" t="s">
        <v>106</v>
      </c>
      <c r="D7" s="5">
        <v>44993</v>
      </c>
      <c r="E7" s="10">
        <v>0.45277777777777778</v>
      </c>
      <c r="F7" s="15">
        <f t="shared" si="0"/>
        <v>3</v>
      </c>
      <c r="G7" s="10" t="str">
        <f t="shared" si="1"/>
        <v>Wednesday</v>
      </c>
      <c r="H7" s="9" t="str">
        <f t="shared" si="2"/>
        <v>March</v>
      </c>
      <c r="I7" t="s">
        <v>96</v>
      </c>
      <c r="J7" t="s">
        <v>8</v>
      </c>
      <c r="K7">
        <v>7800</v>
      </c>
      <c r="L7" s="5" t="str">
        <f>IF(OR(K7&lt;Answers!$C$16,Orders!K7&gt;Answers!$C$17),"Yes","No")</f>
        <v>No</v>
      </c>
      <c r="M7" s="14">
        <f>VLOOKUP(B7,Customers!$A$1:$E$2501,4,0)</f>
        <v>25</v>
      </c>
    </row>
    <row r="8" spans="1:15" x14ac:dyDescent="0.3">
      <c r="A8">
        <v>4801</v>
      </c>
      <c r="B8">
        <v>945</v>
      </c>
      <c r="C8" s="1" t="s">
        <v>99</v>
      </c>
      <c r="D8" s="5">
        <v>44975</v>
      </c>
      <c r="E8" s="10">
        <v>0.51597222222222228</v>
      </c>
      <c r="F8" s="15">
        <f t="shared" si="0"/>
        <v>2</v>
      </c>
      <c r="G8" s="10" t="str">
        <f t="shared" si="1"/>
        <v>Saturday</v>
      </c>
      <c r="H8" s="9" t="str">
        <f t="shared" si="2"/>
        <v>February</v>
      </c>
      <c r="I8" t="s">
        <v>95</v>
      </c>
      <c r="J8" t="s">
        <v>9</v>
      </c>
      <c r="K8">
        <v>4674</v>
      </c>
      <c r="L8" s="5" t="str">
        <f>IF(OR(K8&lt;Answers!$C$16,Orders!K8&gt;Answers!$C$17),"Yes","No")</f>
        <v>No</v>
      </c>
      <c r="M8" s="14">
        <f>VLOOKUP(B8,Customers!$A$1:$E$2501,4,0)</f>
        <v>34</v>
      </c>
    </row>
    <row r="9" spans="1:15" ht="15.45" customHeight="1" x14ac:dyDescent="0.3">
      <c r="A9">
        <v>5719</v>
      </c>
      <c r="B9">
        <v>218</v>
      </c>
      <c r="C9" s="1" t="s">
        <v>99</v>
      </c>
      <c r="D9" s="5">
        <v>45253</v>
      </c>
      <c r="E9" s="10">
        <v>36800</v>
      </c>
      <c r="F9" s="15">
        <f t="shared" si="0"/>
        <v>11</v>
      </c>
      <c r="G9" s="10" t="str">
        <f t="shared" si="1"/>
        <v>Thursday</v>
      </c>
      <c r="H9" s="9" t="str">
        <f t="shared" si="2"/>
        <v>November</v>
      </c>
      <c r="I9" t="s">
        <v>97</v>
      </c>
      <c r="J9" t="s">
        <v>10</v>
      </c>
      <c r="K9">
        <v>5954</v>
      </c>
      <c r="L9" s="5" t="str">
        <f>IF(OR(K9&lt;Answers!$C$16,Orders!K9&gt;Answers!$C$17),"Yes","No")</f>
        <v>No</v>
      </c>
      <c r="M9" s="14">
        <f>VLOOKUP(B9,Customers!$A$1:$E$2501,4,0)</f>
        <v>34</v>
      </c>
    </row>
    <row r="10" spans="1:15" x14ac:dyDescent="0.3">
      <c r="A10">
        <v>5846</v>
      </c>
      <c r="B10">
        <v>264</v>
      </c>
      <c r="C10" s="1" t="s">
        <v>98</v>
      </c>
      <c r="D10" s="5">
        <v>45283</v>
      </c>
      <c r="E10" s="10">
        <v>5.5555555555555552E-2</v>
      </c>
      <c r="F10" s="15">
        <f t="shared" si="0"/>
        <v>12</v>
      </c>
      <c r="G10" s="10" t="str">
        <f t="shared" si="1"/>
        <v>Saturday</v>
      </c>
      <c r="H10" s="9" t="str">
        <f t="shared" si="2"/>
        <v>December</v>
      </c>
      <c r="I10" t="s">
        <v>97</v>
      </c>
      <c r="J10" t="s">
        <v>11</v>
      </c>
      <c r="K10">
        <v>9887</v>
      </c>
      <c r="L10" s="5" t="str">
        <f>IF(OR(K10&lt;Answers!$C$16,Orders!K10&gt;Answers!$C$17),"Yes","No")</f>
        <v>No</v>
      </c>
      <c r="M10" s="14">
        <f>VLOOKUP(B10,Customers!$A$1:$E$2501,4,0)</f>
        <v>46</v>
      </c>
    </row>
    <row r="11" spans="1:15" x14ac:dyDescent="0.3">
      <c r="A11">
        <v>7615</v>
      </c>
      <c r="B11">
        <v>566</v>
      </c>
      <c r="C11" s="1" t="s">
        <v>98</v>
      </c>
      <c r="D11" s="5">
        <v>45233</v>
      </c>
      <c r="E11" s="10">
        <v>0.49027777777777776</v>
      </c>
      <c r="F11" s="15">
        <f t="shared" si="0"/>
        <v>11</v>
      </c>
      <c r="G11" s="10" t="str">
        <f t="shared" si="1"/>
        <v>Friday</v>
      </c>
      <c r="H11" s="9" t="str">
        <f t="shared" si="2"/>
        <v>November</v>
      </c>
      <c r="I11" t="s">
        <v>190</v>
      </c>
      <c r="J11" t="s">
        <v>12</v>
      </c>
      <c r="K11">
        <v>8303</v>
      </c>
      <c r="L11" s="5" t="str">
        <f>IF(OR(K11&lt;Answers!$C$16,Orders!K11&gt;Answers!$C$17),"Yes","No")</f>
        <v>No</v>
      </c>
      <c r="M11" s="14">
        <f>VLOOKUP(B11,Customers!$A$1:$E$2501,4,0)</f>
        <v>74</v>
      </c>
    </row>
    <row r="12" spans="1:15" x14ac:dyDescent="0.3">
      <c r="A12">
        <v>8568</v>
      </c>
      <c r="B12">
        <v>1414</v>
      </c>
      <c r="C12" s="1" t="s">
        <v>98</v>
      </c>
      <c r="D12" s="5">
        <v>45133</v>
      </c>
      <c r="E12" s="10">
        <v>36842</v>
      </c>
      <c r="F12" s="15">
        <f t="shared" si="0"/>
        <v>7</v>
      </c>
      <c r="G12" s="10" t="str">
        <f t="shared" si="1"/>
        <v>Wednesday</v>
      </c>
      <c r="H12" s="9" t="str">
        <f t="shared" si="2"/>
        <v>July</v>
      </c>
      <c r="I12" t="s">
        <v>96</v>
      </c>
      <c r="J12" t="s">
        <v>13</v>
      </c>
      <c r="K12">
        <v>8969</v>
      </c>
      <c r="L12" s="5" t="str">
        <f>IF(OR(K12&lt;Answers!$C$16,Orders!K12&gt;Answers!$C$17),"Yes","No")</f>
        <v>No</v>
      </c>
      <c r="M12" s="14">
        <f>VLOOKUP(B12,Customers!$A$1:$E$2501,4,0)</f>
        <v>28</v>
      </c>
    </row>
    <row r="13" spans="1:15" x14ac:dyDescent="0.3">
      <c r="A13">
        <v>9339</v>
      </c>
      <c r="B13">
        <v>1681</v>
      </c>
      <c r="C13" s="1" t="s">
        <v>104</v>
      </c>
      <c r="D13" s="5">
        <v>45278</v>
      </c>
      <c r="E13" s="10">
        <v>0.52708333333333335</v>
      </c>
      <c r="F13" s="15">
        <f t="shared" si="0"/>
        <v>12</v>
      </c>
      <c r="G13" s="10" t="str">
        <f t="shared" si="1"/>
        <v>Monday</v>
      </c>
      <c r="H13" s="9" t="str">
        <f t="shared" si="2"/>
        <v>December</v>
      </c>
      <c r="I13" t="s">
        <v>96</v>
      </c>
      <c r="J13" t="s">
        <v>14</v>
      </c>
      <c r="K13">
        <v>2782</v>
      </c>
      <c r="L13" s="5" t="str">
        <f>IF(OR(K13&lt;Answers!$C$16,Orders!K13&gt;Answers!$C$17),"Yes","No")</f>
        <v>No</v>
      </c>
      <c r="M13" s="14">
        <f>VLOOKUP(B13,Customers!$A$1:$E$2501,4,0)</f>
        <v>38</v>
      </c>
    </row>
    <row r="14" spans="1:15" x14ac:dyDescent="0.3">
      <c r="A14">
        <v>9839</v>
      </c>
      <c r="B14">
        <v>223</v>
      </c>
      <c r="C14" s="1" t="s">
        <v>112</v>
      </c>
      <c r="D14" s="5">
        <v>45082</v>
      </c>
      <c r="E14" s="10">
        <v>36647</v>
      </c>
      <c r="F14" s="15">
        <f t="shared" si="0"/>
        <v>6</v>
      </c>
      <c r="G14" s="10" t="str">
        <f t="shared" si="1"/>
        <v>Monday</v>
      </c>
      <c r="H14" s="9" t="str">
        <f t="shared" si="2"/>
        <v>June</v>
      </c>
      <c r="I14" t="s">
        <v>95</v>
      </c>
      <c r="J14" t="s">
        <v>15</v>
      </c>
      <c r="K14">
        <v>7215</v>
      </c>
      <c r="L14" s="5" t="str">
        <f>IF(OR(K14&lt;Answers!$C$16,Orders!K14&gt;Answers!$C$17),"Yes","No")</f>
        <v>No</v>
      </c>
      <c r="M14" s="14">
        <f>VLOOKUP(B14,Customers!$A$1:$E$2501,4,0)</f>
        <v>41</v>
      </c>
    </row>
    <row r="15" spans="1:15" x14ac:dyDescent="0.3">
      <c r="A15">
        <v>10101</v>
      </c>
      <c r="B15">
        <v>276</v>
      </c>
      <c r="C15" s="1" t="s">
        <v>112</v>
      </c>
      <c r="D15" s="5">
        <v>45257</v>
      </c>
      <c r="E15" s="10">
        <v>0.43680555555555556</v>
      </c>
      <c r="F15" s="15">
        <f t="shared" si="0"/>
        <v>11</v>
      </c>
      <c r="G15" s="10" t="str">
        <f t="shared" si="1"/>
        <v>Monday</v>
      </c>
      <c r="H15" s="9" t="str">
        <f t="shared" si="2"/>
        <v>November</v>
      </c>
      <c r="I15" t="s">
        <v>96</v>
      </c>
      <c r="J15" t="s">
        <v>16</v>
      </c>
      <c r="K15">
        <v>6947</v>
      </c>
      <c r="L15" s="5" t="str">
        <f>IF(OR(K15&lt;Answers!$C$16,Orders!K15&gt;Answers!$C$17),"Yes","No")</f>
        <v>No</v>
      </c>
      <c r="M15" s="14">
        <f>VLOOKUP(B15,Customers!$A$1:$E$2501,4,0)</f>
        <v>59</v>
      </c>
    </row>
    <row r="16" spans="1:15" x14ac:dyDescent="0.3">
      <c r="A16">
        <v>10208</v>
      </c>
      <c r="B16">
        <v>1219</v>
      </c>
      <c r="C16" s="1" t="s">
        <v>98</v>
      </c>
      <c r="D16" s="5">
        <v>45203</v>
      </c>
      <c r="E16" s="10">
        <v>7.0833333333333331E-2</v>
      </c>
      <c r="F16" s="15">
        <f t="shared" si="0"/>
        <v>10</v>
      </c>
      <c r="G16" s="10" t="str">
        <f t="shared" si="1"/>
        <v>Wednesday</v>
      </c>
      <c r="H16" s="9" t="str">
        <f t="shared" si="2"/>
        <v>October</v>
      </c>
      <c r="I16" t="s">
        <v>97</v>
      </c>
      <c r="J16" t="s">
        <v>17</v>
      </c>
      <c r="K16">
        <v>3866</v>
      </c>
      <c r="L16" s="5" t="str">
        <f>IF(OR(K16&lt;Answers!$C$16,Orders!K16&gt;Answers!$C$17),"Yes","No")</f>
        <v>No</v>
      </c>
      <c r="M16" s="14">
        <f>VLOOKUP(B16,Customers!$A$1:$E$2501,4,0)</f>
        <v>19</v>
      </c>
    </row>
    <row r="17" spans="1:13" x14ac:dyDescent="0.3">
      <c r="A17">
        <v>10508</v>
      </c>
      <c r="B17">
        <v>1016</v>
      </c>
      <c r="C17" s="1" t="s">
        <v>112</v>
      </c>
      <c r="D17" s="5">
        <v>45162</v>
      </c>
      <c r="E17" s="10">
        <v>0.46736111111111112</v>
      </c>
      <c r="F17" s="15">
        <f t="shared" si="0"/>
        <v>8</v>
      </c>
      <c r="G17" s="10" t="str">
        <f t="shared" si="1"/>
        <v>Thursday</v>
      </c>
      <c r="H17" s="9" t="str">
        <f t="shared" si="2"/>
        <v>August</v>
      </c>
      <c r="I17" t="s">
        <v>190</v>
      </c>
      <c r="J17" t="s">
        <v>18</v>
      </c>
      <c r="K17">
        <v>4247</v>
      </c>
      <c r="L17" s="5" t="str">
        <f>IF(OR(K17&lt;Answers!$C$16,Orders!K17&gt;Answers!$C$17),"Yes","No")</f>
        <v>No</v>
      </c>
      <c r="M17" s="14">
        <f>VLOOKUP(B17,Customers!$A$1:$E$2501,4,0)</f>
        <v>23</v>
      </c>
    </row>
    <row r="18" spans="1:13" x14ac:dyDescent="0.3">
      <c r="A18">
        <v>10526</v>
      </c>
      <c r="B18">
        <v>241</v>
      </c>
      <c r="C18" s="1" t="s">
        <v>98</v>
      </c>
      <c r="D18" s="5">
        <v>45218</v>
      </c>
      <c r="E18" s="10">
        <v>0.45277777777777778</v>
      </c>
      <c r="F18" s="15">
        <f t="shared" si="0"/>
        <v>10</v>
      </c>
      <c r="G18" s="10" t="str">
        <f t="shared" si="1"/>
        <v>Thursday</v>
      </c>
      <c r="H18" s="9" t="str">
        <f t="shared" si="2"/>
        <v>October</v>
      </c>
      <c r="I18" t="s">
        <v>97</v>
      </c>
      <c r="J18" t="s">
        <v>19</v>
      </c>
      <c r="K18">
        <v>6627</v>
      </c>
      <c r="L18" s="5" t="str">
        <f>IF(OR(K18&lt;Answers!$C$16,Orders!K18&gt;Answers!$C$17),"Yes","No")</f>
        <v>No</v>
      </c>
      <c r="M18" s="14">
        <f>VLOOKUP(B18,Customers!$A$1:$E$2501,4,0)</f>
        <v>22</v>
      </c>
    </row>
    <row r="19" spans="1:13" x14ac:dyDescent="0.3">
      <c r="A19">
        <v>10667</v>
      </c>
      <c r="B19">
        <v>467</v>
      </c>
      <c r="C19" s="1" t="s">
        <v>99</v>
      </c>
      <c r="D19" s="5">
        <v>45212</v>
      </c>
      <c r="E19" s="10">
        <v>36526</v>
      </c>
      <c r="F19" s="15">
        <f t="shared" si="0"/>
        <v>10</v>
      </c>
      <c r="G19" s="10" t="str">
        <f t="shared" si="1"/>
        <v>Friday</v>
      </c>
      <c r="H19" s="9" t="str">
        <f t="shared" si="2"/>
        <v>October</v>
      </c>
      <c r="I19" t="s">
        <v>190</v>
      </c>
      <c r="J19" t="s">
        <v>20</v>
      </c>
      <c r="K19">
        <v>840</v>
      </c>
      <c r="L19" s="5" t="str">
        <f>IF(OR(K19&lt;Answers!$C$16,Orders!K19&gt;Answers!$C$17),"Yes","No")</f>
        <v>No</v>
      </c>
      <c r="M19" s="14">
        <f>VLOOKUP(B19,Customers!$A$1:$E$2501,4,0)</f>
        <v>62</v>
      </c>
    </row>
    <row r="20" spans="1:13" x14ac:dyDescent="0.3">
      <c r="A20">
        <v>10922</v>
      </c>
      <c r="B20">
        <v>7</v>
      </c>
      <c r="C20" s="1" t="s">
        <v>105</v>
      </c>
      <c r="D20" s="5">
        <v>44945</v>
      </c>
      <c r="E20" s="10">
        <v>0.43958333333333333</v>
      </c>
      <c r="F20" s="15">
        <f t="shared" si="0"/>
        <v>1</v>
      </c>
      <c r="G20" s="10" t="str">
        <f t="shared" si="1"/>
        <v>Thursday</v>
      </c>
      <c r="H20" s="9" t="str">
        <f t="shared" si="2"/>
        <v>January</v>
      </c>
      <c r="I20" t="s">
        <v>96</v>
      </c>
      <c r="J20" t="s">
        <v>21</v>
      </c>
      <c r="K20">
        <v>3157</v>
      </c>
      <c r="L20" s="5" t="str">
        <f>IF(OR(K20&lt;Answers!$C$16,Orders!K20&gt;Answers!$C$17),"Yes","No")</f>
        <v>No</v>
      </c>
      <c r="M20" s="14">
        <f>VLOOKUP(B20,Customers!$A$1:$E$2501,4,0)</f>
        <v>76</v>
      </c>
    </row>
    <row r="21" spans="1:13" x14ac:dyDescent="0.3">
      <c r="A21">
        <v>11114</v>
      </c>
      <c r="B21">
        <v>563</v>
      </c>
      <c r="C21" s="1" t="s">
        <v>99</v>
      </c>
      <c r="D21" s="5">
        <v>45002</v>
      </c>
      <c r="E21" s="10">
        <v>0.46944444444444444</v>
      </c>
      <c r="F21" s="15">
        <f t="shared" si="0"/>
        <v>3</v>
      </c>
      <c r="G21" s="10" t="str">
        <f t="shared" si="1"/>
        <v>Friday</v>
      </c>
      <c r="H21" s="9" t="str">
        <f t="shared" si="2"/>
        <v>March</v>
      </c>
      <c r="I21" t="s">
        <v>97</v>
      </c>
      <c r="J21" t="s">
        <v>3</v>
      </c>
      <c r="K21">
        <v>6371</v>
      </c>
      <c r="L21" s="5" t="str">
        <f>IF(OR(K21&lt;Answers!$C$16,Orders!K21&gt;Answers!$C$17),"Yes","No")</f>
        <v>No</v>
      </c>
      <c r="M21" s="14">
        <f>VLOOKUP(B21,Customers!$A$1:$E$2501,4,0)</f>
        <v>80</v>
      </c>
    </row>
    <row r="22" spans="1:13" x14ac:dyDescent="0.3">
      <c r="A22">
        <v>12200</v>
      </c>
      <c r="B22">
        <v>1218</v>
      </c>
      <c r="C22" s="1" t="s">
        <v>98</v>
      </c>
      <c r="D22" s="5">
        <v>45088</v>
      </c>
      <c r="E22" s="10">
        <v>36872</v>
      </c>
      <c r="F22" s="15">
        <f t="shared" si="0"/>
        <v>6</v>
      </c>
      <c r="G22" s="10" t="str">
        <f t="shared" si="1"/>
        <v>Sunday</v>
      </c>
      <c r="H22" s="9" t="str">
        <f t="shared" si="2"/>
        <v>June</v>
      </c>
      <c r="I22" t="s">
        <v>190</v>
      </c>
      <c r="J22" t="s">
        <v>22</v>
      </c>
      <c r="K22">
        <v>1774</v>
      </c>
      <c r="L22" s="5" t="str">
        <f>IF(OR(K22&lt;Answers!$C$16,Orders!K22&gt;Answers!$C$17),"Yes","No")</f>
        <v>No</v>
      </c>
      <c r="M22" s="14">
        <f>VLOOKUP(B22,Customers!$A$1:$E$2501,4,0)</f>
        <v>68</v>
      </c>
    </row>
    <row r="23" spans="1:13" x14ac:dyDescent="0.3">
      <c r="A23">
        <v>13586</v>
      </c>
      <c r="B23">
        <v>26</v>
      </c>
      <c r="C23" s="1" t="s">
        <v>99</v>
      </c>
      <c r="D23" s="5">
        <v>44949</v>
      </c>
      <c r="E23" s="10">
        <v>0.51180555555555551</v>
      </c>
      <c r="F23" s="15">
        <f t="shared" si="0"/>
        <v>1</v>
      </c>
      <c r="G23" s="10" t="str">
        <f t="shared" si="1"/>
        <v>Monday</v>
      </c>
      <c r="H23" s="9" t="str">
        <f t="shared" si="2"/>
        <v>January</v>
      </c>
      <c r="I23" t="s">
        <v>96</v>
      </c>
      <c r="J23" t="s">
        <v>23</v>
      </c>
      <c r="K23">
        <v>321</v>
      </c>
      <c r="L23" s="5" t="str">
        <f>IF(OR(K23&lt;Answers!$C$16,Orders!K23&gt;Answers!$C$17),"Yes","No")</f>
        <v>No</v>
      </c>
      <c r="M23" s="14">
        <f>VLOOKUP(B23,Customers!$A$1:$E$2501,4,0)</f>
        <v>27</v>
      </c>
    </row>
    <row r="24" spans="1:13" x14ac:dyDescent="0.3">
      <c r="A24">
        <v>14287</v>
      </c>
      <c r="B24">
        <v>1552</v>
      </c>
      <c r="C24" s="1" t="s">
        <v>106</v>
      </c>
      <c r="D24" s="5">
        <v>44975</v>
      </c>
      <c r="E24" s="10">
        <v>0.52361111111111114</v>
      </c>
      <c r="F24" s="15">
        <f t="shared" si="0"/>
        <v>2</v>
      </c>
      <c r="G24" s="10" t="str">
        <f t="shared" si="1"/>
        <v>Saturday</v>
      </c>
      <c r="H24" s="9" t="str">
        <f t="shared" si="2"/>
        <v>February</v>
      </c>
      <c r="I24" t="s">
        <v>95</v>
      </c>
      <c r="J24" t="s">
        <v>17</v>
      </c>
      <c r="K24">
        <v>1628</v>
      </c>
      <c r="L24" s="5" t="str">
        <f>IF(OR(K24&lt;Answers!$C$16,Orders!K24&gt;Answers!$C$17),"Yes","No")</f>
        <v>No</v>
      </c>
      <c r="M24" s="14">
        <f>VLOOKUP(B24,Customers!$A$1:$E$2501,4,0)</f>
        <v>37</v>
      </c>
    </row>
    <row r="25" spans="1:13" x14ac:dyDescent="0.3">
      <c r="A25">
        <v>14971</v>
      </c>
      <c r="B25">
        <v>148</v>
      </c>
      <c r="C25" s="1" t="s">
        <v>104</v>
      </c>
      <c r="D25" s="5">
        <v>45179</v>
      </c>
      <c r="E25" s="10">
        <v>36689</v>
      </c>
      <c r="F25" s="15">
        <f t="shared" si="0"/>
        <v>9</v>
      </c>
      <c r="G25" s="10" t="str">
        <f t="shared" si="1"/>
        <v>Sunday</v>
      </c>
      <c r="H25" s="9" t="str">
        <f t="shared" si="2"/>
        <v>September</v>
      </c>
      <c r="I25" t="s">
        <v>95</v>
      </c>
      <c r="J25" t="s">
        <v>24</v>
      </c>
      <c r="K25">
        <v>7545</v>
      </c>
      <c r="L25" s="5" t="str">
        <f>IF(OR(K25&lt;Answers!$C$16,Orders!K25&gt;Answers!$C$17),"Yes","No")</f>
        <v>No</v>
      </c>
      <c r="M25" s="14">
        <f>VLOOKUP(B25,Customers!$A$1:$E$2501,4,0)</f>
        <v>33</v>
      </c>
    </row>
    <row r="26" spans="1:13" x14ac:dyDescent="0.3">
      <c r="A26">
        <v>15113</v>
      </c>
      <c r="B26">
        <v>252</v>
      </c>
      <c r="C26" s="1" t="s">
        <v>98</v>
      </c>
      <c r="D26" s="5">
        <v>45003</v>
      </c>
      <c r="E26" s="10">
        <v>8.3333333333333329E-2</v>
      </c>
      <c r="F26" s="15">
        <f t="shared" si="0"/>
        <v>3</v>
      </c>
      <c r="G26" s="10" t="str">
        <f t="shared" si="1"/>
        <v>Saturday</v>
      </c>
      <c r="H26" s="9" t="str">
        <f t="shared" si="2"/>
        <v>March</v>
      </c>
      <c r="I26" t="s">
        <v>96</v>
      </c>
      <c r="J26" t="s">
        <v>25</v>
      </c>
      <c r="K26">
        <v>2730</v>
      </c>
      <c r="L26" s="5" t="str">
        <f>IF(OR(K26&lt;Answers!$C$16,Orders!K26&gt;Answers!$C$17),"Yes","No")</f>
        <v>No</v>
      </c>
      <c r="M26" s="14">
        <f>VLOOKUP(B26,Customers!$A$1:$E$2501,4,0)</f>
        <v>89</v>
      </c>
    </row>
    <row r="27" spans="1:13" x14ac:dyDescent="0.3">
      <c r="A27">
        <v>15878</v>
      </c>
      <c r="B27">
        <v>1524</v>
      </c>
      <c r="C27" s="1" t="s">
        <v>99</v>
      </c>
      <c r="D27" s="5">
        <v>45080</v>
      </c>
      <c r="E27" s="10">
        <v>36526</v>
      </c>
      <c r="F27" s="15">
        <f t="shared" si="0"/>
        <v>6</v>
      </c>
      <c r="G27" s="10" t="str">
        <f t="shared" si="1"/>
        <v>Saturday</v>
      </c>
      <c r="H27" s="9" t="str">
        <f t="shared" si="2"/>
        <v>June</v>
      </c>
      <c r="I27" t="s">
        <v>190</v>
      </c>
      <c r="J27" t="s">
        <v>26</v>
      </c>
      <c r="K27">
        <v>2717</v>
      </c>
      <c r="L27" s="5" t="str">
        <f>IF(OR(K27&lt;Answers!$C$16,Orders!K27&gt;Answers!$C$17),"Yes","No")</f>
        <v>No</v>
      </c>
      <c r="M27" s="14">
        <f>VLOOKUP(B27,Customers!$A$1:$E$2501,4,0)</f>
        <v>75</v>
      </c>
    </row>
    <row r="28" spans="1:13" x14ac:dyDescent="0.3">
      <c r="A28">
        <v>16243</v>
      </c>
      <c r="B28">
        <v>1812</v>
      </c>
      <c r="C28" s="1" t="s">
        <v>104</v>
      </c>
      <c r="D28" s="5">
        <v>45138</v>
      </c>
      <c r="E28" s="10">
        <v>0.47152777777777777</v>
      </c>
      <c r="F28" s="15">
        <f t="shared" si="0"/>
        <v>7</v>
      </c>
      <c r="G28" s="10" t="str">
        <f t="shared" si="1"/>
        <v>Monday</v>
      </c>
      <c r="H28" s="9" t="str">
        <f t="shared" si="2"/>
        <v>July</v>
      </c>
      <c r="I28" t="s">
        <v>97</v>
      </c>
      <c r="J28" t="s">
        <v>20</v>
      </c>
      <c r="K28">
        <v>9723</v>
      </c>
      <c r="L28" s="5" t="str">
        <f>IF(OR(K28&lt;Answers!$C$16,Orders!K28&gt;Answers!$C$17),"Yes","No")</f>
        <v>No</v>
      </c>
      <c r="M28" s="14">
        <f>VLOOKUP(B28,Customers!$A$1:$E$2501,4,0)</f>
        <v>49</v>
      </c>
    </row>
    <row r="29" spans="1:13" x14ac:dyDescent="0.3">
      <c r="A29">
        <v>16263</v>
      </c>
      <c r="B29">
        <v>311</v>
      </c>
      <c r="C29" s="1" t="s">
        <v>100</v>
      </c>
      <c r="D29" s="5">
        <v>45260</v>
      </c>
      <c r="E29" s="10">
        <v>0.45763888888888887</v>
      </c>
      <c r="F29" s="15">
        <f t="shared" si="0"/>
        <v>11</v>
      </c>
      <c r="G29" s="10" t="str">
        <f t="shared" si="1"/>
        <v>Thursday</v>
      </c>
      <c r="H29" s="9" t="str">
        <f t="shared" si="2"/>
        <v>November</v>
      </c>
      <c r="I29" t="s">
        <v>97</v>
      </c>
      <c r="J29" t="s">
        <v>27</v>
      </c>
      <c r="K29">
        <v>6673</v>
      </c>
      <c r="L29" s="5" t="str">
        <f>IF(OR(K29&lt;Answers!$C$16,Orders!K29&gt;Answers!$C$17),"Yes","No")</f>
        <v>No</v>
      </c>
      <c r="M29" s="14">
        <f>VLOOKUP(B29,Customers!$A$1:$E$2501,4,0)</f>
        <v>45</v>
      </c>
    </row>
    <row r="30" spans="1:13" x14ac:dyDescent="0.3">
      <c r="A30">
        <v>16847</v>
      </c>
      <c r="B30">
        <v>406</v>
      </c>
      <c r="C30" s="1" t="s">
        <v>112</v>
      </c>
      <c r="D30" s="5">
        <v>45238</v>
      </c>
      <c r="E30" s="10">
        <v>0.51180555555555551</v>
      </c>
      <c r="F30" s="15">
        <f t="shared" si="0"/>
        <v>11</v>
      </c>
      <c r="G30" s="10" t="str">
        <f t="shared" si="1"/>
        <v>Wednesday</v>
      </c>
      <c r="H30" s="9" t="str">
        <f t="shared" si="2"/>
        <v>November</v>
      </c>
      <c r="I30" t="s">
        <v>95</v>
      </c>
      <c r="J30" t="s">
        <v>28</v>
      </c>
      <c r="K30">
        <v>1802</v>
      </c>
      <c r="L30" s="5" t="str">
        <f>IF(OR(K30&lt;Answers!$C$16,Orders!K30&gt;Answers!$C$17),"Yes","No")</f>
        <v>No</v>
      </c>
      <c r="M30" s="14">
        <f>VLOOKUP(B30,Customers!$A$1:$E$2501,4,0)</f>
        <v>34</v>
      </c>
    </row>
    <row r="31" spans="1:13" x14ac:dyDescent="0.3">
      <c r="A31">
        <v>17912</v>
      </c>
      <c r="B31">
        <v>498</v>
      </c>
      <c r="C31" s="1" t="s">
        <v>108</v>
      </c>
      <c r="D31" s="5">
        <v>45006</v>
      </c>
      <c r="E31" s="10">
        <v>0.45555555555555555</v>
      </c>
      <c r="F31" s="15">
        <f t="shared" si="0"/>
        <v>3</v>
      </c>
      <c r="G31" s="10" t="str">
        <f t="shared" si="1"/>
        <v>Tuesday</v>
      </c>
      <c r="H31" s="9" t="str">
        <f t="shared" si="2"/>
        <v>March</v>
      </c>
      <c r="I31" t="s">
        <v>95</v>
      </c>
      <c r="J31" t="s">
        <v>8</v>
      </c>
      <c r="K31">
        <v>9179</v>
      </c>
      <c r="L31" s="5" t="str">
        <f>IF(OR(K31&lt;Answers!$C$16,Orders!K31&gt;Answers!$C$17),"Yes","No")</f>
        <v>No</v>
      </c>
      <c r="M31" s="14">
        <f>VLOOKUP(B31,Customers!$A$1:$E$2501,4,0)</f>
        <v>32</v>
      </c>
    </row>
    <row r="32" spans="1:13" x14ac:dyDescent="0.3">
      <c r="A32">
        <v>20076</v>
      </c>
      <c r="B32">
        <v>446</v>
      </c>
      <c r="C32" s="1" t="s">
        <v>98</v>
      </c>
      <c r="D32" s="5">
        <v>45001</v>
      </c>
      <c r="E32" s="10">
        <v>0.47222222222222221</v>
      </c>
      <c r="F32" s="15">
        <f t="shared" si="0"/>
        <v>3</v>
      </c>
      <c r="G32" s="10" t="str">
        <f t="shared" si="1"/>
        <v>Thursday</v>
      </c>
      <c r="H32" s="9" t="str">
        <f t="shared" si="2"/>
        <v>March</v>
      </c>
      <c r="I32" t="s">
        <v>97</v>
      </c>
      <c r="J32" t="s">
        <v>29</v>
      </c>
      <c r="K32">
        <v>2311</v>
      </c>
      <c r="L32" s="5" t="str">
        <f>IF(OR(K32&lt;Answers!$C$16,Orders!K32&gt;Answers!$C$17),"Yes","No")</f>
        <v>No</v>
      </c>
      <c r="M32" s="14">
        <f>VLOOKUP(B32,Customers!$A$1:$E$2501,4,0)</f>
        <v>67</v>
      </c>
    </row>
    <row r="33" spans="1:13" x14ac:dyDescent="0.3">
      <c r="A33">
        <v>20342</v>
      </c>
      <c r="B33">
        <v>451</v>
      </c>
      <c r="C33" s="1" t="s">
        <v>102</v>
      </c>
      <c r="D33" s="5">
        <v>44988</v>
      </c>
      <c r="E33" s="10">
        <v>0.54027777777777775</v>
      </c>
      <c r="F33" s="15">
        <f t="shared" si="0"/>
        <v>3</v>
      </c>
      <c r="G33" s="10" t="str">
        <f t="shared" si="1"/>
        <v>Friday</v>
      </c>
      <c r="H33" s="9" t="str">
        <f t="shared" si="2"/>
        <v>March</v>
      </c>
      <c r="I33" t="s">
        <v>95</v>
      </c>
      <c r="J33" t="s">
        <v>30</v>
      </c>
      <c r="K33">
        <v>3940</v>
      </c>
      <c r="L33" s="5" t="str">
        <f>IF(OR(K33&lt;Answers!$C$16,Orders!K33&gt;Answers!$C$17),"Yes","No")</f>
        <v>No</v>
      </c>
      <c r="M33" s="14">
        <f>VLOOKUP(B33,Customers!$A$1:$E$2501,4,0)</f>
        <v>74</v>
      </c>
    </row>
    <row r="34" spans="1:13" x14ac:dyDescent="0.3">
      <c r="A34">
        <v>21461</v>
      </c>
      <c r="B34">
        <v>975</v>
      </c>
      <c r="C34" s="1" t="s">
        <v>99</v>
      </c>
      <c r="D34" s="5">
        <v>44977</v>
      </c>
      <c r="E34" s="10">
        <v>0.4861111111111111</v>
      </c>
      <c r="F34" s="15">
        <f t="shared" si="0"/>
        <v>2</v>
      </c>
      <c r="G34" s="10" t="str">
        <f t="shared" si="1"/>
        <v>Monday</v>
      </c>
      <c r="H34" s="9" t="str">
        <f t="shared" si="2"/>
        <v>February</v>
      </c>
      <c r="I34" t="s">
        <v>97</v>
      </c>
      <c r="J34" t="s">
        <v>31</v>
      </c>
      <c r="K34">
        <v>5888</v>
      </c>
      <c r="L34" s="5" t="str">
        <f>IF(OR(K34&lt;Answers!$C$16,Orders!K34&gt;Answers!$C$17),"Yes","No")</f>
        <v>No</v>
      </c>
      <c r="M34" s="14">
        <f>VLOOKUP(B34,Customers!$A$1:$E$2501,4,0)</f>
        <v>45</v>
      </c>
    </row>
    <row r="35" spans="1:13" x14ac:dyDescent="0.3">
      <c r="A35">
        <v>22486</v>
      </c>
      <c r="B35">
        <v>1315</v>
      </c>
      <c r="C35" s="1" t="s">
        <v>98</v>
      </c>
      <c r="D35" s="5">
        <v>45110</v>
      </c>
      <c r="E35" s="10">
        <v>0.53125</v>
      </c>
      <c r="F35" s="15">
        <f t="shared" si="0"/>
        <v>7</v>
      </c>
      <c r="G35" s="10" t="str">
        <f t="shared" si="1"/>
        <v>Monday</v>
      </c>
      <c r="H35" s="9" t="str">
        <f t="shared" si="2"/>
        <v>July</v>
      </c>
      <c r="I35" t="s">
        <v>96</v>
      </c>
      <c r="J35" t="s">
        <v>32</v>
      </c>
      <c r="K35">
        <v>2819</v>
      </c>
      <c r="L35" s="5" t="str">
        <f>IF(OR(K35&lt;Answers!$C$16,Orders!K35&gt;Answers!$C$17),"Yes","No")</f>
        <v>No</v>
      </c>
      <c r="M35" s="14">
        <f>VLOOKUP(B35,Customers!$A$1:$E$2501,4,0)</f>
        <v>76</v>
      </c>
    </row>
    <row r="36" spans="1:13" x14ac:dyDescent="0.3">
      <c r="A36">
        <v>23598</v>
      </c>
      <c r="B36">
        <v>1017</v>
      </c>
      <c r="C36" s="1" t="s">
        <v>112</v>
      </c>
      <c r="D36" s="5">
        <v>45209</v>
      </c>
      <c r="E36" s="10">
        <v>0.53611111111111109</v>
      </c>
      <c r="F36" s="15">
        <f t="shared" si="0"/>
        <v>10</v>
      </c>
      <c r="G36" s="10" t="str">
        <f t="shared" si="1"/>
        <v>Tuesday</v>
      </c>
      <c r="H36" s="9" t="str">
        <f t="shared" si="2"/>
        <v>October</v>
      </c>
      <c r="I36" t="s">
        <v>96</v>
      </c>
      <c r="J36" t="s">
        <v>33</v>
      </c>
      <c r="K36">
        <v>3015</v>
      </c>
      <c r="L36" s="5" t="str">
        <f>IF(OR(K36&lt;Answers!$C$16,Orders!K36&gt;Answers!$C$17),"Yes","No")</f>
        <v>No</v>
      </c>
      <c r="M36" s="14">
        <f>VLOOKUP(B36,Customers!$A$1:$E$2501,4,0)</f>
        <v>38</v>
      </c>
    </row>
    <row r="37" spans="1:13" x14ac:dyDescent="0.3">
      <c r="A37">
        <v>25923</v>
      </c>
      <c r="B37">
        <v>875</v>
      </c>
      <c r="C37" s="1" t="s">
        <v>98</v>
      </c>
      <c r="D37" s="5">
        <v>45226</v>
      </c>
      <c r="E37" s="10">
        <v>36708</v>
      </c>
      <c r="F37" s="15">
        <f t="shared" si="0"/>
        <v>10</v>
      </c>
      <c r="G37" s="10" t="str">
        <f t="shared" si="1"/>
        <v>Friday</v>
      </c>
      <c r="H37" s="9" t="str">
        <f t="shared" si="2"/>
        <v>October</v>
      </c>
      <c r="I37" t="s">
        <v>96</v>
      </c>
      <c r="J37" t="s">
        <v>34</v>
      </c>
      <c r="K37">
        <v>8826</v>
      </c>
      <c r="L37" s="5" t="str">
        <f>IF(OR(K37&lt;Answers!$C$16,Orders!K37&gt;Answers!$C$17),"Yes","No")</f>
        <v>No</v>
      </c>
      <c r="M37" s="14">
        <f>VLOOKUP(B37,Customers!$A$1:$E$2501,4,0)</f>
        <v>54</v>
      </c>
    </row>
    <row r="38" spans="1:13" x14ac:dyDescent="0.3">
      <c r="A38">
        <v>27076</v>
      </c>
      <c r="B38">
        <v>242</v>
      </c>
      <c r="C38" s="1" t="s">
        <v>98</v>
      </c>
      <c r="D38" s="5">
        <v>45107</v>
      </c>
      <c r="E38" s="10">
        <v>5.0694444444444445E-2</v>
      </c>
      <c r="F38" s="15">
        <f t="shared" si="0"/>
        <v>6</v>
      </c>
      <c r="G38" s="10" t="str">
        <f t="shared" si="1"/>
        <v>Friday</v>
      </c>
      <c r="H38" s="9" t="str">
        <f t="shared" si="2"/>
        <v>June</v>
      </c>
      <c r="I38" t="s">
        <v>95</v>
      </c>
      <c r="J38" t="s">
        <v>35</v>
      </c>
      <c r="K38">
        <v>4466</v>
      </c>
      <c r="L38" s="5" t="str">
        <f>IF(OR(K38&lt;Answers!$C$16,Orders!K38&gt;Answers!$C$17),"Yes","No")</f>
        <v>No</v>
      </c>
      <c r="M38" s="14">
        <f>VLOOKUP(B38,Customers!$A$1:$E$2501,4,0)</f>
        <v>87</v>
      </c>
    </row>
    <row r="39" spans="1:13" x14ac:dyDescent="0.3">
      <c r="A39">
        <v>27115</v>
      </c>
      <c r="B39">
        <v>276</v>
      </c>
      <c r="C39" s="1" t="s">
        <v>112</v>
      </c>
      <c r="D39" s="5">
        <v>45235</v>
      </c>
      <c r="E39" s="10">
        <v>7.5694444444444439E-2</v>
      </c>
      <c r="F39" s="15">
        <f t="shared" si="0"/>
        <v>11</v>
      </c>
      <c r="G39" s="10" t="str">
        <f t="shared" si="1"/>
        <v>Sunday</v>
      </c>
      <c r="H39" s="9" t="str">
        <f t="shared" si="2"/>
        <v>November</v>
      </c>
      <c r="I39" t="s">
        <v>97</v>
      </c>
      <c r="J39" t="s">
        <v>36</v>
      </c>
      <c r="K39">
        <v>9943</v>
      </c>
      <c r="L39" s="5" t="str">
        <f>IF(OR(K39&lt;Answers!$C$16,Orders!K39&gt;Answers!$C$17),"Yes","No")</f>
        <v>No</v>
      </c>
      <c r="M39" s="14">
        <f>VLOOKUP(B39,Customers!$A$1:$E$2501,4,0)</f>
        <v>59</v>
      </c>
    </row>
    <row r="40" spans="1:13" x14ac:dyDescent="0.3">
      <c r="A40">
        <v>27493</v>
      </c>
      <c r="B40">
        <v>827</v>
      </c>
      <c r="C40" s="1" t="s">
        <v>105</v>
      </c>
      <c r="D40" s="5">
        <v>45225</v>
      </c>
      <c r="E40" s="10">
        <v>36872</v>
      </c>
      <c r="F40" s="15">
        <f t="shared" si="0"/>
        <v>10</v>
      </c>
      <c r="G40" s="10" t="str">
        <f t="shared" si="1"/>
        <v>Thursday</v>
      </c>
      <c r="H40" s="9" t="str">
        <f t="shared" si="2"/>
        <v>October</v>
      </c>
      <c r="I40" t="s">
        <v>190</v>
      </c>
      <c r="J40" t="s">
        <v>37</v>
      </c>
      <c r="K40">
        <v>2811</v>
      </c>
      <c r="L40" s="5" t="str">
        <f>IF(OR(K40&lt;Answers!$C$16,Orders!K40&gt;Answers!$C$17),"Yes","No")</f>
        <v>No</v>
      </c>
      <c r="M40" s="14">
        <f>VLOOKUP(B40,Customers!$A$1:$E$2501,4,0)</f>
        <v>40</v>
      </c>
    </row>
    <row r="41" spans="1:13" x14ac:dyDescent="0.3">
      <c r="A41">
        <v>28066</v>
      </c>
      <c r="B41">
        <v>1986</v>
      </c>
      <c r="C41" s="1" t="s">
        <v>99</v>
      </c>
      <c r="D41" s="5">
        <v>45053</v>
      </c>
      <c r="E41" s="10">
        <v>36719</v>
      </c>
      <c r="F41" s="15">
        <f t="shared" si="0"/>
        <v>5</v>
      </c>
      <c r="G41" s="10" t="str">
        <f t="shared" si="1"/>
        <v>Sunday</v>
      </c>
      <c r="H41" s="9" t="str">
        <f t="shared" si="2"/>
        <v>May</v>
      </c>
      <c r="I41" t="s">
        <v>96</v>
      </c>
      <c r="J41" t="s">
        <v>38</v>
      </c>
      <c r="K41">
        <v>7129</v>
      </c>
      <c r="L41" s="5" t="str">
        <f>IF(OR(K41&lt;Answers!$C$16,Orders!K41&gt;Answers!$C$17),"Yes","No")</f>
        <v>No</v>
      </c>
      <c r="M41" s="14">
        <f>VLOOKUP(B41,Customers!$A$1:$E$2501,4,0)</f>
        <v>21</v>
      </c>
    </row>
    <row r="42" spans="1:13" x14ac:dyDescent="0.3">
      <c r="A42">
        <v>28318</v>
      </c>
      <c r="B42">
        <v>983</v>
      </c>
      <c r="C42" s="1" t="s">
        <v>98</v>
      </c>
      <c r="D42" s="5">
        <v>44974</v>
      </c>
      <c r="E42" s="10">
        <v>0.53402777777777777</v>
      </c>
      <c r="F42" s="15">
        <f t="shared" si="0"/>
        <v>2</v>
      </c>
      <c r="G42" s="10" t="str">
        <f t="shared" si="1"/>
        <v>Friday</v>
      </c>
      <c r="H42" s="9" t="str">
        <f t="shared" si="2"/>
        <v>February</v>
      </c>
      <c r="I42" t="s">
        <v>97</v>
      </c>
      <c r="J42" t="s">
        <v>23</v>
      </c>
      <c r="K42">
        <v>5284</v>
      </c>
      <c r="L42" s="5" t="str">
        <f>IF(OR(K42&lt;Answers!$C$16,Orders!K42&gt;Answers!$C$17),"Yes","No")</f>
        <v>No</v>
      </c>
      <c r="M42" s="14">
        <f>VLOOKUP(B42,Customers!$A$1:$E$2501,4,0)</f>
        <v>58</v>
      </c>
    </row>
    <row r="43" spans="1:13" x14ac:dyDescent="0.3">
      <c r="A43">
        <v>28720</v>
      </c>
      <c r="B43">
        <v>725</v>
      </c>
      <c r="C43" s="1" t="s">
        <v>98</v>
      </c>
      <c r="D43" s="5">
        <v>44980</v>
      </c>
      <c r="E43" s="10">
        <v>0.53680555555555554</v>
      </c>
      <c r="F43" s="15">
        <f t="shared" si="0"/>
        <v>2</v>
      </c>
      <c r="G43" s="10" t="str">
        <f t="shared" si="1"/>
        <v>Thursday</v>
      </c>
      <c r="H43" s="9" t="str">
        <f t="shared" si="2"/>
        <v>February</v>
      </c>
      <c r="I43" t="s">
        <v>190</v>
      </c>
      <c r="J43" t="s">
        <v>39</v>
      </c>
      <c r="K43">
        <v>405</v>
      </c>
      <c r="L43" s="5" t="str">
        <f>IF(OR(K43&lt;Answers!$C$16,Orders!K43&gt;Answers!$C$17),"Yes","No")</f>
        <v>No</v>
      </c>
      <c r="M43" s="14">
        <f>VLOOKUP(B43,Customers!$A$1:$E$2501,4,0)</f>
        <v>22</v>
      </c>
    </row>
    <row r="44" spans="1:13" x14ac:dyDescent="0.3">
      <c r="A44">
        <v>28841</v>
      </c>
      <c r="B44">
        <v>954</v>
      </c>
      <c r="C44" s="1" t="s">
        <v>112</v>
      </c>
      <c r="D44" s="5">
        <v>44945</v>
      </c>
      <c r="E44" s="10">
        <v>36739</v>
      </c>
      <c r="F44" s="15">
        <f t="shared" si="0"/>
        <v>1</v>
      </c>
      <c r="G44" s="10" t="str">
        <f t="shared" si="1"/>
        <v>Thursday</v>
      </c>
      <c r="H44" s="9" t="str">
        <f t="shared" si="2"/>
        <v>January</v>
      </c>
      <c r="I44" t="s">
        <v>96</v>
      </c>
      <c r="J44" t="s">
        <v>40</v>
      </c>
      <c r="K44">
        <v>8558</v>
      </c>
      <c r="L44" s="5" t="str">
        <f>IF(OR(K44&lt;Answers!$C$16,Orders!K44&gt;Answers!$C$17),"Yes","No")</f>
        <v>No</v>
      </c>
      <c r="M44" s="14">
        <f>VLOOKUP(B44,Customers!$A$1:$E$2501,4,0)</f>
        <v>35</v>
      </c>
    </row>
    <row r="45" spans="1:13" x14ac:dyDescent="0.3">
      <c r="A45">
        <v>28901</v>
      </c>
      <c r="B45">
        <v>1093</v>
      </c>
      <c r="C45" s="1" t="s">
        <v>112</v>
      </c>
      <c r="D45" s="5">
        <v>45246</v>
      </c>
      <c r="E45" s="10">
        <v>0.49027777777777776</v>
      </c>
      <c r="F45" s="15">
        <f t="shared" si="0"/>
        <v>11</v>
      </c>
      <c r="G45" s="10" t="str">
        <f t="shared" si="1"/>
        <v>Thursday</v>
      </c>
      <c r="H45" s="9" t="str">
        <f t="shared" si="2"/>
        <v>November</v>
      </c>
      <c r="I45" t="s">
        <v>96</v>
      </c>
      <c r="J45" t="s">
        <v>41</v>
      </c>
      <c r="K45">
        <v>5536</v>
      </c>
      <c r="L45" s="5" t="str">
        <f>IF(OR(K45&lt;Answers!$C$16,Orders!K45&gt;Answers!$C$17),"Yes","No")</f>
        <v>No</v>
      </c>
      <c r="M45" s="14">
        <f>VLOOKUP(B45,Customers!$A$1:$E$2501,4,0)</f>
        <v>34</v>
      </c>
    </row>
    <row r="46" spans="1:13" x14ac:dyDescent="0.3">
      <c r="A46">
        <v>30449</v>
      </c>
      <c r="B46">
        <v>962</v>
      </c>
      <c r="C46" s="1" t="s">
        <v>98</v>
      </c>
      <c r="D46" s="5">
        <v>45108</v>
      </c>
      <c r="E46" s="10">
        <v>0.48749999999999999</v>
      </c>
      <c r="F46" s="15">
        <f t="shared" si="0"/>
        <v>7</v>
      </c>
      <c r="G46" s="10" t="str">
        <f t="shared" si="1"/>
        <v>Saturday</v>
      </c>
      <c r="H46" s="9" t="str">
        <f t="shared" si="2"/>
        <v>July</v>
      </c>
      <c r="I46" t="s">
        <v>96</v>
      </c>
      <c r="J46" t="s">
        <v>42</v>
      </c>
      <c r="K46">
        <v>660</v>
      </c>
      <c r="L46" s="5" t="str">
        <f>IF(OR(K46&lt;Answers!$C$16,Orders!K46&gt;Answers!$C$17),"Yes","No")</f>
        <v>No</v>
      </c>
      <c r="M46" s="14">
        <f>VLOOKUP(B46,Customers!$A$1:$E$2501,4,0)</f>
        <v>75</v>
      </c>
    </row>
    <row r="47" spans="1:13" x14ac:dyDescent="0.3">
      <c r="A47">
        <v>30739</v>
      </c>
      <c r="B47">
        <v>1771</v>
      </c>
      <c r="C47" s="1" t="s">
        <v>106</v>
      </c>
      <c r="D47" s="5">
        <v>45075</v>
      </c>
      <c r="E47" s="10">
        <v>0.51944444444444449</v>
      </c>
      <c r="F47" s="15">
        <f t="shared" si="0"/>
        <v>5</v>
      </c>
      <c r="G47" s="10" t="str">
        <f t="shared" si="1"/>
        <v>Monday</v>
      </c>
      <c r="H47" s="9" t="str">
        <f t="shared" si="2"/>
        <v>May</v>
      </c>
      <c r="I47" t="s">
        <v>95</v>
      </c>
      <c r="J47" t="s">
        <v>43</v>
      </c>
      <c r="K47">
        <v>5684</v>
      </c>
      <c r="L47" s="5" t="str">
        <f>IF(OR(K47&lt;Answers!$C$16,Orders!K47&gt;Answers!$C$17),"Yes","No")</f>
        <v>No</v>
      </c>
      <c r="M47" s="14">
        <f>VLOOKUP(B47,Customers!$A$1:$E$2501,4,0)</f>
        <v>80</v>
      </c>
    </row>
    <row r="48" spans="1:13" x14ac:dyDescent="0.3">
      <c r="A48">
        <v>31216</v>
      </c>
      <c r="B48">
        <v>1240</v>
      </c>
      <c r="C48" s="1" t="s">
        <v>108</v>
      </c>
      <c r="D48" s="5">
        <v>45194</v>
      </c>
      <c r="E48" s="10">
        <v>0.49027777777777776</v>
      </c>
      <c r="F48" s="15">
        <f t="shared" si="0"/>
        <v>9</v>
      </c>
      <c r="G48" s="10" t="str">
        <f t="shared" si="1"/>
        <v>Monday</v>
      </c>
      <c r="H48" s="9" t="str">
        <f t="shared" si="2"/>
        <v>September</v>
      </c>
      <c r="I48" t="s">
        <v>97</v>
      </c>
      <c r="J48" t="s">
        <v>11</v>
      </c>
      <c r="K48">
        <v>8294</v>
      </c>
      <c r="L48" s="5" t="str">
        <f>IF(OR(K48&lt;Answers!$C$16,Orders!K48&gt;Answers!$C$17),"Yes","No")</f>
        <v>No</v>
      </c>
      <c r="M48" s="14">
        <f>VLOOKUP(B48,Customers!$A$1:$E$2501,4,0)</f>
        <v>24</v>
      </c>
    </row>
    <row r="49" spans="1:13" x14ac:dyDescent="0.3">
      <c r="A49">
        <v>31707</v>
      </c>
      <c r="B49">
        <v>652</v>
      </c>
      <c r="C49" s="1" t="s">
        <v>98</v>
      </c>
      <c r="D49" s="5">
        <v>45057</v>
      </c>
      <c r="E49" s="10">
        <v>0.52152777777777781</v>
      </c>
      <c r="F49" s="15">
        <f t="shared" si="0"/>
        <v>5</v>
      </c>
      <c r="G49" s="10" t="str">
        <f t="shared" si="1"/>
        <v>Thursday</v>
      </c>
      <c r="H49" s="9" t="str">
        <f t="shared" si="2"/>
        <v>May</v>
      </c>
      <c r="I49" t="s">
        <v>95</v>
      </c>
      <c r="J49" t="s">
        <v>13</v>
      </c>
      <c r="K49">
        <v>8379</v>
      </c>
      <c r="L49" s="5" t="str">
        <f>IF(OR(K49&lt;Answers!$C$16,Orders!K49&gt;Answers!$C$17),"Yes","No")</f>
        <v>No</v>
      </c>
      <c r="M49" s="14">
        <f>VLOOKUP(B49,Customers!$A$1:$E$2501,4,0)</f>
        <v>79</v>
      </c>
    </row>
    <row r="50" spans="1:13" x14ac:dyDescent="0.3">
      <c r="A50">
        <v>33662</v>
      </c>
      <c r="B50">
        <v>1381</v>
      </c>
      <c r="C50" s="1" t="s">
        <v>98</v>
      </c>
      <c r="D50" s="5">
        <v>44945</v>
      </c>
      <c r="E50" s="10">
        <v>36718</v>
      </c>
      <c r="F50" s="15">
        <f t="shared" si="0"/>
        <v>1</v>
      </c>
      <c r="G50" s="10" t="str">
        <f t="shared" si="1"/>
        <v>Thursday</v>
      </c>
      <c r="H50" s="9" t="str">
        <f t="shared" si="2"/>
        <v>January</v>
      </c>
      <c r="I50" t="s">
        <v>97</v>
      </c>
      <c r="J50" t="s">
        <v>42</v>
      </c>
      <c r="K50">
        <v>8214</v>
      </c>
      <c r="L50" s="5" t="str">
        <f>IF(OR(K50&lt;Answers!$C$16,Orders!K50&gt;Answers!$C$17),"Yes","No")</f>
        <v>No</v>
      </c>
      <c r="M50" s="14">
        <f>VLOOKUP(B50,Customers!$A$1:$E$2501,4,0)</f>
        <v>28</v>
      </c>
    </row>
    <row r="51" spans="1:13" x14ac:dyDescent="0.3">
      <c r="A51">
        <v>33963</v>
      </c>
      <c r="B51">
        <v>1251</v>
      </c>
      <c r="C51" s="1" t="s">
        <v>98</v>
      </c>
      <c r="D51" s="5">
        <v>45205</v>
      </c>
      <c r="E51" s="10">
        <v>0.4861111111111111</v>
      </c>
      <c r="F51" s="15">
        <f t="shared" si="0"/>
        <v>10</v>
      </c>
      <c r="G51" s="10" t="str">
        <f t="shared" si="1"/>
        <v>Friday</v>
      </c>
      <c r="H51" s="9" t="str">
        <f t="shared" si="2"/>
        <v>October</v>
      </c>
      <c r="I51" t="s">
        <v>95</v>
      </c>
      <c r="J51" t="s">
        <v>44</v>
      </c>
      <c r="K51">
        <v>6147</v>
      </c>
      <c r="L51" s="5" t="str">
        <f>IF(OR(K51&lt;Answers!$C$16,Orders!K51&gt;Answers!$C$17),"Yes","No")</f>
        <v>No</v>
      </c>
      <c r="M51" s="14">
        <f>VLOOKUP(B51,Customers!$A$1:$E$2501,4,0)</f>
        <v>31</v>
      </c>
    </row>
    <row r="52" spans="1:13" x14ac:dyDescent="0.3">
      <c r="A52">
        <v>33983</v>
      </c>
      <c r="B52">
        <v>305</v>
      </c>
      <c r="C52" s="1" t="s">
        <v>100</v>
      </c>
      <c r="D52" s="5">
        <v>45063</v>
      </c>
      <c r="E52" s="10">
        <v>9.8611111111111108E-2</v>
      </c>
      <c r="F52" s="15">
        <f t="shared" si="0"/>
        <v>5</v>
      </c>
      <c r="G52" s="10" t="str">
        <f t="shared" si="1"/>
        <v>Wednesday</v>
      </c>
      <c r="H52" s="9" t="str">
        <f t="shared" si="2"/>
        <v>May</v>
      </c>
      <c r="I52" t="s">
        <v>96</v>
      </c>
      <c r="J52" t="s">
        <v>7</v>
      </c>
      <c r="K52">
        <v>3894</v>
      </c>
      <c r="L52" s="5" t="str">
        <f>IF(OR(K52&lt;Answers!$C$16,Orders!K52&gt;Answers!$C$17),"Yes","No")</f>
        <v>No</v>
      </c>
      <c r="M52" s="14">
        <f>VLOOKUP(B52,Customers!$A$1:$E$2501,4,0)</f>
        <v>58</v>
      </c>
    </row>
    <row r="53" spans="1:13" x14ac:dyDescent="0.3">
      <c r="A53">
        <v>34125</v>
      </c>
      <c r="B53">
        <v>530</v>
      </c>
      <c r="C53" s="1" t="s">
        <v>100</v>
      </c>
      <c r="D53" s="5">
        <v>45217</v>
      </c>
      <c r="E53" s="10">
        <v>0.5395833333333333</v>
      </c>
      <c r="F53" s="15">
        <f t="shared" si="0"/>
        <v>10</v>
      </c>
      <c r="G53" s="10" t="str">
        <f t="shared" si="1"/>
        <v>Wednesday</v>
      </c>
      <c r="H53" s="9" t="str">
        <f t="shared" si="2"/>
        <v>October</v>
      </c>
      <c r="I53" t="s">
        <v>190</v>
      </c>
      <c r="J53" t="s">
        <v>45</v>
      </c>
      <c r="K53">
        <v>4341</v>
      </c>
      <c r="L53" s="5" t="str">
        <f>IF(OR(K53&lt;Answers!$C$16,Orders!K53&gt;Answers!$C$17),"Yes","No")</f>
        <v>No</v>
      </c>
      <c r="M53" s="14">
        <f>VLOOKUP(B53,Customers!$A$1:$E$2501,4,0)</f>
        <v>23</v>
      </c>
    </row>
    <row r="54" spans="1:13" x14ac:dyDescent="0.3">
      <c r="A54">
        <v>34477</v>
      </c>
      <c r="B54">
        <v>1749</v>
      </c>
      <c r="C54" s="1" t="s">
        <v>103</v>
      </c>
      <c r="D54" s="5">
        <v>45042</v>
      </c>
      <c r="E54" s="10">
        <v>0.49236111111111114</v>
      </c>
      <c r="F54" s="15">
        <f t="shared" si="0"/>
        <v>4</v>
      </c>
      <c r="G54" s="10" t="str">
        <f t="shared" si="1"/>
        <v>Wednesday</v>
      </c>
      <c r="H54" s="9" t="str">
        <f t="shared" si="2"/>
        <v>April</v>
      </c>
      <c r="I54" t="s">
        <v>96</v>
      </c>
      <c r="J54" t="s">
        <v>46</v>
      </c>
      <c r="K54">
        <v>9140</v>
      </c>
      <c r="L54" s="5" t="str">
        <f>IF(OR(K54&lt;Answers!$C$16,Orders!K54&gt;Answers!$C$17),"Yes","No")</f>
        <v>No</v>
      </c>
      <c r="M54" s="14">
        <f>VLOOKUP(B54,Customers!$A$1:$E$2501,4,0)</f>
        <v>30</v>
      </c>
    </row>
    <row r="55" spans="1:13" x14ac:dyDescent="0.3">
      <c r="A55">
        <v>34504</v>
      </c>
      <c r="B55">
        <v>915</v>
      </c>
      <c r="C55" s="1" t="s">
        <v>99</v>
      </c>
      <c r="D55" s="5">
        <v>44963</v>
      </c>
      <c r="E55" s="10">
        <v>0.53819444444444442</v>
      </c>
      <c r="F55" s="15">
        <f t="shared" si="0"/>
        <v>2</v>
      </c>
      <c r="G55" s="10" t="str">
        <f t="shared" si="1"/>
        <v>Monday</v>
      </c>
      <c r="H55" s="9" t="str">
        <f t="shared" si="2"/>
        <v>February</v>
      </c>
      <c r="I55" t="s">
        <v>95</v>
      </c>
      <c r="J55" t="s">
        <v>26</v>
      </c>
      <c r="K55">
        <v>9163</v>
      </c>
      <c r="L55" s="5" t="str">
        <f>IF(OR(K55&lt;Answers!$C$16,Orders!K55&gt;Answers!$C$17),"Yes","No")</f>
        <v>No</v>
      </c>
      <c r="M55" s="14">
        <f>VLOOKUP(B55,Customers!$A$1:$E$2501,4,0)</f>
        <v>39</v>
      </c>
    </row>
    <row r="56" spans="1:13" x14ac:dyDescent="0.3">
      <c r="A56">
        <v>34978</v>
      </c>
      <c r="B56">
        <v>492</v>
      </c>
      <c r="C56" s="1" t="s">
        <v>104</v>
      </c>
      <c r="D56" s="5">
        <v>45120</v>
      </c>
      <c r="E56" s="10">
        <v>7.6388888888888895E-2</v>
      </c>
      <c r="F56" s="15">
        <f t="shared" si="0"/>
        <v>7</v>
      </c>
      <c r="G56" s="10" t="str">
        <f t="shared" si="1"/>
        <v>Thursday</v>
      </c>
      <c r="H56" s="9" t="str">
        <f t="shared" si="2"/>
        <v>July</v>
      </c>
      <c r="I56" t="s">
        <v>96</v>
      </c>
      <c r="J56" t="s">
        <v>3</v>
      </c>
      <c r="K56">
        <v>1494</v>
      </c>
      <c r="L56" s="5" t="str">
        <f>IF(OR(K56&lt;Answers!$C$16,Orders!K56&gt;Answers!$C$17),"Yes","No")</f>
        <v>No</v>
      </c>
      <c r="M56" s="14">
        <f>VLOOKUP(B56,Customers!$A$1:$E$2501,4,0)</f>
        <v>32</v>
      </c>
    </row>
    <row r="57" spans="1:13" x14ac:dyDescent="0.3">
      <c r="A57">
        <v>35391</v>
      </c>
      <c r="B57">
        <v>1057</v>
      </c>
      <c r="C57" s="1" t="s">
        <v>104</v>
      </c>
      <c r="D57" s="5">
        <v>45056</v>
      </c>
      <c r="E57" s="10">
        <v>7.4999999999999997E-2</v>
      </c>
      <c r="F57" s="15">
        <f t="shared" si="0"/>
        <v>5</v>
      </c>
      <c r="G57" s="10" t="str">
        <f t="shared" si="1"/>
        <v>Wednesday</v>
      </c>
      <c r="H57" s="9" t="str">
        <f t="shared" si="2"/>
        <v>May</v>
      </c>
      <c r="I57" t="s">
        <v>97</v>
      </c>
      <c r="J57" t="s">
        <v>13</v>
      </c>
      <c r="K57">
        <v>6287</v>
      </c>
      <c r="L57" s="5" t="str">
        <f>IF(OR(K57&lt;Answers!$C$16,Orders!K57&gt;Answers!$C$17),"Yes","No")</f>
        <v>No</v>
      </c>
      <c r="M57" s="14">
        <f>VLOOKUP(B57,Customers!$A$1:$E$2501,4,0)</f>
        <v>71</v>
      </c>
    </row>
    <row r="58" spans="1:13" x14ac:dyDescent="0.3">
      <c r="A58">
        <v>36759</v>
      </c>
      <c r="B58">
        <v>1667</v>
      </c>
      <c r="C58" s="1" t="s">
        <v>99</v>
      </c>
      <c r="D58" s="5">
        <v>44949</v>
      </c>
      <c r="E58" s="10">
        <v>6.458333333333334E-2</v>
      </c>
      <c r="F58" s="15">
        <f t="shared" si="0"/>
        <v>1</v>
      </c>
      <c r="G58" s="10" t="str">
        <f t="shared" si="1"/>
        <v>Monday</v>
      </c>
      <c r="H58" s="9" t="str">
        <f t="shared" si="2"/>
        <v>January</v>
      </c>
      <c r="I58" t="s">
        <v>190</v>
      </c>
      <c r="J58" t="s">
        <v>5</v>
      </c>
      <c r="K58">
        <v>6587</v>
      </c>
      <c r="L58" s="5" t="str">
        <f>IF(OR(K58&lt;Answers!$C$16,Orders!K58&gt;Answers!$C$17),"Yes","No")</f>
        <v>No</v>
      </c>
      <c r="M58" s="14">
        <f>VLOOKUP(B58,Customers!$A$1:$E$2501,4,0)</f>
        <v>73</v>
      </c>
    </row>
    <row r="59" spans="1:13" x14ac:dyDescent="0.3">
      <c r="A59">
        <v>37737</v>
      </c>
      <c r="B59">
        <v>744</v>
      </c>
      <c r="C59" s="1" t="s">
        <v>101</v>
      </c>
      <c r="D59" s="5">
        <v>45223</v>
      </c>
      <c r="E59" s="10">
        <v>36658</v>
      </c>
      <c r="F59" s="15">
        <f t="shared" si="0"/>
        <v>10</v>
      </c>
      <c r="G59" s="10" t="str">
        <f t="shared" si="1"/>
        <v>Tuesday</v>
      </c>
      <c r="H59" s="9" t="str">
        <f t="shared" si="2"/>
        <v>October</v>
      </c>
      <c r="I59" t="s">
        <v>97</v>
      </c>
      <c r="J59" t="s">
        <v>6</v>
      </c>
      <c r="K59">
        <v>9738</v>
      </c>
      <c r="L59" s="5" t="str">
        <f>IF(OR(K59&lt;Answers!$C$16,Orders!K59&gt;Answers!$C$17),"Yes","No")</f>
        <v>No</v>
      </c>
      <c r="M59" s="14">
        <f>VLOOKUP(B59,Customers!$A$1:$E$2501,4,0)</f>
        <v>33</v>
      </c>
    </row>
    <row r="60" spans="1:13" x14ac:dyDescent="0.3">
      <c r="A60">
        <v>37971</v>
      </c>
      <c r="B60">
        <v>433</v>
      </c>
      <c r="C60" s="1" t="s">
        <v>112</v>
      </c>
      <c r="D60" s="5">
        <v>45101</v>
      </c>
      <c r="E60" s="10">
        <v>6.1111111111111109E-2</v>
      </c>
      <c r="F60" s="15">
        <f t="shared" si="0"/>
        <v>6</v>
      </c>
      <c r="G60" s="10" t="str">
        <f t="shared" si="1"/>
        <v>Saturday</v>
      </c>
      <c r="H60" s="9" t="str">
        <f t="shared" si="2"/>
        <v>June</v>
      </c>
      <c r="I60" t="s">
        <v>190</v>
      </c>
      <c r="J60" t="s">
        <v>7</v>
      </c>
      <c r="K60">
        <v>7884</v>
      </c>
      <c r="L60" s="5" t="str">
        <f>IF(OR(K60&lt;Answers!$C$16,Orders!K60&gt;Answers!$C$17),"Yes","No")</f>
        <v>No</v>
      </c>
      <c r="M60" s="14">
        <f>VLOOKUP(B60,Customers!$A$1:$E$2501,4,0)</f>
        <v>55</v>
      </c>
    </row>
    <row r="61" spans="1:13" x14ac:dyDescent="0.3">
      <c r="A61">
        <v>38242</v>
      </c>
      <c r="B61">
        <v>1131</v>
      </c>
      <c r="C61" s="1" t="s">
        <v>100</v>
      </c>
      <c r="D61" s="5">
        <v>44929</v>
      </c>
      <c r="E61" s="10">
        <v>0.52013888888888893</v>
      </c>
      <c r="F61" s="15">
        <f t="shared" si="0"/>
        <v>1</v>
      </c>
      <c r="G61" s="10" t="str">
        <f t="shared" si="1"/>
        <v>Tuesday</v>
      </c>
      <c r="H61" s="9" t="str">
        <f t="shared" si="2"/>
        <v>January</v>
      </c>
      <c r="I61" t="s">
        <v>190</v>
      </c>
      <c r="J61" t="s">
        <v>8</v>
      </c>
      <c r="K61">
        <v>9299</v>
      </c>
      <c r="L61" s="5" t="str">
        <f>IF(OR(K61&lt;Answers!$C$16,Orders!K61&gt;Answers!$C$17),"Yes","No")</f>
        <v>No</v>
      </c>
      <c r="M61" s="14">
        <f>VLOOKUP(B61,Customers!$A$1:$E$2501,4,0)</f>
        <v>38</v>
      </c>
    </row>
    <row r="62" spans="1:13" x14ac:dyDescent="0.3">
      <c r="A62">
        <v>38528</v>
      </c>
      <c r="B62">
        <v>551</v>
      </c>
      <c r="C62" s="1" t="s">
        <v>109</v>
      </c>
      <c r="D62" s="5">
        <v>45219</v>
      </c>
      <c r="E62" s="10">
        <v>0.52777777777777779</v>
      </c>
      <c r="F62" s="15">
        <f t="shared" si="0"/>
        <v>10</v>
      </c>
      <c r="G62" s="10" t="str">
        <f t="shared" si="1"/>
        <v>Friday</v>
      </c>
      <c r="H62" s="9" t="str">
        <f t="shared" si="2"/>
        <v>October</v>
      </c>
      <c r="I62" t="s">
        <v>95</v>
      </c>
      <c r="J62" t="s">
        <v>9</v>
      </c>
      <c r="K62">
        <v>7036</v>
      </c>
      <c r="L62" s="5" t="str">
        <f>IF(OR(K62&lt;Answers!$C$16,Orders!K62&gt;Answers!$C$17),"Yes","No")</f>
        <v>No</v>
      </c>
      <c r="M62" s="14">
        <f>VLOOKUP(B62,Customers!$A$1:$E$2501,4,0)</f>
        <v>20</v>
      </c>
    </row>
    <row r="63" spans="1:13" x14ac:dyDescent="0.3">
      <c r="A63">
        <v>40114</v>
      </c>
      <c r="B63">
        <v>172</v>
      </c>
      <c r="C63" s="1" t="s">
        <v>98</v>
      </c>
      <c r="D63" s="5">
        <v>45193</v>
      </c>
      <c r="E63" s="10">
        <v>36861</v>
      </c>
      <c r="F63" s="15">
        <f t="shared" si="0"/>
        <v>9</v>
      </c>
      <c r="G63" s="10" t="str">
        <f t="shared" si="1"/>
        <v>Sunday</v>
      </c>
      <c r="H63" s="9" t="str">
        <f t="shared" si="2"/>
        <v>September</v>
      </c>
      <c r="I63" t="s">
        <v>96</v>
      </c>
      <c r="J63" t="s">
        <v>10</v>
      </c>
      <c r="K63">
        <v>1841</v>
      </c>
      <c r="L63" s="5" t="str">
        <f>IF(OR(K63&lt;Answers!$C$16,Orders!K63&gt;Answers!$C$17),"Yes","No")</f>
        <v>No</v>
      </c>
      <c r="M63" s="14">
        <f>VLOOKUP(B63,Customers!$A$1:$E$2501,4,0)</f>
        <v>36</v>
      </c>
    </row>
    <row r="64" spans="1:13" x14ac:dyDescent="0.3">
      <c r="A64">
        <v>41110</v>
      </c>
      <c r="B64">
        <v>1858</v>
      </c>
      <c r="C64" s="1" t="s">
        <v>98</v>
      </c>
      <c r="D64" s="5">
        <v>45080</v>
      </c>
      <c r="E64" s="10">
        <v>0.5229166666666667</v>
      </c>
      <c r="F64" s="15">
        <f t="shared" si="0"/>
        <v>6</v>
      </c>
      <c r="G64" s="10" t="str">
        <f t="shared" si="1"/>
        <v>Saturday</v>
      </c>
      <c r="H64" s="9" t="str">
        <f t="shared" si="2"/>
        <v>June</v>
      </c>
      <c r="I64" t="s">
        <v>97</v>
      </c>
      <c r="J64" t="s">
        <v>11</v>
      </c>
      <c r="K64">
        <v>9844</v>
      </c>
      <c r="L64" s="5" t="str">
        <f>IF(OR(K64&lt;Answers!$C$16,Orders!K64&gt;Answers!$C$17),"Yes","No")</f>
        <v>No</v>
      </c>
      <c r="M64" s="14">
        <f>VLOOKUP(B64,Customers!$A$1:$E$2501,4,0)</f>
        <v>59</v>
      </c>
    </row>
    <row r="65" spans="1:13" x14ac:dyDescent="0.3">
      <c r="A65">
        <v>41478</v>
      </c>
      <c r="B65">
        <v>871</v>
      </c>
      <c r="C65" s="1" t="s">
        <v>106</v>
      </c>
      <c r="D65" s="5">
        <v>45058</v>
      </c>
      <c r="E65" s="10">
        <v>0.51527777777777772</v>
      </c>
      <c r="F65" s="15">
        <f t="shared" si="0"/>
        <v>5</v>
      </c>
      <c r="G65" s="10" t="str">
        <f t="shared" si="1"/>
        <v>Friday</v>
      </c>
      <c r="H65" s="9" t="str">
        <f t="shared" si="2"/>
        <v>May</v>
      </c>
      <c r="I65" t="s">
        <v>97</v>
      </c>
      <c r="J65" t="s">
        <v>47</v>
      </c>
      <c r="K65">
        <v>2454</v>
      </c>
      <c r="L65" s="5" t="str">
        <f>IF(OR(K65&lt;Answers!$C$16,Orders!K65&gt;Answers!$C$17),"Yes","No")</f>
        <v>No</v>
      </c>
      <c r="M65" s="14">
        <f>VLOOKUP(B65,Customers!$A$1:$E$2501,4,0)</f>
        <v>76</v>
      </c>
    </row>
    <row r="66" spans="1:13" x14ac:dyDescent="0.3">
      <c r="A66">
        <v>42094</v>
      </c>
      <c r="B66">
        <v>987</v>
      </c>
      <c r="C66" s="1" t="s">
        <v>98</v>
      </c>
      <c r="D66" s="5">
        <v>45093</v>
      </c>
      <c r="E66" s="10">
        <v>0.44097222222222221</v>
      </c>
      <c r="F66" s="15">
        <f t="shared" si="0"/>
        <v>6</v>
      </c>
      <c r="G66" s="10" t="str">
        <f t="shared" si="1"/>
        <v>Friday</v>
      </c>
      <c r="H66" s="9" t="str">
        <f t="shared" si="2"/>
        <v>June</v>
      </c>
      <c r="I66" t="s">
        <v>97</v>
      </c>
      <c r="J66" t="s">
        <v>13</v>
      </c>
      <c r="K66">
        <v>4039</v>
      </c>
      <c r="L66" s="5" t="str">
        <f>IF(OR(K66&lt;Answers!$C$16,Orders!K66&gt;Answers!$C$17),"Yes","No")</f>
        <v>No</v>
      </c>
      <c r="M66" s="14">
        <f>VLOOKUP(B66,Customers!$A$1:$E$2501,4,0)</f>
        <v>23</v>
      </c>
    </row>
    <row r="67" spans="1:13" x14ac:dyDescent="0.3">
      <c r="A67">
        <v>43427</v>
      </c>
      <c r="B67">
        <v>1066</v>
      </c>
      <c r="C67" s="1" t="s">
        <v>112</v>
      </c>
      <c r="D67" s="5">
        <v>45003</v>
      </c>
      <c r="E67" s="10">
        <v>0.47499999999999998</v>
      </c>
      <c r="F67" s="15">
        <f t="shared" ref="F67:F130" si="3">MONTH(D67)</f>
        <v>3</v>
      </c>
      <c r="G67" s="10" t="str">
        <f t="shared" ref="G67:G130" si="4">TEXT(D67,"dddd")</f>
        <v>Saturday</v>
      </c>
      <c r="H67" s="9" t="str">
        <f t="shared" ref="H67:H130" si="5">TEXT(D67,"mmmm")</f>
        <v>March</v>
      </c>
      <c r="I67" t="s">
        <v>190</v>
      </c>
      <c r="J67" t="s">
        <v>48</v>
      </c>
      <c r="K67">
        <v>959</v>
      </c>
      <c r="L67" s="5" t="str">
        <f>IF(OR(K67&lt;Answers!$C$16,Orders!K67&gt;Answers!$C$17),"Yes","No")</f>
        <v>No</v>
      </c>
      <c r="M67" s="14">
        <f>VLOOKUP(B67,Customers!$A$1:$E$2501,4,0)</f>
        <v>70</v>
      </c>
    </row>
    <row r="68" spans="1:13" x14ac:dyDescent="0.3">
      <c r="A68">
        <v>43722</v>
      </c>
      <c r="B68">
        <v>1223</v>
      </c>
      <c r="C68" s="1" t="s">
        <v>98</v>
      </c>
      <c r="D68" s="5">
        <v>45233</v>
      </c>
      <c r="E68" s="10">
        <v>0.47986111111111113</v>
      </c>
      <c r="F68" s="15">
        <f t="shared" si="3"/>
        <v>11</v>
      </c>
      <c r="G68" s="10" t="str">
        <f t="shared" si="4"/>
        <v>Friday</v>
      </c>
      <c r="H68" s="9" t="str">
        <f t="shared" si="5"/>
        <v>November</v>
      </c>
      <c r="I68" t="s">
        <v>95</v>
      </c>
      <c r="J68" t="s">
        <v>15</v>
      </c>
      <c r="K68">
        <v>6074</v>
      </c>
      <c r="L68" s="5" t="str">
        <f>IF(OR(K68&lt;Answers!$C$16,Orders!K68&gt;Answers!$C$17),"Yes","No")</f>
        <v>No</v>
      </c>
      <c r="M68" s="14">
        <f>VLOOKUP(B68,Customers!$A$1:$E$2501,4,0)</f>
        <v>63</v>
      </c>
    </row>
    <row r="69" spans="1:13" x14ac:dyDescent="0.3">
      <c r="A69">
        <v>44241</v>
      </c>
      <c r="B69">
        <v>800</v>
      </c>
      <c r="C69" s="1" t="s">
        <v>110</v>
      </c>
      <c r="D69" s="5">
        <v>45214</v>
      </c>
      <c r="E69" s="10">
        <v>0.52222222222222225</v>
      </c>
      <c r="F69" s="15">
        <f t="shared" si="3"/>
        <v>10</v>
      </c>
      <c r="G69" s="10" t="str">
        <f t="shared" si="4"/>
        <v>Sunday</v>
      </c>
      <c r="H69" s="9" t="str">
        <f t="shared" si="5"/>
        <v>October</v>
      </c>
      <c r="I69" t="s">
        <v>190</v>
      </c>
      <c r="J69" t="s">
        <v>16</v>
      </c>
      <c r="K69">
        <v>3306</v>
      </c>
      <c r="L69" s="5" t="str">
        <f>IF(OR(K69&lt;Answers!$C$16,Orders!K69&gt;Answers!$C$17),"Yes","No")</f>
        <v>No</v>
      </c>
      <c r="M69" s="14">
        <f>VLOOKUP(B69,Customers!$A$1:$E$2501,4,0)</f>
        <v>87</v>
      </c>
    </row>
    <row r="70" spans="1:13" x14ac:dyDescent="0.3">
      <c r="A70">
        <v>44275</v>
      </c>
      <c r="B70">
        <v>423</v>
      </c>
      <c r="C70" s="1" t="s">
        <v>105</v>
      </c>
      <c r="D70" s="5">
        <v>45016</v>
      </c>
      <c r="E70" s="10">
        <v>7.2916666666666671E-2</v>
      </c>
      <c r="F70" s="15">
        <f t="shared" si="3"/>
        <v>3</v>
      </c>
      <c r="G70" s="10" t="str">
        <f t="shared" si="4"/>
        <v>Friday</v>
      </c>
      <c r="H70" s="9" t="str">
        <f t="shared" si="5"/>
        <v>March</v>
      </c>
      <c r="I70" t="s">
        <v>96</v>
      </c>
      <c r="J70" t="s">
        <v>17</v>
      </c>
      <c r="K70">
        <v>7290</v>
      </c>
      <c r="L70" s="5" t="str">
        <f>IF(OR(K70&lt;Answers!$C$16,Orders!K70&gt;Answers!$C$17),"Yes","No")</f>
        <v>No</v>
      </c>
      <c r="M70" s="14">
        <f>VLOOKUP(B70,Customers!$A$1:$E$2501,4,0)</f>
        <v>27</v>
      </c>
    </row>
    <row r="71" spans="1:13" x14ac:dyDescent="0.3">
      <c r="A71">
        <v>44486</v>
      </c>
      <c r="B71">
        <v>905</v>
      </c>
      <c r="C71" s="1" t="s">
        <v>98</v>
      </c>
      <c r="D71" s="5">
        <v>45086</v>
      </c>
      <c r="E71" s="10">
        <v>0.52847222222222223</v>
      </c>
      <c r="F71" s="15">
        <f t="shared" si="3"/>
        <v>6</v>
      </c>
      <c r="G71" s="10" t="str">
        <f t="shared" si="4"/>
        <v>Friday</v>
      </c>
      <c r="H71" s="9" t="str">
        <f t="shared" si="5"/>
        <v>June</v>
      </c>
      <c r="I71" t="s">
        <v>97</v>
      </c>
      <c r="J71" t="s">
        <v>18</v>
      </c>
      <c r="K71">
        <v>8730</v>
      </c>
      <c r="L71" s="5" t="str">
        <f>IF(OR(K71&lt;Answers!$C$16,Orders!K71&gt;Answers!$C$17),"Yes","No")</f>
        <v>No</v>
      </c>
      <c r="M71" s="14">
        <f>VLOOKUP(B71,Customers!$A$1:$E$2501,4,0)</f>
        <v>25</v>
      </c>
    </row>
    <row r="72" spans="1:13" x14ac:dyDescent="0.3">
      <c r="A72">
        <v>47050</v>
      </c>
      <c r="B72">
        <v>1466</v>
      </c>
      <c r="C72" s="1" t="s">
        <v>110</v>
      </c>
      <c r="D72" s="5">
        <v>45248</v>
      </c>
      <c r="E72" s="10">
        <v>0.51111111111111107</v>
      </c>
      <c r="F72" s="15">
        <f t="shared" si="3"/>
        <v>11</v>
      </c>
      <c r="G72" s="10" t="str">
        <f t="shared" si="4"/>
        <v>Saturday</v>
      </c>
      <c r="H72" s="9" t="str">
        <f t="shared" si="5"/>
        <v>November</v>
      </c>
      <c r="I72" t="s">
        <v>97</v>
      </c>
      <c r="J72" t="s">
        <v>49</v>
      </c>
      <c r="K72">
        <v>6692</v>
      </c>
      <c r="L72" s="5" t="str">
        <f>IF(OR(K72&lt;Answers!$C$16,Orders!K72&gt;Answers!$C$17),"Yes","No")</f>
        <v>No</v>
      </c>
      <c r="M72" s="14">
        <f>VLOOKUP(B72,Customers!$A$1:$E$2501,4,0)</f>
        <v>39</v>
      </c>
    </row>
    <row r="73" spans="1:13" x14ac:dyDescent="0.3">
      <c r="A73">
        <v>47212</v>
      </c>
      <c r="B73">
        <v>1083</v>
      </c>
      <c r="C73" s="1" t="s">
        <v>104</v>
      </c>
      <c r="D73" s="5">
        <v>45116</v>
      </c>
      <c r="E73" s="10">
        <v>0.48125000000000001</v>
      </c>
      <c r="F73" s="15">
        <f t="shared" si="3"/>
        <v>7</v>
      </c>
      <c r="G73" s="10" t="str">
        <f t="shared" si="4"/>
        <v>Sunday</v>
      </c>
      <c r="H73" s="9" t="str">
        <f t="shared" si="5"/>
        <v>July</v>
      </c>
      <c r="I73" t="s">
        <v>95</v>
      </c>
      <c r="J73" t="s">
        <v>50</v>
      </c>
      <c r="K73">
        <v>1067</v>
      </c>
      <c r="L73" s="5" t="str">
        <f>IF(OR(K73&lt;Answers!$C$16,Orders!K73&gt;Answers!$C$17),"Yes","No")</f>
        <v>No</v>
      </c>
      <c r="M73" s="14">
        <f>VLOOKUP(B73,Customers!$A$1:$E$2501,4,0)</f>
        <v>25</v>
      </c>
    </row>
    <row r="74" spans="1:13" x14ac:dyDescent="0.3">
      <c r="A74">
        <v>49060</v>
      </c>
      <c r="B74">
        <v>430</v>
      </c>
      <c r="C74" s="1" t="s">
        <v>112</v>
      </c>
      <c r="D74" s="5">
        <v>45191</v>
      </c>
      <c r="E74" s="10">
        <v>0.5229166666666667</v>
      </c>
      <c r="F74" s="15">
        <f t="shared" si="3"/>
        <v>9</v>
      </c>
      <c r="G74" s="10" t="str">
        <f t="shared" si="4"/>
        <v>Friday</v>
      </c>
      <c r="H74" s="9" t="str">
        <f t="shared" si="5"/>
        <v>September</v>
      </c>
      <c r="I74" t="s">
        <v>95</v>
      </c>
      <c r="J74" t="s">
        <v>21</v>
      </c>
      <c r="K74">
        <v>5513</v>
      </c>
      <c r="L74" s="5" t="str">
        <f>IF(OR(K74&lt;Answers!$C$16,Orders!K74&gt;Answers!$C$17),"Yes","No")</f>
        <v>No</v>
      </c>
      <c r="M74" s="14">
        <f>VLOOKUP(B74,Customers!$A$1:$E$2501,4,0)</f>
        <v>82</v>
      </c>
    </row>
    <row r="75" spans="1:13" x14ac:dyDescent="0.3">
      <c r="A75">
        <v>49520</v>
      </c>
      <c r="B75">
        <v>1670</v>
      </c>
      <c r="C75" s="1" t="s">
        <v>98</v>
      </c>
      <c r="D75" s="5">
        <v>45110</v>
      </c>
      <c r="E75" s="10">
        <v>36537</v>
      </c>
      <c r="F75" s="15">
        <f t="shared" si="3"/>
        <v>7</v>
      </c>
      <c r="G75" s="10" t="str">
        <f t="shared" si="4"/>
        <v>Monday</v>
      </c>
      <c r="H75" s="9" t="str">
        <f t="shared" si="5"/>
        <v>July</v>
      </c>
      <c r="I75" t="s">
        <v>190</v>
      </c>
      <c r="J75" t="s">
        <v>3</v>
      </c>
      <c r="K75">
        <v>6214</v>
      </c>
      <c r="L75" s="5" t="str">
        <f>IF(OR(K75&lt;Answers!$C$16,Orders!K75&gt;Answers!$C$17),"Yes","No")</f>
        <v>No</v>
      </c>
      <c r="M75" s="14">
        <f>VLOOKUP(B75,Customers!$A$1:$E$2501,4,0)</f>
        <v>80</v>
      </c>
    </row>
    <row r="76" spans="1:13" x14ac:dyDescent="0.3">
      <c r="A76">
        <v>49544</v>
      </c>
      <c r="B76">
        <v>526</v>
      </c>
      <c r="C76" s="1" t="s">
        <v>98</v>
      </c>
      <c r="D76" s="5">
        <v>45227</v>
      </c>
      <c r="E76" s="10">
        <v>36628</v>
      </c>
      <c r="F76" s="15">
        <f t="shared" si="3"/>
        <v>10</v>
      </c>
      <c r="G76" s="10" t="str">
        <f t="shared" si="4"/>
        <v>Saturday</v>
      </c>
      <c r="H76" s="9" t="str">
        <f t="shared" si="5"/>
        <v>October</v>
      </c>
      <c r="I76" t="s">
        <v>97</v>
      </c>
      <c r="J76" t="s">
        <v>38</v>
      </c>
      <c r="K76">
        <v>7802</v>
      </c>
      <c r="L76" s="5" t="str">
        <f>IF(OR(K76&lt;Answers!$C$16,Orders!K76&gt;Answers!$C$17),"Yes","No")</f>
        <v>No</v>
      </c>
      <c r="M76" s="14">
        <f>VLOOKUP(B76,Customers!$A$1:$E$2501,4,0)</f>
        <v>49</v>
      </c>
    </row>
    <row r="77" spans="1:13" x14ac:dyDescent="0.3">
      <c r="A77">
        <v>50199</v>
      </c>
      <c r="B77">
        <v>105</v>
      </c>
      <c r="C77" s="1" t="s">
        <v>98</v>
      </c>
      <c r="D77" s="5">
        <v>44955</v>
      </c>
      <c r="E77" s="10">
        <v>5.9722222222222225E-2</v>
      </c>
      <c r="F77" s="15">
        <f t="shared" si="3"/>
        <v>1</v>
      </c>
      <c r="G77" s="10" t="str">
        <f t="shared" si="4"/>
        <v>Sunday</v>
      </c>
      <c r="H77" s="9" t="str">
        <f t="shared" si="5"/>
        <v>January</v>
      </c>
      <c r="I77" t="s">
        <v>190</v>
      </c>
      <c r="J77" t="s">
        <v>23</v>
      </c>
      <c r="K77">
        <v>8898</v>
      </c>
      <c r="L77" s="5" t="str">
        <f>IF(OR(K77&lt;Answers!$C$16,Orders!K77&gt;Answers!$C$17),"Yes","No")</f>
        <v>No</v>
      </c>
      <c r="M77" s="14">
        <f>VLOOKUP(B77,Customers!$A$1:$E$2501,4,0)</f>
        <v>80</v>
      </c>
    </row>
    <row r="78" spans="1:13" x14ac:dyDescent="0.3">
      <c r="A78">
        <v>50499</v>
      </c>
      <c r="B78">
        <v>639</v>
      </c>
      <c r="C78" s="1" t="s">
        <v>98</v>
      </c>
      <c r="D78" s="5">
        <v>45018</v>
      </c>
      <c r="E78" s="10">
        <v>36749</v>
      </c>
      <c r="F78" s="15">
        <f t="shared" si="3"/>
        <v>4</v>
      </c>
      <c r="G78" s="10" t="str">
        <f t="shared" si="4"/>
        <v>Sunday</v>
      </c>
      <c r="H78" s="9" t="str">
        <f t="shared" si="5"/>
        <v>April</v>
      </c>
      <c r="I78" t="s">
        <v>97</v>
      </c>
      <c r="J78" t="s">
        <v>31</v>
      </c>
      <c r="K78">
        <v>3514</v>
      </c>
      <c r="L78" s="5" t="str">
        <f>IF(OR(K78&lt;Answers!$C$16,Orders!K78&gt;Answers!$C$17),"Yes","No")</f>
        <v>No</v>
      </c>
      <c r="M78" s="14">
        <f>VLOOKUP(B78,Customers!$A$1:$E$2501,4,0)</f>
        <v>59</v>
      </c>
    </row>
    <row r="79" spans="1:13" x14ac:dyDescent="0.3">
      <c r="A79">
        <v>51688</v>
      </c>
      <c r="B79">
        <v>453</v>
      </c>
      <c r="C79" s="1" t="s">
        <v>99</v>
      </c>
      <c r="D79" s="5">
        <v>45278</v>
      </c>
      <c r="E79" s="10">
        <v>0.52430555555555558</v>
      </c>
      <c r="F79" s="15">
        <f t="shared" si="3"/>
        <v>12</v>
      </c>
      <c r="G79" s="10" t="str">
        <f t="shared" si="4"/>
        <v>Monday</v>
      </c>
      <c r="H79" s="9" t="str">
        <f t="shared" si="5"/>
        <v>December</v>
      </c>
      <c r="I79" t="s">
        <v>95</v>
      </c>
      <c r="J79" t="s">
        <v>24</v>
      </c>
      <c r="K79">
        <v>4365</v>
      </c>
      <c r="L79" s="5" t="str">
        <f>IF(OR(K79&lt;Answers!$C$16,Orders!K79&gt;Answers!$C$17),"Yes","No")</f>
        <v>No</v>
      </c>
      <c r="M79" s="14">
        <f>VLOOKUP(B79,Customers!$A$1:$E$2501,4,0)</f>
        <v>52</v>
      </c>
    </row>
    <row r="80" spans="1:13" x14ac:dyDescent="0.3">
      <c r="A80">
        <v>51913</v>
      </c>
      <c r="B80">
        <v>1208</v>
      </c>
      <c r="C80" s="1" t="s">
        <v>98</v>
      </c>
      <c r="D80" s="5">
        <v>45241</v>
      </c>
      <c r="E80" s="10">
        <v>0.51388888888888884</v>
      </c>
      <c r="F80" s="15">
        <f t="shared" si="3"/>
        <v>11</v>
      </c>
      <c r="G80" s="10" t="str">
        <f t="shared" si="4"/>
        <v>Saturday</v>
      </c>
      <c r="H80" s="9" t="str">
        <f t="shared" si="5"/>
        <v>November</v>
      </c>
      <c r="I80" t="s">
        <v>97</v>
      </c>
      <c r="J80" t="s">
        <v>12</v>
      </c>
      <c r="K80">
        <v>1733</v>
      </c>
      <c r="L80" s="5" t="str">
        <f>IF(OR(K80&lt;Answers!$C$16,Orders!K80&gt;Answers!$C$17),"Yes","No")</f>
        <v>No</v>
      </c>
      <c r="M80" s="14">
        <f>VLOOKUP(B80,Customers!$A$1:$E$2501,4,0)</f>
        <v>73</v>
      </c>
    </row>
    <row r="81" spans="1:13" x14ac:dyDescent="0.3">
      <c r="A81">
        <v>52659</v>
      </c>
      <c r="B81">
        <v>1282</v>
      </c>
      <c r="C81" s="1" t="s">
        <v>99</v>
      </c>
      <c r="D81" s="5">
        <v>45084</v>
      </c>
      <c r="E81" s="10">
        <v>0.53819444444444442</v>
      </c>
      <c r="F81" s="15">
        <f t="shared" si="3"/>
        <v>6</v>
      </c>
      <c r="G81" s="10" t="str">
        <f t="shared" si="4"/>
        <v>Wednesday</v>
      </c>
      <c r="H81" s="9" t="str">
        <f t="shared" si="5"/>
        <v>June</v>
      </c>
      <c r="I81" t="s">
        <v>190</v>
      </c>
      <c r="J81" t="s">
        <v>26</v>
      </c>
      <c r="K81">
        <v>3865</v>
      </c>
      <c r="L81" s="5" t="str">
        <f>IF(OR(K81&lt;Answers!$C$16,Orders!K81&gt;Answers!$C$17),"Yes","No")</f>
        <v>No</v>
      </c>
      <c r="M81" s="14">
        <f>VLOOKUP(B81,Customers!$A$1:$E$2501,4,0)</f>
        <v>35</v>
      </c>
    </row>
    <row r="82" spans="1:13" x14ac:dyDescent="0.3">
      <c r="A82">
        <v>53119</v>
      </c>
      <c r="B82">
        <v>1257</v>
      </c>
      <c r="C82" s="1" t="s">
        <v>98</v>
      </c>
      <c r="D82" s="5">
        <v>45030</v>
      </c>
      <c r="E82" s="10">
        <v>6.1111111111111109E-2</v>
      </c>
      <c r="F82" s="15">
        <f t="shared" si="3"/>
        <v>4</v>
      </c>
      <c r="G82" s="10" t="str">
        <f t="shared" si="4"/>
        <v>Friday</v>
      </c>
      <c r="H82" s="9" t="str">
        <f t="shared" si="5"/>
        <v>April</v>
      </c>
      <c r="I82" t="s">
        <v>96</v>
      </c>
      <c r="J82" t="s">
        <v>3</v>
      </c>
      <c r="K82">
        <v>6403</v>
      </c>
      <c r="L82" s="5" t="str">
        <f>IF(OR(K82&lt;Answers!$C$16,Orders!K82&gt;Answers!$C$17),"Yes","No")</f>
        <v>No</v>
      </c>
      <c r="M82" s="14">
        <f>VLOOKUP(B82,Customers!$A$1:$E$2501,4,0)</f>
        <v>69</v>
      </c>
    </row>
    <row r="83" spans="1:13" x14ac:dyDescent="0.3">
      <c r="A83">
        <v>53899</v>
      </c>
      <c r="B83">
        <v>392</v>
      </c>
      <c r="C83" s="1" t="s">
        <v>112</v>
      </c>
      <c r="D83" s="5">
        <v>45192</v>
      </c>
      <c r="E83" s="10">
        <v>0.53680555555555554</v>
      </c>
      <c r="F83" s="15">
        <f t="shared" si="3"/>
        <v>9</v>
      </c>
      <c r="G83" s="10" t="str">
        <f t="shared" si="4"/>
        <v>Saturday</v>
      </c>
      <c r="H83" s="9" t="str">
        <f t="shared" si="5"/>
        <v>September</v>
      </c>
      <c r="I83" t="s">
        <v>190</v>
      </c>
      <c r="J83" t="s">
        <v>13</v>
      </c>
      <c r="K83">
        <v>8165</v>
      </c>
      <c r="L83" s="5" t="str">
        <f>IF(OR(K83&lt;Answers!$C$16,Orders!K83&gt;Answers!$C$17),"Yes","No")</f>
        <v>No</v>
      </c>
      <c r="M83" s="14">
        <f>VLOOKUP(B83,Customers!$A$1:$E$2501,4,0)</f>
        <v>79</v>
      </c>
    </row>
    <row r="84" spans="1:13" x14ac:dyDescent="0.3">
      <c r="A84">
        <v>54569</v>
      </c>
      <c r="B84">
        <v>147</v>
      </c>
      <c r="C84" s="1" t="s">
        <v>98</v>
      </c>
      <c r="D84" s="5">
        <v>45277</v>
      </c>
      <c r="E84" s="10">
        <v>0.47291666666666665</v>
      </c>
      <c r="F84" s="15">
        <f t="shared" si="3"/>
        <v>12</v>
      </c>
      <c r="G84" s="10" t="str">
        <f t="shared" si="4"/>
        <v>Sunday</v>
      </c>
      <c r="H84" s="9" t="str">
        <f t="shared" si="5"/>
        <v>December</v>
      </c>
      <c r="I84" t="s">
        <v>96</v>
      </c>
      <c r="J84" t="s">
        <v>5</v>
      </c>
      <c r="K84">
        <v>6561</v>
      </c>
      <c r="L84" s="5" t="str">
        <f>IF(OR(K84&lt;Answers!$C$16,Orders!K84&gt;Answers!$C$17),"Yes","No")</f>
        <v>No</v>
      </c>
      <c r="M84" s="14">
        <f>VLOOKUP(B84,Customers!$A$1:$E$2501,4,0)</f>
        <v>29</v>
      </c>
    </row>
    <row r="85" spans="1:13" x14ac:dyDescent="0.3">
      <c r="A85">
        <v>55920</v>
      </c>
      <c r="B85">
        <v>769</v>
      </c>
      <c r="C85" s="1" t="s">
        <v>99</v>
      </c>
      <c r="D85" s="5">
        <v>44964</v>
      </c>
      <c r="E85" s="10">
        <v>0.46805555555555556</v>
      </c>
      <c r="F85" s="15">
        <f t="shared" si="3"/>
        <v>2</v>
      </c>
      <c r="G85" s="10" t="str">
        <f t="shared" si="4"/>
        <v>Tuesday</v>
      </c>
      <c r="H85" s="9" t="str">
        <f t="shared" si="5"/>
        <v>February</v>
      </c>
      <c r="I85" t="s">
        <v>95</v>
      </c>
      <c r="J85" t="s">
        <v>6</v>
      </c>
      <c r="K85">
        <v>9946</v>
      </c>
      <c r="L85" s="5" t="str">
        <f>IF(OR(K85&lt;Answers!$C$16,Orders!K85&gt;Answers!$C$17),"Yes","No")</f>
        <v>No</v>
      </c>
      <c r="M85" s="14">
        <f>VLOOKUP(B85,Customers!$A$1:$E$2501,4,0)</f>
        <v>22</v>
      </c>
    </row>
    <row r="86" spans="1:13" x14ac:dyDescent="0.3">
      <c r="A86">
        <v>56130</v>
      </c>
      <c r="B86">
        <v>1446</v>
      </c>
      <c r="C86" s="1" t="s">
        <v>108</v>
      </c>
      <c r="D86" s="5">
        <v>45168</v>
      </c>
      <c r="E86" s="10">
        <v>0.47847222222222224</v>
      </c>
      <c r="F86" s="15">
        <f t="shared" si="3"/>
        <v>8</v>
      </c>
      <c r="G86" s="10" t="str">
        <f t="shared" si="4"/>
        <v>Wednesday</v>
      </c>
      <c r="H86" s="9" t="str">
        <f t="shared" si="5"/>
        <v>August</v>
      </c>
      <c r="I86" t="s">
        <v>97</v>
      </c>
      <c r="J86" t="s">
        <v>7</v>
      </c>
      <c r="K86">
        <v>9631</v>
      </c>
      <c r="L86" s="5" t="str">
        <f>IF(OR(K86&lt;Answers!$C$16,Orders!K86&gt;Answers!$C$17),"Yes","No")</f>
        <v>No</v>
      </c>
      <c r="M86" s="14">
        <f>VLOOKUP(B86,Customers!$A$1:$E$2501,4,0)</f>
        <v>52</v>
      </c>
    </row>
    <row r="87" spans="1:13" x14ac:dyDescent="0.3">
      <c r="A87">
        <v>56703</v>
      </c>
      <c r="B87">
        <v>381</v>
      </c>
      <c r="C87" s="1" t="s">
        <v>106</v>
      </c>
      <c r="D87" s="5">
        <v>45204</v>
      </c>
      <c r="E87" s="10">
        <v>0.51527777777777772</v>
      </c>
      <c r="F87" s="15">
        <f t="shared" si="3"/>
        <v>10</v>
      </c>
      <c r="G87" s="10" t="str">
        <f t="shared" si="4"/>
        <v>Thursday</v>
      </c>
      <c r="H87" s="9" t="str">
        <f t="shared" si="5"/>
        <v>October</v>
      </c>
      <c r="I87" t="s">
        <v>190</v>
      </c>
      <c r="J87" t="s">
        <v>8</v>
      </c>
      <c r="K87">
        <v>3490</v>
      </c>
      <c r="L87" s="5" t="str">
        <f>IF(OR(K87&lt;Answers!$C$16,Orders!K87&gt;Answers!$C$17),"Yes","No")</f>
        <v>No</v>
      </c>
      <c r="M87" s="14">
        <f>VLOOKUP(B87,Customers!$A$1:$E$2501,4,0)</f>
        <v>86</v>
      </c>
    </row>
    <row r="88" spans="1:13" x14ac:dyDescent="0.3">
      <c r="A88">
        <v>57478</v>
      </c>
      <c r="B88">
        <v>1004</v>
      </c>
      <c r="C88" s="1" t="s">
        <v>98</v>
      </c>
      <c r="D88" s="5">
        <v>44963</v>
      </c>
      <c r="E88" s="10">
        <v>36597</v>
      </c>
      <c r="F88" s="15">
        <f t="shared" si="3"/>
        <v>2</v>
      </c>
      <c r="G88" s="10" t="str">
        <f t="shared" si="4"/>
        <v>Monday</v>
      </c>
      <c r="H88" s="9" t="str">
        <f t="shared" si="5"/>
        <v>February</v>
      </c>
      <c r="I88" t="s">
        <v>95</v>
      </c>
      <c r="J88" t="s">
        <v>9</v>
      </c>
      <c r="K88">
        <v>7689</v>
      </c>
      <c r="L88" s="5" t="str">
        <f>IF(OR(K88&lt;Answers!$C$16,Orders!K88&gt;Answers!$C$17),"Yes","No")</f>
        <v>No</v>
      </c>
      <c r="M88" s="14">
        <f>VLOOKUP(B88,Customers!$A$1:$E$2501,4,0)</f>
        <v>55</v>
      </c>
    </row>
    <row r="89" spans="1:13" x14ac:dyDescent="0.3">
      <c r="A89">
        <v>57568</v>
      </c>
      <c r="B89">
        <v>464</v>
      </c>
      <c r="C89" s="1" t="s">
        <v>106</v>
      </c>
      <c r="D89" s="5">
        <v>45006</v>
      </c>
      <c r="E89" s="10">
        <v>0.53749999999999998</v>
      </c>
      <c r="F89" s="15">
        <f t="shared" si="3"/>
        <v>3</v>
      </c>
      <c r="G89" s="10" t="str">
        <f t="shared" si="4"/>
        <v>Tuesday</v>
      </c>
      <c r="H89" s="9" t="str">
        <f t="shared" si="5"/>
        <v>March</v>
      </c>
      <c r="I89" t="s">
        <v>97</v>
      </c>
      <c r="J89" t="s">
        <v>10</v>
      </c>
      <c r="K89">
        <v>5877</v>
      </c>
      <c r="L89" s="5" t="str">
        <f>IF(OR(K89&lt;Answers!$C$16,Orders!K89&gt;Answers!$C$17),"Yes","No")</f>
        <v>No</v>
      </c>
      <c r="M89" s="14">
        <f>VLOOKUP(B89,Customers!$A$1:$E$2501,4,0)</f>
        <v>26</v>
      </c>
    </row>
    <row r="90" spans="1:13" x14ac:dyDescent="0.3">
      <c r="A90">
        <v>57650</v>
      </c>
      <c r="B90">
        <v>1542</v>
      </c>
      <c r="C90" s="1" t="s">
        <v>99</v>
      </c>
      <c r="D90" s="5">
        <v>45227</v>
      </c>
      <c r="E90" s="10">
        <v>36628</v>
      </c>
      <c r="F90" s="15">
        <f t="shared" si="3"/>
        <v>10</v>
      </c>
      <c r="G90" s="10" t="str">
        <f t="shared" si="4"/>
        <v>Saturday</v>
      </c>
      <c r="H90" s="9" t="str">
        <f t="shared" si="5"/>
        <v>October</v>
      </c>
      <c r="I90" t="s">
        <v>190</v>
      </c>
      <c r="J90" t="s">
        <v>11</v>
      </c>
      <c r="K90">
        <v>1231</v>
      </c>
      <c r="L90" s="5" t="str">
        <f>IF(OR(K90&lt;Answers!$C$16,Orders!K90&gt;Answers!$C$17),"Yes","No")</f>
        <v>No</v>
      </c>
      <c r="M90" s="14">
        <f>VLOOKUP(B90,Customers!$A$1:$E$2501,4,0)</f>
        <v>65</v>
      </c>
    </row>
    <row r="91" spans="1:13" x14ac:dyDescent="0.3">
      <c r="A91">
        <v>58309</v>
      </c>
      <c r="B91">
        <v>479</v>
      </c>
      <c r="C91" s="1" t="s">
        <v>101</v>
      </c>
      <c r="D91" s="5">
        <v>44938</v>
      </c>
      <c r="E91" s="10">
        <v>0.4826388888888889</v>
      </c>
      <c r="F91" s="15">
        <f t="shared" si="3"/>
        <v>1</v>
      </c>
      <c r="G91" s="10" t="str">
        <f t="shared" si="4"/>
        <v>Thursday</v>
      </c>
      <c r="H91" s="9" t="str">
        <f t="shared" si="5"/>
        <v>January</v>
      </c>
      <c r="I91" t="s">
        <v>97</v>
      </c>
      <c r="J91" t="s">
        <v>47</v>
      </c>
      <c r="K91">
        <v>9668</v>
      </c>
      <c r="L91" s="5" t="str">
        <f>IF(OR(K91&lt;Answers!$C$16,Orders!K91&gt;Answers!$C$17),"Yes","No")</f>
        <v>No</v>
      </c>
      <c r="M91" s="14">
        <f>VLOOKUP(B91,Customers!$A$1:$E$2501,4,0)</f>
        <v>81</v>
      </c>
    </row>
    <row r="92" spans="1:13" x14ac:dyDescent="0.3">
      <c r="A92">
        <v>58546</v>
      </c>
      <c r="B92">
        <v>1218</v>
      </c>
      <c r="C92" s="1" t="s">
        <v>98</v>
      </c>
      <c r="D92" s="5">
        <v>45128</v>
      </c>
      <c r="E92" s="10">
        <v>36842</v>
      </c>
      <c r="F92" s="15">
        <f t="shared" si="3"/>
        <v>7</v>
      </c>
      <c r="G92" s="10" t="str">
        <f t="shared" si="4"/>
        <v>Friday</v>
      </c>
      <c r="H92" s="9" t="str">
        <f t="shared" si="5"/>
        <v>July</v>
      </c>
      <c r="I92" t="s">
        <v>95</v>
      </c>
      <c r="J92" t="s">
        <v>13</v>
      </c>
      <c r="K92">
        <v>736</v>
      </c>
      <c r="L92" s="5" t="str">
        <f>IF(OR(K92&lt;Answers!$C$16,Orders!K92&gt;Answers!$C$17),"Yes","No")</f>
        <v>No</v>
      </c>
      <c r="M92" s="14">
        <f>VLOOKUP(B92,Customers!$A$1:$E$2501,4,0)</f>
        <v>68</v>
      </c>
    </row>
    <row r="93" spans="1:13" x14ac:dyDescent="0.3">
      <c r="A93">
        <v>59723</v>
      </c>
      <c r="B93">
        <v>1606</v>
      </c>
      <c r="C93" s="1" t="s">
        <v>99</v>
      </c>
      <c r="D93" s="5">
        <v>45235</v>
      </c>
      <c r="E93" s="10">
        <v>36647</v>
      </c>
      <c r="F93" s="15">
        <f t="shared" si="3"/>
        <v>11</v>
      </c>
      <c r="G93" s="10" t="str">
        <f t="shared" si="4"/>
        <v>Sunday</v>
      </c>
      <c r="H93" s="9" t="str">
        <f t="shared" si="5"/>
        <v>November</v>
      </c>
      <c r="I93" t="s">
        <v>95</v>
      </c>
      <c r="J93" t="s">
        <v>14</v>
      </c>
      <c r="K93">
        <v>3606</v>
      </c>
      <c r="L93" s="5" t="str">
        <f>IF(OR(K93&lt;Answers!$C$16,Orders!K93&gt;Answers!$C$17),"Yes","No")</f>
        <v>No</v>
      </c>
      <c r="M93" s="14">
        <f>VLOOKUP(B93,Customers!$A$1:$E$2501,4,0)</f>
        <v>23</v>
      </c>
    </row>
    <row r="94" spans="1:13" x14ac:dyDescent="0.3">
      <c r="A94">
        <v>60635</v>
      </c>
      <c r="B94">
        <v>723</v>
      </c>
      <c r="C94" s="1" t="s">
        <v>107</v>
      </c>
      <c r="D94" s="5">
        <v>44939</v>
      </c>
      <c r="E94" s="10">
        <v>36719</v>
      </c>
      <c r="F94" s="15">
        <f t="shared" si="3"/>
        <v>1</v>
      </c>
      <c r="G94" s="10" t="str">
        <f t="shared" si="4"/>
        <v>Friday</v>
      </c>
      <c r="H94" s="9" t="str">
        <f t="shared" si="5"/>
        <v>January</v>
      </c>
      <c r="I94" t="s">
        <v>95</v>
      </c>
      <c r="J94" t="s">
        <v>15</v>
      </c>
      <c r="K94">
        <v>2575</v>
      </c>
      <c r="L94" s="5" t="str">
        <f>IF(OR(K94&lt;Answers!$C$16,Orders!K94&gt;Answers!$C$17),"Yes","No")</f>
        <v>No</v>
      </c>
      <c r="M94" s="14">
        <f>VLOOKUP(B94,Customers!$A$1:$E$2501,4,0)</f>
        <v>80</v>
      </c>
    </row>
    <row r="95" spans="1:13" x14ac:dyDescent="0.3">
      <c r="A95">
        <v>60770</v>
      </c>
      <c r="B95">
        <v>1934</v>
      </c>
      <c r="C95" s="1" t="s">
        <v>104</v>
      </c>
      <c r="D95" s="5">
        <v>44932</v>
      </c>
      <c r="E95" s="10">
        <v>0.53263888888888888</v>
      </c>
      <c r="F95" s="15">
        <f t="shared" si="3"/>
        <v>1</v>
      </c>
      <c r="G95" s="10" t="str">
        <f t="shared" si="4"/>
        <v>Friday</v>
      </c>
      <c r="H95" s="9" t="str">
        <f t="shared" si="5"/>
        <v>January</v>
      </c>
      <c r="I95" t="s">
        <v>96</v>
      </c>
      <c r="J95" t="s">
        <v>16</v>
      </c>
      <c r="K95">
        <v>7606</v>
      </c>
      <c r="L95" s="5" t="str">
        <f>IF(OR(K95&lt;Answers!$C$16,Orders!K95&gt;Answers!$C$17),"Yes","No")</f>
        <v>No</v>
      </c>
      <c r="M95" s="14">
        <f>VLOOKUP(B95,Customers!$A$1:$E$2501,4,0)</f>
        <v>25</v>
      </c>
    </row>
    <row r="96" spans="1:13" x14ac:dyDescent="0.3">
      <c r="A96">
        <v>60781</v>
      </c>
      <c r="B96">
        <v>353</v>
      </c>
      <c r="C96" s="1" t="s">
        <v>99</v>
      </c>
      <c r="D96" s="5">
        <v>45225</v>
      </c>
      <c r="E96" s="10">
        <v>6.9444444444444448E-2</v>
      </c>
      <c r="F96" s="15">
        <f t="shared" si="3"/>
        <v>10</v>
      </c>
      <c r="G96" s="10" t="str">
        <f t="shared" si="4"/>
        <v>Thursday</v>
      </c>
      <c r="H96" s="9" t="str">
        <f t="shared" si="5"/>
        <v>October</v>
      </c>
      <c r="I96" t="s">
        <v>96</v>
      </c>
      <c r="J96" t="s">
        <v>17</v>
      </c>
      <c r="K96">
        <v>936</v>
      </c>
      <c r="L96" s="5" t="str">
        <f>IF(OR(K96&lt;Answers!$C$16,Orders!K96&gt;Answers!$C$17),"Yes","No")</f>
        <v>No</v>
      </c>
      <c r="M96" s="14">
        <f>VLOOKUP(B96,Customers!$A$1:$E$2501,4,0)</f>
        <v>66</v>
      </c>
    </row>
    <row r="97" spans="1:13" x14ac:dyDescent="0.3">
      <c r="A97">
        <v>61005</v>
      </c>
      <c r="B97">
        <v>480</v>
      </c>
      <c r="C97" s="1" t="s">
        <v>101</v>
      </c>
      <c r="D97" s="5">
        <v>44928</v>
      </c>
      <c r="E97" s="10">
        <v>0.53194444444444444</v>
      </c>
      <c r="F97" s="15">
        <f t="shared" si="3"/>
        <v>1</v>
      </c>
      <c r="G97" s="10" t="str">
        <f t="shared" si="4"/>
        <v>Monday</v>
      </c>
      <c r="H97" s="9" t="str">
        <f t="shared" si="5"/>
        <v>January</v>
      </c>
      <c r="I97" t="s">
        <v>95</v>
      </c>
      <c r="J97" t="s">
        <v>18</v>
      </c>
      <c r="K97">
        <v>7727</v>
      </c>
      <c r="L97" s="5" t="str">
        <f>IF(OR(K97&lt;Answers!$C$16,Orders!K97&gt;Answers!$C$17),"Yes","No")</f>
        <v>No</v>
      </c>
      <c r="M97" s="14">
        <f>VLOOKUP(B97,Customers!$A$1:$E$2501,4,0)</f>
        <v>46</v>
      </c>
    </row>
    <row r="98" spans="1:13" x14ac:dyDescent="0.3">
      <c r="A98">
        <v>61504</v>
      </c>
      <c r="B98">
        <v>260</v>
      </c>
      <c r="C98" s="1" t="s">
        <v>98</v>
      </c>
      <c r="D98" s="5">
        <v>45286</v>
      </c>
      <c r="E98" s="10">
        <v>0.52222222222222225</v>
      </c>
      <c r="F98" s="15">
        <f t="shared" si="3"/>
        <v>12</v>
      </c>
      <c r="G98" s="10" t="str">
        <f t="shared" si="4"/>
        <v>Tuesday</v>
      </c>
      <c r="H98" s="9" t="str">
        <f t="shared" si="5"/>
        <v>December</v>
      </c>
      <c r="I98" t="s">
        <v>96</v>
      </c>
      <c r="J98" t="s">
        <v>19</v>
      </c>
      <c r="K98">
        <v>7129</v>
      </c>
      <c r="L98" s="5" t="str">
        <f>IF(OR(K98&lt;Answers!$C$16,Orders!K98&gt;Answers!$C$17),"Yes","No")</f>
        <v>No</v>
      </c>
      <c r="M98" s="14">
        <f>VLOOKUP(B98,Customers!$A$1:$E$2501,4,0)</f>
        <v>88</v>
      </c>
    </row>
    <row r="99" spans="1:13" x14ac:dyDescent="0.3">
      <c r="A99">
        <v>61520</v>
      </c>
      <c r="B99">
        <v>1870</v>
      </c>
      <c r="C99" s="1" t="s">
        <v>98</v>
      </c>
      <c r="D99" s="5">
        <v>45099</v>
      </c>
      <c r="E99" s="10">
        <v>0.48402777777777778</v>
      </c>
      <c r="F99" s="15">
        <f t="shared" si="3"/>
        <v>6</v>
      </c>
      <c r="G99" s="10" t="str">
        <f t="shared" si="4"/>
        <v>Thursday</v>
      </c>
      <c r="H99" s="9" t="str">
        <f t="shared" si="5"/>
        <v>June</v>
      </c>
      <c r="I99" t="s">
        <v>190</v>
      </c>
      <c r="J99" t="s">
        <v>50</v>
      </c>
      <c r="K99">
        <v>3077</v>
      </c>
      <c r="L99" s="5" t="str">
        <f>IF(OR(K99&lt;Answers!$C$16,Orders!K99&gt;Answers!$C$17),"Yes","No")</f>
        <v>No</v>
      </c>
      <c r="M99" s="14">
        <f>VLOOKUP(B99,Customers!$A$1:$E$2501,4,0)</f>
        <v>39</v>
      </c>
    </row>
    <row r="100" spans="1:13" x14ac:dyDescent="0.3">
      <c r="A100">
        <v>63153</v>
      </c>
      <c r="B100">
        <v>765</v>
      </c>
      <c r="C100" s="1" t="s">
        <v>102</v>
      </c>
      <c r="D100" s="5">
        <v>45013</v>
      </c>
      <c r="E100" s="10">
        <v>0.47708333333333336</v>
      </c>
      <c r="F100" s="15">
        <f t="shared" si="3"/>
        <v>3</v>
      </c>
      <c r="G100" s="10" t="str">
        <f t="shared" si="4"/>
        <v>Tuesday</v>
      </c>
      <c r="H100" s="9" t="str">
        <f t="shared" si="5"/>
        <v>March</v>
      </c>
      <c r="I100" t="s">
        <v>190</v>
      </c>
      <c r="J100" t="s">
        <v>21</v>
      </c>
      <c r="K100">
        <v>5427</v>
      </c>
      <c r="L100" s="5" t="str">
        <f>IF(OR(K100&lt;Answers!$C$16,Orders!K100&gt;Answers!$C$17),"Yes","No")</f>
        <v>No</v>
      </c>
      <c r="M100" s="14">
        <f>VLOOKUP(B100,Customers!$A$1:$E$2501,4,0)</f>
        <v>46</v>
      </c>
    </row>
    <row r="101" spans="1:13" x14ac:dyDescent="0.3">
      <c r="A101">
        <v>64461</v>
      </c>
      <c r="B101">
        <v>1755</v>
      </c>
      <c r="C101" s="1" t="s">
        <v>104</v>
      </c>
      <c r="D101" s="5">
        <v>45006</v>
      </c>
      <c r="E101" s="10">
        <v>0.48472222222222222</v>
      </c>
      <c r="F101" s="15">
        <f t="shared" si="3"/>
        <v>3</v>
      </c>
      <c r="G101" s="10" t="str">
        <f t="shared" si="4"/>
        <v>Tuesday</v>
      </c>
      <c r="H101" s="9" t="str">
        <f t="shared" si="5"/>
        <v>March</v>
      </c>
      <c r="I101" t="s">
        <v>190</v>
      </c>
      <c r="J101" t="s">
        <v>3</v>
      </c>
      <c r="K101">
        <v>7725</v>
      </c>
      <c r="L101" s="5" t="str">
        <f>IF(OR(K101&lt;Answers!$C$16,Orders!K101&gt;Answers!$C$17),"Yes","No")</f>
        <v>No</v>
      </c>
      <c r="M101" s="14">
        <f>VLOOKUP(B101,Customers!$A$1:$E$2501,4,0)</f>
        <v>66</v>
      </c>
    </row>
    <row r="102" spans="1:13" x14ac:dyDescent="0.3">
      <c r="A102">
        <v>66118</v>
      </c>
      <c r="B102">
        <v>1425</v>
      </c>
      <c r="C102" s="1" t="s">
        <v>100</v>
      </c>
      <c r="D102" s="5">
        <v>44982</v>
      </c>
      <c r="E102" s="10">
        <v>36842</v>
      </c>
      <c r="F102" s="15">
        <f t="shared" si="3"/>
        <v>2</v>
      </c>
      <c r="G102" s="10" t="str">
        <f t="shared" si="4"/>
        <v>Saturday</v>
      </c>
      <c r="H102" s="9" t="str">
        <f t="shared" si="5"/>
        <v>February</v>
      </c>
      <c r="I102" t="s">
        <v>95</v>
      </c>
      <c r="J102" t="s">
        <v>38</v>
      </c>
      <c r="K102">
        <v>1282</v>
      </c>
      <c r="L102" s="5" t="str">
        <f>IF(OR(K102&lt;Answers!$C$16,Orders!K102&gt;Answers!$C$17),"Yes","No")</f>
        <v>No</v>
      </c>
      <c r="M102" s="14">
        <f>VLOOKUP(B102,Customers!$A$1:$E$2501,4,0)</f>
        <v>79</v>
      </c>
    </row>
    <row r="103" spans="1:13" x14ac:dyDescent="0.3">
      <c r="A103">
        <v>66951</v>
      </c>
      <c r="B103">
        <v>342</v>
      </c>
      <c r="C103" s="1" t="s">
        <v>112</v>
      </c>
      <c r="D103" s="5">
        <v>45134</v>
      </c>
      <c r="E103" s="10">
        <v>36628</v>
      </c>
      <c r="F103" s="15">
        <f t="shared" si="3"/>
        <v>7</v>
      </c>
      <c r="G103" s="10" t="str">
        <f t="shared" si="4"/>
        <v>Thursday</v>
      </c>
      <c r="H103" s="9" t="str">
        <f t="shared" si="5"/>
        <v>July</v>
      </c>
      <c r="I103" t="s">
        <v>190</v>
      </c>
      <c r="J103" t="s">
        <v>8</v>
      </c>
      <c r="K103">
        <v>7338</v>
      </c>
      <c r="L103" s="5" t="str">
        <f>IF(OR(K103&lt;Answers!$C$16,Orders!K103&gt;Answers!$C$17),"Yes","No")</f>
        <v>No</v>
      </c>
      <c r="M103" s="14">
        <f>VLOOKUP(B103,Customers!$A$1:$E$2501,4,0)</f>
        <v>65</v>
      </c>
    </row>
    <row r="104" spans="1:13" x14ac:dyDescent="0.3">
      <c r="A104">
        <v>69722</v>
      </c>
      <c r="B104">
        <v>571</v>
      </c>
      <c r="C104" s="1" t="s">
        <v>101</v>
      </c>
      <c r="D104" s="5">
        <v>45174</v>
      </c>
      <c r="E104" s="10">
        <v>0.54027777777777775</v>
      </c>
      <c r="F104" s="15">
        <f t="shared" si="3"/>
        <v>9</v>
      </c>
      <c r="G104" s="10" t="str">
        <f t="shared" si="4"/>
        <v>Tuesday</v>
      </c>
      <c r="H104" s="9" t="str">
        <f t="shared" si="5"/>
        <v>September</v>
      </c>
      <c r="I104" t="s">
        <v>97</v>
      </c>
      <c r="J104" t="s">
        <v>31</v>
      </c>
      <c r="K104">
        <v>1269</v>
      </c>
      <c r="L104" s="5" t="str">
        <f>IF(OR(K104&lt;Answers!$C$16,Orders!K104&gt;Answers!$C$17),"Yes","No")</f>
        <v>No</v>
      </c>
      <c r="M104" s="14">
        <f>VLOOKUP(B104,Customers!$A$1:$E$2501,4,0)</f>
        <v>88</v>
      </c>
    </row>
    <row r="105" spans="1:13" x14ac:dyDescent="0.3">
      <c r="A105">
        <v>69918</v>
      </c>
      <c r="B105">
        <v>1378</v>
      </c>
      <c r="C105" s="1" t="s">
        <v>104</v>
      </c>
      <c r="D105" s="5">
        <v>44992</v>
      </c>
      <c r="E105" s="10">
        <v>36781</v>
      </c>
      <c r="F105" s="15">
        <f t="shared" si="3"/>
        <v>3</v>
      </c>
      <c r="G105" s="10" t="str">
        <f t="shared" si="4"/>
        <v>Tuesday</v>
      </c>
      <c r="H105" s="9" t="str">
        <f t="shared" si="5"/>
        <v>March</v>
      </c>
      <c r="I105" t="s">
        <v>96</v>
      </c>
      <c r="J105" t="s">
        <v>24</v>
      </c>
      <c r="K105">
        <v>8657</v>
      </c>
      <c r="L105" s="5" t="str">
        <f>IF(OR(K105&lt;Answers!$C$16,Orders!K105&gt;Answers!$C$17),"Yes","No")</f>
        <v>No</v>
      </c>
      <c r="M105" s="14">
        <f>VLOOKUP(B105,Customers!$A$1:$E$2501,4,0)</f>
        <v>31</v>
      </c>
    </row>
    <row r="106" spans="1:13" x14ac:dyDescent="0.3">
      <c r="A106">
        <v>69942</v>
      </c>
      <c r="B106">
        <v>1070</v>
      </c>
      <c r="C106" s="1" t="s">
        <v>105</v>
      </c>
      <c r="D106" s="5">
        <v>45273</v>
      </c>
      <c r="E106" s="10">
        <v>0.45763888888888887</v>
      </c>
      <c r="F106" s="15">
        <f t="shared" si="3"/>
        <v>12</v>
      </c>
      <c r="G106" s="10" t="str">
        <f t="shared" si="4"/>
        <v>Wednesday</v>
      </c>
      <c r="H106" s="9" t="str">
        <f t="shared" si="5"/>
        <v>December</v>
      </c>
      <c r="I106" t="s">
        <v>97</v>
      </c>
      <c r="J106" t="s">
        <v>25</v>
      </c>
      <c r="K106">
        <v>3418</v>
      </c>
      <c r="L106" s="5" t="str">
        <f>IF(OR(K106&lt;Answers!$C$16,Orders!K106&gt;Answers!$C$17),"Yes","No")</f>
        <v>No</v>
      </c>
      <c r="M106" s="14">
        <f>VLOOKUP(B106,Customers!$A$1:$E$2501,4,0)</f>
        <v>60</v>
      </c>
    </row>
    <row r="107" spans="1:13" x14ac:dyDescent="0.3">
      <c r="A107">
        <v>70005</v>
      </c>
      <c r="B107">
        <v>1014</v>
      </c>
      <c r="C107" s="1" t="s">
        <v>112</v>
      </c>
      <c r="D107" s="5">
        <v>45086</v>
      </c>
      <c r="E107" s="10">
        <v>36658</v>
      </c>
      <c r="F107" s="15">
        <f t="shared" si="3"/>
        <v>6</v>
      </c>
      <c r="G107" s="10" t="str">
        <f t="shared" si="4"/>
        <v>Friday</v>
      </c>
      <c r="H107" s="9" t="str">
        <f t="shared" si="5"/>
        <v>June</v>
      </c>
      <c r="I107" t="s">
        <v>96</v>
      </c>
      <c r="J107" t="s">
        <v>26</v>
      </c>
      <c r="K107">
        <v>3582</v>
      </c>
      <c r="L107" s="5" t="str">
        <f>IF(OR(K107&lt;Answers!$C$16,Orders!K107&gt;Answers!$C$17),"Yes","No")</f>
        <v>No</v>
      </c>
      <c r="M107" s="14">
        <f>VLOOKUP(B107,Customers!$A$1:$E$2501,4,0)</f>
        <v>69</v>
      </c>
    </row>
    <row r="108" spans="1:13" x14ac:dyDescent="0.3">
      <c r="A108">
        <v>70020</v>
      </c>
      <c r="B108">
        <v>1811</v>
      </c>
      <c r="C108" s="1" t="s">
        <v>98</v>
      </c>
      <c r="D108" s="5">
        <v>44943</v>
      </c>
      <c r="E108" s="10">
        <v>36719</v>
      </c>
      <c r="F108" s="15">
        <f t="shared" si="3"/>
        <v>1</v>
      </c>
      <c r="G108" s="10" t="str">
        <f t="shared" si="4"/>
        <v>Tuesday</v>
      </c>
      <c r="H108" s="9" t="str">
        <f t="shared" si="5"/>
        <v>January</v>
      </c>
      <c r="I108" t="s">
        <v>96</v>
      </c>
      <c r="J108" t="s">
        <v>51</v>
      </c>
      <c r="K108">
        <v>7484</v>
      </c>
      <c r="L108" s="5" t="str">
        <f>IF(OR(K108&lt;Answers!$C$16,Orders!K108&gt;Answers!$C$17),"Yes","No")</f>
        <v>No</v>
      </c>
      <c r="M108" s="14">
        <f>VLOOKUP(B108,Customers!$A$1:$E$2501,4,0)</f>
        <v>79</v>
      </c>
    </row>
    <row r="109" spans="1:13" x14ac:dyDescent="0.3">
      <c r="A109">
        <v>71722</v>
      </c>
      <c r="B109">
        <v>1420</v>
      </c>
      <c r="C109" s="1" t="s">
        <v>98</v>
      </c>
      <c r="D109" s="5">
        <v>45184</v>
      </c>
      <c r="E109" s="10">
        <v>0.52361111111111114</v>
      </c>
      <c r="F109" s="15">
        <f t="shared" si="3"/>
        <v>9</v>
      </c>
      <c r="G109" s="10" t="str">
        <f t="shared" si="4"/>
        <v>Friday</v>
      </c>
      <c r="H109" s="9" t="str">
        <f t="shared" si="5"/>
        <v>September</v>
      </c>
      <c r="I109" t="s">
        <v>96</v>
      </c>
      <c r="J109" t="s">
        <v>22</v>
      </c>
      <c r="K109">
        <v>8556</v>
      </c>
      <c r="L109" s="5" t="str">
        <f>IF(OR(K109&lt;Answers!$C$16,Orders!K109&gt;Answers!$C$17),"Yes","No")</f>
        <v>No</v>
      </c>
      <c r="M109" s="14">
        <f>VLOOKUP(B109,Customers!$A$1:$E$2501,4,0)</f>
        <v>28</v>
      </c>
    </row>
    <row r="110" spans="1:13" x14ac:dyDescent="0.3">
      <c r="A110">
        <v>72556</v>
      </c>
      <c r="B110">
        <v>89</v>
      </c>
      <c r="C110" s="1" t="s">
        <v>106</v>
      </c>
      <c r="D110" s="5">
        <v>45120</v>
      </c>
      <c r="E110" s="10">
        <v>36862</v>
      </c>
      <c r="F110" s="15">
        <f t="shared" si="3"/>
        <v>7</v>
      </c>
      <c r="G110" s="10" t="str">
        <f t="shared" si="4"/>
        <v>Thursday</v>
      </c>
      <c r="H110" s="9" t="str">
        <f t="shared" si="5"/>
        <v>July</v>
      </c>
      <c r="I110" t="s">
        <v>97</v>
      </c>
      <c r="J110" t="s">
        <v>52</v>
      </c>
      <c r="K110">
        <v>427</v>
      </c>
      <c r="L110" s="5" t="str">
        <f>IF(OR(K110&lt;Answers!$C$16,Orders!K110&gt;Answers!$C$17),"Yes","No")</f>
        <v>No</v>
      </c>
      <c r="M110" s="14">
        <f>VLOOKUP(B110,Customers!$A$1:$E$2501,4,0)</f>
        <v>33</v>
      </c>
    </row>
    <row r="111" spans="1:13" x14ac:dyDescent="0.3">
      <c r="A111">
        <v>73057</v>
      </c>
      <c r="B111">
        <v>306</v>
      </c>
      <c r="C111" s="1" t="s">
        <v>112</v>
      </c>
      <c r="D111" s="5">
        <v>45237</v>
      </c>
      <c r="E111" s="10">
        <v>0.53819444444444442</v>
      </c>
      <c r="F111" s="15">
        <f t="shared" si="3"/>
        <v>11</v>
      </c>
      <c r="G111" s="10" t="str">
        <f t="shared" si="4"/>
        <v>Tuesday</v>
      </c>
      <c r="H111" s="9" t="str">
        <f t="shared" si="5"/>
        <v>November</v>
      </c>
      <c r="I111" t="s">
        <v>96</v>
      </c>
      <c r="J111" t="s">
        <v>53</v>
      </c>
      <c r="K111">
        <v>7936</v>
      </c>
      <c r="L111" s="5" t="str">
        <f>IF(OR(K111&lt;Answers!$C$16,Orders!K111&gt;Answers!$C$17),"Yes","No")</f>
        <v>No</v>
      </c>
      <c r="M111" s="14">
        <f>VLOOKUP(B111,Customers!$A$1:$E$2501,4,0)</f>
        <v>20</v>
      </c>
    </row>
    <row r="112" spans="1:13" x14ac:dyDescent="0.3">
      <c r="A112">
        <v>73293</v>
      </c>
      <c r="B112">
        <v>128</v>
      </c>
      <c r="C112" s="1" t="s">
        <v>98</v>
      </c>
      <c r="D112" s="5">
        <v>45272</v>
      </c>
      <c r="E112" s="10">
        <v>5.7638888888888892E-2</v>
      </c>
      <c r="F112" s="15">
        <f t="shared" si="3"/>
        <v>12</v>
      </c>
      <c r="G112" s="10" t="str">
        <f t="shared" si="4"/>
        <v>Tuesday</v>
      </c>
      <c r="H112" s="9" t="str">
        <f t="shared" si="5"/>
        <v>December</v>
      </c>
      <c r="I112" t="s">
        <v>96</v>
      </c>
      <c r="J112" t="s">
        <v>19</v>
      </c>
      <c r="K112">
        <v>7868</v>
      </c>
      <c r="L112" s="5" t="str">
        <f>IF(OR(K112&lt;Answers!$C$16,Orders!K112&gt;Answers!$C$17),"Yes","No")</f>
        <v>No</v>
      </c>
      <c r="M112" s="14">
        <f>VLOOKUP(B112,Customers!$A$1:$E$2501,4,0)</f>
        <v>55</v>
      </c>
    </row>
    <row r="113" spans="1:13" x14ac:dyDescent="0.3">
      <c r="A113">
        <v>73642</v>
      </c>
      <c r="B113">
        <v>1519</v>
      </c>
      <c r="C113" s="1" t="s">
        <v>104</v>
      </c>
      <c r="D113" s="5">
        <v>45194</v>
      </c>
      <c r="E113" s="10">
        <v>5.2777777777777778E-2</v>
      </c>
      <c r="F113" s="15">
        <f t="shared" si="3"/>
        <v>9</v>
      </c>
      <c r="G113" s="10" t="str">
        <f t="shared" si="4"/>
        <v>Monday</v>
      </c>
      <c r="H113" s="9" t="str">
        <f t="shared" si="5"/>
        <v>September</v>
      </c>
      <c r="I113" t="s">
        <v>190</v>
      </c>
      <c r="J113" t="s">
        <v>40</v>
      </c>
      <c r="K113">
        <v>3758</v>
      </c>
      <c r="L113" s="5" t="str">
        <f>IF(OR(K113&lt;Answers!$C$16,Orders!K113&gt;Answers!$C$17),"Yes","No")</f>
        <v>No</v>
      </c>
      <c r="M113" s="14">
        <f>VLOOKUP(B113,Customers!$A$1:$E$2501,4,0)</f>
        <v>20</v>
      </c>
    </row>
    <row r="114" spans="1:13" x14ac:dyDescent="0.3">
      <c r="A114">
        <v>73914</v>
      </c>
      <c r="B114">
        <v>1772</v>
      </c>
      <c r="C114" s="1" t="s">
        <v>98</v>
      </c>
      <c r="D114" s="5">
        <v>45100</v>
      </c>
      <c r="E114" s="10">
        <v>0.53055555555555556</v>
      </c>
      <c r="F114" s="15">
        <f t="shared" si="3"/>
        <v>6</v>
      </c>
      <c r="G114" s="10" t="str">
        <f t="shared" si="4"/>
        <v>Friday</v>
      </c>
      <c r="H114" s="9" t="str">
        <f t="shared" si="5"/>
        <v>June</v>
      </c>
      <c r="I114" t="s">
        <v>95</v>
      </c>
      <c r="J114" t="s">
        <v>54</v>
      </c>
      <c r="K114">
        <v>8306</v>
      </c>
      <c r="L114" s="5" t="str">
        <f>IF(OR(K114&lt;Answers!$C$16,Orders!K114&gt;Answers!$C$17),"Yes","No")</f>
        <v>No</v>
      </c>
      <c r="M114" s="14">
        <f>VLOOKUP(B114,Customers!$A$1:$E$2501,4,0)</f>
        <v>42</v>
      </c>
    </row>
    <row r="115" spans="1:13" x14ac:dyDescent="0.3">
      <c r="A115">
        <v>74485</v>
      </c>
      <c r="B115">
        <v>1247</v>
      </c>
      <c r="C115" s="1" t="s">
        <v>98</v>
      </c>
      <c r="D115" s="5">
        <v>45274</v>
      </c>
      <c r="E115" s="10">
        <v>0.51388888888888884</v>
      </c>
      <c r="F115" s="15">
        <f t="shared" si="3"/>
        <v>12</v>
      </c>
      <c r="G115" s="10" t="str">
        <f t="shared" si="4"/>
        <v>Thursday</v>
      </c>
      <c r="H115" s="9" t="str">
        <f t="shared" si="5"/>
        <v>December</v>
      </c>
      <c r="I115" t="s">
        <v>96</v>
      </c>
      <c r="J115" t="s">
        <v>55</v>
      </c>
      <c r="K115">
        <v>4523</v>
      </c>
      <c r="L115" s="5" t="str">
        <f>IF(OR(K115&lt;Answers!$C$16,Orders!K115&gt;Answers!$C$17),"Yes","No")</f>
        <v>No</v>
      </c>
      <c r="M115" s="14">
        <f>VLOOKUP(B115,Customers!$A$1:$E$2501,4,0)</f>
        <v>24</v>
      </c>
    </row>
    <row r="116" spans="1:13" x14ac:dyDescent="0.3">
      <c r="A116">
        <v>74526</v>
      </c>
      <c r="B116">
        <v>1489</v>
      </c>
      <c r="C116" s="1" t="s">
        <v>104</v>
      </c>
      <c r="D116" s="5">
        <v>45273</v>
      </c>
      <c r="E116" s="10">
        <v>7.013888888888889E-2</v>
      </c>
      <c r="F116" s="15">
        <f t="shared" si="3"/>
        <v>12</v>
      </c>
      <c r="G116" s="10" t="str">
        <f t="shared" si="4"/>
        <v>Wednesday</v>
      </c>
      <c r="H116" s="9" t="str">
        <f t="shared" si="5"/>
        <v>December</v>
      </c>
      <c r="I116" t="s">
        <v>97</v>
      </c>
      <c r="J116" t="s">
        <v>56</v>
      </c>
      <c r="K116">
        <v>1132</v>
      </c>
      <c r="L116" s="5" t="str">
        <f>IF(OR(K116&lt;Answers!$C$16,Orders!K116&gt;Answers!$C$17),"Yes","No")</f>
        <v>No</v>
      </c>
      <c r="M116" s="14">
        <f>VLOOKUP(B116,Customers!$A$1:$E$2501,4,0)</f>
        <v>46</v>
      </c>
    </row>
    <row r="117" spans="1:13" x14ac:dyDescent="0.3">
      <c r="A117">
        <v>75315</v>
      </c>
      <c r="B117">
        <v>1291</v>
      </c>
      <c r="C117" s="1" t="s">
        <v>98</v>
      </c>
      <c r="D117" s="5">
        <v>45138</v>
      </c>
      <c r="E117" s="10">
        <v>0.53263888888888888</v>
      </c>
      <c r="F117" s="15">
        <f t="shared" si="3"/>
        <v>7</v>
      </c>
      <c r="G117" s="10" t="str">
        <f t="shared" si="4"/>
        <v>Monday</v>
      </c>
      <c r="H117" s="9" t="str">
        <f t="shared" si="5"/>
        <v>July</v>
      </c>
      <c r="I117" t="s">
        <v>97</v>
      </c>
      <c r="J117" t="s">
        <v>57</v>
      </c>
      <c r="K117">
        <v>7931</v>
      </c>
      <c r="L117" s="5" t="str">
        <f>IF(OR(K117&lt;Answers!$C$16,Orders!K117&gt;Answers!$C$17),"Yes","No")</f>
        <v>No</v>
      </c>
      <c r="M117" s="14">
        <f>VLOOKUP(B117,Customers!$A$1:$E$2501,4,0)</f>
        <v>72</v>
      </c>
    </row>
    <row r="118" spans="1:13" x14ac:dyDescent="0.3">
      <c r="A118">
        <v>75706</v>
      </c>
      <c r="B118">
        <v>737</v>
      </c>
      <c r="C118" s="1" t="s">
        <v>112</v>
      </c>
      <c r="D118" s="5">
        <v>45021</v>
      </c>
      <c r="E118" s="10">
        <v>0.49375000000000002</v>
      </c>
      <c r="F118" s="15">
        <f t="shared" si="3"/>
        <v>4</v>
      </c>
      <c r="G118" s="10" t="str">
        <f t="shared" si="4"/>
        <v>Wednesday</v>
      </c>
      <c r="H118" s="9" t="str">
        <f t="shared" si="5"/>
        <v>April</v>
      </c>
      <c r="I118" t="s">
        <v>97</v>
      </c>
      <c r="J118" t="s">
        <v>58</v>
      </c>
      <c r="K118">
        <v>989</v>
      </c>
      <c r="L118" s="5" t="str">
        <f>IF(OR(K118&lt;Answers!$C$16,Orders!K118&gt;Answers!$C$17),"Yes","No")</f>
        <v>No</v>
      </c>
      <c r="M118" s="14">
        <f>VLOOKUP(B118,Customers!$A$1:$E$2501,4,0)</f>
        <v>42</v>
      </c>
    </row>
    <row r="119" spans="1:13" x14ac:dyDescent="0.3">
      <c r="A119">
        <v>76181</v>
      </c>
      <c r="B119">
        <v>773</v>
      </c>
      <c r="C119" s="1" t="s">
        <v>98</v>
      </c>
      <c r="D119" s="5">
        <v>45220</v>
      </c>
      <c r="E119" s="10">
        <v>0.53333333333333333</v>
      </c>
      <c r="F119" s="15">
        <f t="shared" si="3"/>
        <v>10</v>
      </c>
      <c r="G119" s="10" t="str">
        <f t="shared" si="4"/>
        <v>Saturday</v>
      </c>
      <c r="H119" s="9" t="str">
        <f t="shared" si="5"/>
        <v>October</v>
      </c>
      <c r="I119" t="s">
        <v>190</v>
      </c>
      <c r="J119" t="s">
        <v>3</v>
      </c>
      <c r="K119">
        <v>2221</v>
      </c>
      <c r="L119" s="5" t="str">
        <f>IF(OR(K119&lt;Answers!$C$16,Orders!K119&gt;Answers!$C$17),"Yes","No")</f>
        <v>No</v>
      </c>
      <c r="M119" s="14">
        <f>VLOOKUP(B119,Customers!$A$1:$E$2501,4,0)</f>
        <v>77</v>
      </c>
    </row>
    <row r="120" spans="1:13" x14ac:dyDescent="0.3">
      <c r="A120">
        <v>78613</v>
      </c>
      <c r="B120">
        <v>784</v>
      </c>
      <c r="C120" s="1" t="s">
        <v>98</v>
      </c>
      <c r="D120" s="5">
        <v>44999</v>
      </c>
      <c r="E120" s="10">
        <v>36568</v>
      </c>
      <c r="F120" s="15">
        <f t="shared" si="3"/>
        <v>3</v>
      </c>
      <c r="G120" s="10" t="str">
        <f t="shared" si="4"/>
        <v>Tuesday</v>
      </c>
      <c r="H120" s="9" t="str">
        <f t="shared" si="5"/>
        <v>March</v>
      </c>
      <c r="I120" t="s">
        <v>190</v>
      </c>
      <c r="J120" t="s">
        <v>46</v>
      </c>
      <c r="K120">
        <v>6104</v>
      </c>
      <c r="L120" s="5" t="str">
        <f>IF(OR(K120&lt;Answers!$C$16,Orders!K120&gt;Answers!$C$17),"Yes","No")</f>
        <v>No</v>
      </c>
      <c r="M120" s="14">
        <f>VLOOKUP(B120,Customers!$A$1:$E$2501,4,0)</f>
        <v>38</v>
      </c>
    </row>
    <row r="121" spans="1:13" x14ac:dyDescent="0.3">
      <c r="A121">
        <v>79407</v>
      </c>
      <c r="B121">
        <v>1784</v>
      </c>
      <c r="C121" s="1" t="s">
        <v>98</v>
      </c>
      <c r="D121" s="5">
        <v>45146</v>
      </c>
      <c r="E121" s="10">
        <v>0.44374999999999998</v>
      </c>
      <c r="F121" s="15">
        <f t="shared" si="3"/>
        <v>8</v>
      </c>
      <c r="G121" s="10" t="str">
        <f t="shared" si="4"/>
        <v>Tuesday</v>
      </c>
      <c r="H121" s="9" t="str">
        <f t="shared" si="5"/>
        <v>August</v>
      </c>
      <c r="I121" t="s">
        <v>190</v>
      </c>
      <c r="J121" t="s">
        <v>59</v>
      </c>
      <c r="K121">
        <v>8067</v>
      </c>
      <c r="L121" s="5" t="str">
        <f>IF(OR(K121&lt;Answers!$C$16,Orders!K121&gt;Answers!$C$17),"Yes","No")</f>
        <v>No</v>
      </c>
      <c r="M121" s="14">
        <f>VLOOKUP(B121,Customers!$A$1:$E$2501,4,0)</f>
        <v>57</v>
      </c>
    </row>
    <row r="122" spans="1:13" x14ac:dyDescent="0.3">
      <c r="A122">
        <v>80630</v>
      </c>
      <c r="B122">
        <v>748</v>
      </c>
      <c r="C122" s="1" t="s">
        <v>98</v>
      </c>
      <c r="D122" s="5">
        <v>45059</v>
      </c>
      <c r="E122" s="10">
        <v>0.48055555555555557</v>
      </c>
      <c r="F122" s="15">
        <f t="shared" si="3"/>
        <v>5</v>
      </c>
      <c r="G122" s="10" t="str">
        <f t="shared" si="4"/>
        <v>Saturday</v>
      </c>
      <c r="H122" s="9" t="str">
        <f t="shared" si="5"/>
        <v>May</v>
      </c>
      <c r="I122" t="s">
        <v>190</v>
      </c>
      <c r="J122" t="s">
        <v>60</v>
      </c>
      <c r="K122">
        <v>62</v>
      </c>
      <c r="L122" s="5" t="str">
        <f>IF(OR(K122&lt;Answers!$C$16,Orders!K122&gt;Answers!$C$17),"Yes","No")</f>
        <v>No</v>
      </c>
      <c r="M122" s="14">
        <f>VLOOKUP(B122,Customers!$A$1:$E$2501,4,0)</f>
        <v>40</v>
      </c>
    </row>
    <row r="123" spans="1:13" x14ac:dyDescent="0.3">
      <c r="A123">
        <v>80707</v>
      </c>
      <c r="B123">
        <v>1993</v>
      </c>
      <c r="C123" s="1" t="s">
        <v>98</v>
      </c>
      <c r="D123" s="5">
        <v>45269</v>
      </c>
      <c r="E123" s="10">
        <v>36770</v>
      </c>
      <c r="F123" s="15">
        <f t="shared" si="3"/>
        <v>12</v>
      </c>
      <c r="G123" s="10" t="str">
        <f t="shared" si="4"/>
        <v>Saturday</v>
      </c>
      <c r="H123" s="9" t="str">
        <f t="shared" si="5"/>
        <v>December</v>
      </c>
      <c r="I123" t="s">
        <v>96</v>
      </c>
      <c r="J123" t="s">
        <v>61</v>
      </c>
      <c r="K123">
        <v>2966</v>
      </c>
      <c r="L123" s="5" t="str">
        <f>IF(OR(K123&lt;Answers!$C$16,Orders!K123&gt;Answers!$C$17),"Yes","No")</f>
        <v>No</v>
      </c>
      <c r="M123" s="14">
        <f>VLOOKUP(B123,Customers!$A$1:$E$2501,4,0)</f>
        <v>61</v>
      </c>
    </row>
    <row r="124" spans="1:13" x14ac:dyDescent="0.3">
      <c r="A124">
        <v>81061</v>
      </c>
      <c r="B124">
        <v>676</v>
      </c>
      <c r="C124" s="1" t="s">
        <v>112</v>
      </c>
      <c r="D124" s="5">
        <v>45015</v>
      </c>
      <c r="E124" s="10">
        <v>0.51944444444444449</v>
      </c>
      <c r="F124" s="15">
        <f t="shared" si="3"/>
        <v>3</v>
      </c>
      <c r="G124" s="10" t="str">
        <f t="shared" si="4"/>
        <v>Thursday</v>
      </c>
      <c r="H124" s="9" t="str">
        <f t="shared" si="5"/>
        <v>March</v>
      </c>
      <c r="I124" t="s">
        <v>97</v>
      </c>
      <c r="J124" t="s">
        <v>32</v>
      </c>
      <c r="K124">
        <v>4219</v>
      </c>
      <c r="L124" s="5" t="str">
        <f>IF(OR(K124&lt;Answers!$C$16,Orders!K124&gt;Answers!$C$17),"Yes","No")</f>
        <v>No</v>
      </c>
      <c r="M124" s="14">
        <f>VLOOKUP(B124,Customers!$A$1:$E$2501,4,0)</f>
        <v>74</v>
      </c>
    </row>
    <row r="125" spans="1:13" x14ac:dyDescent="0.3">
      <c r="A125">
        <v>81431</v>
      </c>
      <c r="B125">
        <v>508</v>
      </c>
      <c r="C125" s="1" t="s">
        <v>109</v>
      </c>
      <c r="D125" s="5">
        <v>45122</v>
      </c>
      <c r="E125" s="10">
        <v>0.52708333333333335</v>
      </c>
      <c r="F125" s="15">
        <f t="shared" si="3"/>
        <v>7</v>
      </c>
      <c r="G125" s="10" t="str">
        <f t="shared" si="4"/>
        <v>Saturday</v>
      </c>
      <c r="H125" s="9" t="str">
        <f t="shared" si="5"/>
        <v>July</v>
      </c>
      <c r="I125" t="s">
        <v>96</v>
      </c>
      <c r="J125" t="s">
        <v>62</v>
      </c>
      <c r="K125">
        <v>9101</v>
      </c>
      <c r="L125" s="5" t="str">
        <f>IF(OR(K125&lt;Answers!$C$16,Orders!K125&gt;Answers!$C$17),"Yes","No")</f>
        <v>No</v>
      </c>
      <c r="M125" s="14">
        <f>VLOOKUP(B125,Customers!$A$1:$E$2501,4,0)</f>
        <v>65</v>
      </c>
    </row>
    <row r="126" spans="1:13" x14ac:dyDescent="0.3">
      <c r="A126">
        <v>82314</v>
      </c>
      <c r="B126">
        <v>1242</v>
      </c>
      <c r="C126" s="1" t="s">
        <v>104</v>
      </c>
      <c r="D126" s="5">
        <v>45281</v>
      </c>
      <c r="E126" s="10">
        <v>0.53541666666666665</v>
      </c>
      <c r="F126" s="15">
        <f t="shared" si="3"/>
        <v>12</v>
      </c>
      <c r="G126" s="10" t="str">
        <f t="shared" si="4"/>
        <v>Thursday</v>
      </c>
      <c r="H126" s="9" t="str">
        <f t="shared" si="5"/>
        <v>December</v>
      </c>
      <c r="I126" t="s">
        <v>96</v>
      </c>
      <c r="J126" t="s">
        <v>20</v>
      </c>
      <c r="K126">
        <v>9870</v>
      </c>
      <c r="L126" s="5" t="str">
        <f>IF(OR(K126&lt;Answers!$C$16,Orders!K126&gt;Answers!$C$17),"Yes","No")</f>
        <v>No</v>
      </c>
      <c r="M126" s="14">
        <f>VLOOKUP(B126,Customers!$A$1:$E$2501,4,0)</f>
        <v>55</v>
      </c>
    </row>
    <row r="127" spans="1:13" x14ac:dyDescent="0.3">
      <c r="A127">
        <v>82480</v>
      </c>
      <c r="B127">
        <v>1899</v>
      </c>
      <c r="C127" s="1" t="s">
        <v>98</v>
      </c>
      <c r="D127" s="5">
        <v>44968</v>
      </c>
      <c r="E127" s="10">
        <v>0.49444444444444446</v>
      </c>
      <c r="F127" s="15">
        <f t="shared" si="3"/>
        <v>2</v>
      </c>
      <c r="G127" s="10" t="str">
        <f t="shared" si="4"/>
        <v>Saturday</v>
      </c>
      <c r="H127" s="9" t="str">
        <f t="shared" si="5"/>
        <v>February</v>
      </c>
      <c r="I127" t="s">
        <v>97</v>
      </c>
      <c r="J127" t="s">
        <v>30</v>
      </c>
      <c r="K127">
        <v>3220</v>
      </c>
      <c r="L127" s="5" t="str">
        <f>IF(OR(K127&lt;Answers!$C$16,Orders!K127&gt;Answers!$C$17),"Yes","No")</f>
        <v>No</v>
      </c>
      <c r="M127" s="14">
        <f>VLOOKUP(B127,Customers!$A$1:$E$2501,4,0)</f>
        <v>63</v>
      </c>
    </row>
    <row r="128" spans="1:13" x14ac:dyDescent="0.3">
      <c r="A128">
        <v>82755</v>
      </c>
      <c r="B128">
        <v>689</v>
      </c>
      <c r="C128" s="1" t="s">
        <v>99</v>
      </c>
      <c r="D128" s="5">
        <v>45232</v>
      </c>
      <c r="E128" s="10">
        <v>5.486111111111111E-2</v>
      </c>
      <c r="F128" s="15">
        <f t="shared" si="3"/>
        <v>11</v>
      </c>
      <c r="G128" s="10" t="str">
        <f t="shared" si="4"/>
        <v>Thursday</v>
      </c>
      <c r="H128" s="9" t="str">
        <f t="shared" si="5"/>
        <v>November</v>
      </c>
      <c r="I128" t="s">
        <v>96</v>
      </c>
      <c r="J128" t="s">
        <v>26</v>
      </c>
      <c r="K128">
        <v>5551</v>
      </c>
      <c r="L128" s="5" t="str">
        <f>IF(OR(K128&lt;Answers!$C$16,Orders!K128&gt;Answers!$C$17),"Yes","No")</f>
        <v>No</v>
      </c>
      <c r="M128" s="14">
        <f>VLOOKUP(B128,Customers!$A$1:$E$2501,4,0)</f>
        <v>41</v>
      </c>
    </row>
    <row r="129" spans="1:13" x14ac:dyDescent="0.3">
      <c r="A129">
        <v>83365</v>
      </c>
      <c r="B129">
        <v>829</v>
      </c>
      <c r="C129" s="1" t="s">
        <v>98</v>
      </c>
      <c r="D129" s="5">
        <v>45051</v>
      </c>
      <c r="E129" s="10">
        <v>0.49861111111111112</v>
      </c>
      <c r="F129" s="15">
        <f t="shared" si="3"/>
        <v>5</v>
      </c>
      <c r="G129" s="10" t="str">
        <f t="shared" si="4"/>
        <v>Friday</v>
      </c>
      <c r="H129" s="9" t="str">
        <f t="shared" si="5"/>
        <v>May</v>
      </c>
      <c r="I129" t="s">
        <v>190</v>
      </c>
      <c r="J129" t="s">
        <v>4</v>
      </c>
      <c r="K129">
        <v>7937</v>
      </c>
      <c r="L129" s="5" t="str">
        <f>IF(OR(K129&lt;Answers!$C$16,Orders!K129&gt;Answers!$C$17),"Yes","No")</f>
        <v>No</v>
      </c>
      <c r="M129" s="14">
        <f>VLOOKUP(B129,Customers!$A$1:$E$2501,4,0)</f>
        <v>65</v>
      </c>
    </row>
    <row r="130" spans="1:13" x14ac:dyDescent="0.3">
      <c r="A130">
        <v>83818</v>
      </c>
      <c r="B130">
        <v>827</v>
      </c>
      <c r="C130" s="1" t="s">
        <v>105</v>
      </c>
      <c r="D130" s="5">
        <v>45033</v>
      </c>
      <c r="E130" s="10">
        <v>0.52777777777777779</v>
      </c>
      <c r="F130" s="15">
        <f t="shared" si="3"/>
        <v>4</v>
      </c>
      <c r="G130" s="10" t="str">
        <f t="shared" si="4"/>
        <v>Monday</v>
      </c>
      <c r="H130" s="9" t="str">
        <f t="shared" si="5"/>
        <v>April</v>
      </c>
      <c r="I130" t="s">
        <v>96</v>
      </c>
      <c r="J130" t="s">
        <v>63</v>
      </c>
      <c r="K130">
        <v>7643</v>
      </c>
      <c r="L130" s="5" t="str">
        <f>IF(OR(K130&lt;Answers!$C$16,Orders!K130&gt;Answers!$C$17),"Yes","No")</f>
        <v>No</v>
      </c>
      <c r="M130" s="14">
        <f>VLOOKUP(B130,Customers!$A$1:$E$2501,4,0)</f>
        <v>40</v>
      </c>
    </row>
    <row r="131" spans="1:13" x14ac:dyDescent="0.3">
      <c r="A131">
        <v>84351</v>
      </c>
      <c r="B131">
        <v>1331</v>
      </c>
      <c r="C131" s="1" t="s">
        <v>98</v>
      </c>
      <c r="D131" s="5">
        <v>45035</v>
      </c>
      <c r="E131" s="10">
        <v>0.50902777777777775</v>
      </c>
      <c r="F131" s="15">
        <f t="shared" ref="F131:F194" si="6">MONTH(D131)</f>
        <v>4</v>
      </c>
      <c r="G131" s="10" t="str">
        <f t="shared" ref="G131:G194" si="7">TEXT(D131,"dddd")</f>
        <v>Wednesday</v>
      </c>
      <c r="H131" s="9" t="str">
        <f t="shared" ref="H131:H194" si="8">TEXT(D131,"mmmm")</f>
        <v>April</v>
      </c>
      <c r="I131" t="s">
        <v>190</v>
      </c>
      <c r="J131" t="s">
        <v>7</v>
      </c>
      <c r="K131">
        <v>4824</v>
      </c>
      <c r="L131" s="5" t="str">
        <f>IF(OR(K131&lt;Answers!$C$16,Orders!K131&gt;Answers!$C$17),"Yes","No")</f>
        <v>No</v>
      </c>
      <c r="M131" s="14">
        <f>VLOOKUP(B131,Customers!$A$1:$E$2501,4,0)</f>
        <v>84</v>
      </c>
    </row>
    <row r="132" spans="1:13" x14ac:dyDescent="0.3">
      <c r="A132">
        <v>85001</v>
      </c>
      <c r="B132">
        <v>266</v>
      </c>
      <c r="C132" s="1" t="s">
        <v>98</v>
      </c>
      <c r="D132" s="5">
        <v>45242</v>
      </c>
      <c r="E132" s="10">
        <v>36739</v>
      </c>
      <c r="F132" s="15">
        <f t="shared" si="6"/>
        <v>11</v>
      </c>
      <c r="G132" s="10" t="str">
        <f t="shared" si="7"/>
        <v>Sunday</v>
      </c>
      <c r="H132" s="9" t="str">
        <f t="shared" si="8"/>
        <v>November</v>
      </c>
      <c r="I132" t="s">
        <v>190</v>
      </c>
      <c r="J132" t="s">
        <v>5</v>
      </c>
      <c r="K132">
        <v>9796</v>
      </c>
      <c r="L132" s="5" t="str">
        <f>IF(OR(K132&lt;Answers!$C$16,Orders!K132&gt;Answers!$C$17),"Yes","No")</f>
        <v>No</v>
      </c>
      <c r="M132" s="14">
        <f>VLOOKUP(B132,Customers!$A$1:$E$2501,4,0)</f>
        <v>37</v>
      </c>
    </row>
    <row r="133" spans="1:13" x14ac:dyDescent="0.3">
      <c r="A133">
        <v>85142</v>
      </c>
      <c r="B133">
        <v>1794</v>
      </c>
      <c r="C133" s="1" t="s">
        <v>100</v>
      </c>
      <c r="D133" s="5">
        <v>44976</v>
      </c>
      <c r="E133" s="10">
        <v>9.4444444444444442E-2</v>
      </c>
      <c r="F133" s="15">
        <f t="shared" si="6"/>
        <v>2</v>
      </c>
      <c r="G133" s="10" t="str">
        <f t="shared" si="7"/>
        <v>Sunday</v>
      </c>
      <c r="H133" s="9" t="str">
        <f t="shared" si="8"/>
        <v>February</v>
      </c>
      <c r="I133" t="s">
        <v>97</v>
      </c>
      <c r="J133" t="s">
        <v>64</v>
      </c>
      <c r="K133">
        <v>1569</v>
      </c>
      <c r="L133" s="5" t="str">
        <f>IF(OR(K133&lt;Answers!$C$16,Orders!K133&gt;Answers!$C$17),"Yes","No")</f>
        <v>No</v>
      </c>
      <c r="M133" s="14">
        <f>VLOOKUP(B133,Customers!$A$1:$E$2501,4,0)</f>
        <v>41</v>
      </c>
    </row>
    <row r="134" spans="1:13" x14ac:dyDescent="0.3">
      <c r="A134">
        <v>85195</v>
      </c>
      <c r="B134">
        <v>1954</v>
      </c>
      <c r="C134" s="1" t="s">
        <v>101</v>
      </c>
      <c r="D134" s="5">
        <v>45226</v>
      </c>
      <c r="E134" s="10">
        <v>0.48194444444444445</v>
      </c>
      <c r="F134" s="15">
        <f t="shared" si="6"/>
        <v>10</v>
      </c>
      <c r="G134" s="10" t="str">
        <f t="shared" si="7"/>
        <v>Friday</v>
      </c>
      <c r="H134" s="9" t="str">
        <f t="shared" si="8"/>
        <v>October</v>
      </c>
      <c r="I134" t="s">
        <v>190</v>
      </c>
      <c r="J134" t="s">
        <v>61</v>
      </c>
      <c r="K134">
        <v>1860</v>
      </c>
      <c r="L134" s="5" t="str">
        <f>IF(OR(K134&lt;Answers!$C$16,Orders!K134&gt;Answers!$C$17),"Yes","No")</f>
        <v>No</v>
      </c>
      <c r="M134" s="14">
        <f>VLOOKUP(B134,Customers!$A$1:$E$2501,4,0)</f>
        <v>55</v>
      </c>
    </row>
    <row r="135" spans="1:13" x14ac:dyDescent="0.3">
      <c r="A135">
        <v>85703</v>
      </c>
      <c r="B135">
        <v>142</v>
      </c>
      <c r="C135" s="1" t="s">
        <v>112</v>
      </c>
      <c r="D135" s="5">
        <v>44931</v>
      </c>
      <c r="E135" s="10">
        <v>0.4909722222222222</v>
      </c>
      <c r="F135" s="15">
        <f t="shared" si="6"/>
        <v>1</v>
      </c>
      <c r="G135" s="10" t="str">
        <f t="shared" si="7"/>
        <v>Thursday</v>
      </c>
      <c r="H135" s="9" t="str">
        <f t="shared" si="8"/>
        <v>January</v>
      </c>
      <c r="I135" t="s">
        <v>96</v>
      </c>
      <c r="J135" t="s">
        <v>20</v>
      </c>
      <c r="K135">
        <v>3427</v>
      </c>
      <c r="L135" s="5" t="str">
        <f>IF(OR(K135&lt;Answers!$C$16,Orders!K135&gt;Answers!$C$17),"Yes","No")</f>
        <v>No</v>
      </c>
      <c r="M135" s="14">
        <f>VLOOKUP(B135,Customers!$A$1:$E$2501,4,0)</f>
        <v>77</v>
      </c>
    </row>
    <row r="136" spans="1:13" x14ac:dyDescent="0.3">
      <c r="A136">
        <v>85897</v>
      </c>
      <c r="B136">
        <v>948</v>
      </c>
      <c r="C136" s="1" t="s">
        <v>101</v>
      </c>
      <c r="D136" s="5">
        <v>44955</v>
      </c>
      <c r="E136" s="10">
        <v>0.48541666666666666</v>
      </c>
      <c r="F136" s="15">
        <f t="shared" si="6"/>
        <v>1</v>
      </c>
      <c r="G136" s="10" t="str">
        <f t="shared" si="7"/>
        <v>Sunday</v>
      </c>
      <c r="H136" s="9" t="str">
        <f t="shared" si="8"/>
        <v>January</v>
      </c>
      <c r="I136" t="s">
        <v>97</v>
      </c>
      <c r="J136" t="s">
        <v>65</v>
      </c>
      <c r="K136">
        <v>4650</v>
      </c>
      <c r="L136" s="5" t="str">
        <f>IF(OR(K136&lt;Answers!$C$16,Orders!K136&gt;Answers!$C$17),"Yes","No")</f>
        <v>No</v>
      </c>
      <c r="M136" s="14">
        <f>VLOOKUP(B136,Customers!$A$1:$E$2501,4,0)</f>
        <v>27</v>
      </c>
    </row>
    <row r="137" spans="1:13" x14ac:dyDescent="0.3">
      <c r="A137">
        <v>86258</v>
      </c>
      <c r="B137">
        <v>726</v>
      </c>
      <c r="C137" s="1" t="s">
        <v>98</v>
      </c>
      <c r="D137" s="5">
        <v>45253</v>
      </c>
      <c r="E137" s="10">
        <v>7.8472222222222221E-2</v>
      </c>
      <c r="F137" s="15">
        <f t="shared" si="6"/>
        <v>11</v>
      </c>
      <c r="G137" s="10" t="str">
        <f t="shared" si="7"/>
        <v>Thursday</v>
      </c>
      <c r="H137" s="9" t="str">
        <f t="shared" si="8"/>
        <v>November</v>
      </c>
      <c r="I137" t="s">
        <v>96</v>
      </c>
      <c r="J137" t="s">
        <v>28</v>
      </c>
      <c r="K137">
        <v>6129</v>
      </c>
      <c r="L137" s="5" t="str">
        <f>IF(OR(K137&lt;Answers!$C$16,Orders!K137&gt;Answers!$C$17),"Yes","No")</f>
        <v>No</v>
      </c>
      <c r="M137" s="14">
        <f>VLOOKUP(B137,Customers!$A$1:$E$2501,4,0)</f>
        <v>73</v>
      </c>
    </row>
    <row r="138" spans="1:13" x14ac:dyDescent="0.3">
      <c r="A138">
        <v>88069</v>
      </c>
      <c r="B138">
        <v>61</v>
      </c>
      <c r="C138" s="1" t="s">
        <v>104</v>
      </c>
      <c r="D138" s="5">
        <v>44952</v>
      </c>
      <c r="E138" s="10">
        <v>6.1805555555555558E-2</v>
      </c>
      <c r="F138" s="15">
        <f t="shared" si="6"/>
        <v>1</v>
      </c>
      <c r="G138" s="10" t="str">
        <f t="shared" si="7"/>
        <v>Thursday</v>
      </c>
      <c r="H138" s="9" t="str">
        <f t="shared" si="8"/>
        <v>January</v>
      </c>
      <c r="I138" t="s">
        <v>95</v>
      </c>
      <c r="J138" t="s">
        <v>8</v>
      </c>
      <c r="K138">
        <v>8410</v>
      </c>
      <c r="L138" s="5" t="str">
        <f>IF(OR(K138&lt;Answers!$C$16,Orders!K138&gt;Answers!$C$17),"Yes","No")</f>
        <v>No</v>
      </c>
      <c r="M138" s="14">
        <f>VLOOKUP(B138,Customers!$A$1:$E$2501,4,0)</f>
        <v>47</v>
      </c>
    </row>
    <row r="139" spans="1:13" x14ac:dyDescent="0.3">
      <c r="A139">
        <v>88156</v>
      </c>
      <c r="B139">
        <v>719</v>
      </c>
      <c r="C139" s="1" t="s">
        <v>102</v>
      </c>
      <c r="D139" s="5">
        <v>45274</v>
      </c>
      <c r="E139" s="10">
        <v>36708</v>
      </c>
      <c r="F139" s="15">
        <f t="shared" si="6"/>
        <v>12</v>
      </c>
      <c r="G139" s="10" t="str">
        <f t="shared" si="7"/>
        <v>Thursday</v>
      </c>
      <c r="H139" s="9" t="str">
        <f t="shared" si="8"/>
        <v>December</v>
      </c>
      <c r="I139" t="s">
        <v>95</v>
      </c>
      <c r="J139" t="s">
        <v>29</v>
      </c>
      <c r="K139">
        <v>9836</v>
      </c>
      <c r="L139" s="5" t="str">
        <f>IF(OR(K139&lt;Answers!$C$16,Orders!K139&gt;Answers!$C$17),"Yes","No")</f>
        <v>No</v>
      </c>
      <c r="M139" s="14">
        <f>VLOOKUP(B139,Customers!$A$1:$E$2501,4,0)</f>
        <v>29</v>
      </c>
    </row>
    <row r="140" spans="1:13" x14ac:dyDescent="0.3">
      <c r="A140">
        <v>89811</v>
      </c>
      <c r="B140">
        <v>1007</v>
      </c>
      <c r="C140" s="1" t="s">
        <v>98</v>
      </c>
      <c r="D140" s="5">
        <v>45137</v>
      </c>
      <c r="E140" s="10">
        <v>0.4861111111111111</v>
      </c>
      <c r="F140" s="15">
        <f t="shared" si="6"/>
        <v>7</v>
      </c>
      <c r="G140" s="10" t="str">
        <f t="shared" si="7"/>
        <v>Sunday</v>
      </c>
      <c r="H140" s="9" t="str">
        <f t="shared" si="8"/>
        <v>July</v>
      </c>
      <c r="I140" t="s">
        <v>97</v>
      </c>
      <c r="J140" t="s">
        <v>66</v>
      </c>
      <c r="K140">
        <v>3761</v>
      </c>
      <c r="L140" s="5" t="str">
        <f>IF(OR(K140&lt;Answers!$C$16,Orders!K140&gt;Answers!$C$17),"Yes","No")</f>
        <v>No</v>
      </c>
      <c r="M140" s="14">
        <f>VLOOKUP(B140,Customers!$A$1:$E$2501,4,0)</f>
        <v>62</v>
      </c>
    </row>
    <row r="141" spans="1:13" x14ac:dyDescent="0.3">
      <c r="A141">
        <v>89864</v>
      </c>
      <c r="B141">
        <v>1150</v>
      </c>
      <c r="C141" s="1" t="s">
        <v>98</v>
      </c>
      <c r="D141" s="5">
        <v>45215</v>
      </c>
      <c r="E141" s="10">
        <v>7.7083333333333337E-2</v>
      </c>
      <c r="F141" s="15">
        <f t="shared" si="6"/>
        <v>10</v>
      </c>
      <c r="G141" s="10" t="str">
        <f t="shared" si="7"/>
        <v>Monday</v>
      </c>
      <c r="H141" s="9" t="str">
        <f t="shared" si="8"/>
        <v>October</v>
      </c>
      <c r="I141" t="s">
        <v>95</v>
      </c>
      <c r="J141" t="s">
        <v>52</v>
      </c>
      <c r="K141">
        <v>8022</v>
      </c>
      <c r="L141" s="5" t="str">
        <f>IF(OR(K141&lt;Answers!$C$16,Orders!K141&gt;Answers!$C$17),"Yes","No")</f>
        <v>No</v>
      </c>
      <c r="M141" s="14">
        <f>VLOOKUP(B141,Customers!$A$1:$E$2501,4,0)</f>
        <v>77</v>
      </c>
    </row>
    <row r="142" spans="1:13" x14ac:dyDescent="0.3">
      <c r="A142">
        <v>92317</v>
      </c>
      <c r="B142">
        <v>820</v>
      </c>
      <c r="C142" s="1" t="s">
        <v>106</v>
      </c>
      <c r="D142" s="5">
        <v>44967</v>
      </c>
      <c r="E142" s="10">
        <v>5.9722222222222225E-2</v>
      </c>
      <c r="F142" s="15">
        <f t="shared" si="6"/>
        <v>2</v>
      </c>
      <c r="G142" s="10" t="str">
        <f t="shared" si="7"/>
        <v>Friday</v>
      </c>
      <c r="H142" s="9" t="str">
        <f t="shared" si="8"/>
        <v>February</v>
      </c>
      <c r="I142" t="s">
        <v>97</v>
      </c>
      <c r="J142" t="s">
        <v>32</v>
      </c>
      <c r="K142">
        <v>6790</v>
      </c>
      <c r="L142" s="5" t="str">
        <f>IF(OR(K142&lt;Answers!$C$16,Orders!K142&gt;Answers!$C$17),"Yes","No")</f>
        <v>No</v>
      </c>
      <c r="M142" s="14">
        <f>VLOOKUP(B142,Customers!$A$1:$E$2501,4,0)</f>
        <v>29</v>
      </c>
    </row>
    <row r="143" spans="1:13" x14ac:dyDescent="0.3">
      <c r="A143">
        <v>93408</v>
      </c>
      <c r="B143">
        <v>1804</v>
      </c>
      <c r="C143" s="1" t="s">
        <v>100</v>
      </c>
      <c r="D143" s="5">
        <v>45235</v>
      </c>
      <c r="E143" s="10">
        <v>0.45416666666666666</v>
      </c>
      <c r="F143" s="15">
        <f t="shared" si="6"/>
        <v>11</v>
      </c>
      <c r="G143" s="10" t="str">
        <f t="shared" si="7"/>
        <v>Sunday</v>
      </c>
      <c r="H143" s="9" t="str">
        <f t="shared" si="8"/>
        <v>November</v>
      </c>
      <c r="I143" t="s">
        <v>96</v>
      </c>
      <c r="J143" t="s">
        <v>33</v>
      </c>
      <c r="K143">
        <v>6323</v>
      </c>
      <c r="L143" s="5" t="str">
        <f>IF(OR(K143&lt;Answers!$C$16,Orders!K143&gt;Answers!$C$17),"Yes","No")</f>
        <v>No</v>
      </c>
      <c r="M143" s="14">
        <f>VLOOKUP(B143,Customers!$A$1:$E$2501,4,0)</f>
        <v>81</v>
      </c>
    </row>
    <row r="144" spans="1:13" x14ac:dyDescent="0.3">
      <c r="A144">
        <v>94344</v>
      </c>
      <c r="B144">
        <v>1122</v>
      </c>
      <c r="C144" s="1" t="s">
        <v>108</v>
      </c>
      <c r="D144" s="5">
        <v>44999</v>
      </c>
      <c r="E144" s="10">
        <v>0.53402777777777777</v>
      </c>
      <c r="F144" s="15">
        <f t="shared" si="6"/>
        <v>3</v>
      </c>
      <c r="G144" s="10" t="str">
        <f t="shared" si="7"/>
        <v>Tuesday</v>
      </c>
      <c r="H144" s="9" t="str">
        <f t="shared" si="8"/>
        <v>March</v>
      </c>
      <c r="I144" t="s">
        <v>190</v>
      </c>
      <c r="J144" t="s">
        <v>67</v>
      </c>
      <c r="K144">
        <v>5649</v>
      </c>
      <c r="L144" s="5" t="str">
        <f>IF(OR(K144&lt;Answers!$C$16,Orders!K144&gt;Answers!$C$17),"Yes","No")</f>
        <v>No</v>
      </c>
      <c r="M144" s="14">
        <f>VLOOKUP(B144,Customers!$A$1:$E$2501,4,0)</f>
        <v>33</v>
      </c>
    </row>
    <row r="145" spans="1:13" x14ac:dyDescent="0.3">
      <c r="A145">
        <v>94709</v>
      </c>
      <c r="B145">
        <v>991</v>
      </c>
      <c r="C145" s="1" t="s">
        <v>98</v>
      </c>
      <c r="D145" s="5">
        <v>45061</v>
      </c>
      <c r="E145" s="10">
        <v>0.44166666666666665</v>
      </c>
      <c r="F145" s="15">
        <f t="shared" si="6"/>
        <v>5</v>
      </c>
      <c r="G145" s="10" t="str">
        <f t="shared" si="7"/>
        <v>Monday</v>
      </c>
      <c r="H145" s="9" t="str">
        <f t="shared" si="8"/>
        <v>May</v>
      </c>
      <c r="I145" t="s">
        <v>97</v>
      </c>
      <c r="J145" t="s">
        <v>68</v>
      </c>
      <c r="K145">
        <v>1850</v>
      </c>
      <c r="L145" s="5" t="str">
        <f>IF(OR(K145&lt;Answers!$C$16,Orders!K145&gt;Answers!$C$17),"Yes","No")</f>
        <v>No</v>
      </c>
      <c r="M145" s="14">
        <f>VLOOKUP(B145,Customers!$A$1:$E$2501,4,0)</f>
        <v>55</v>
      </c>
    </row>
    <row r="146" spans="1:13" x14ac:dyDescent="0.3">
      <c r="A146">
        <v>95054</v>
      </c>
      <c r="B146">
        <v>1666</v>
      </c>
      <c r="C146" s="1" t="s">
        <v>104</v>
      </c>
      <c r="D146" s="5">
        <v>45087</v>
      </c>
      <c r="E146" s="10">
        <v>0.52777777777777779</v>
      </c>
      <c r="F146" s="15">
        <f t="shared" si="6"/>
        <v>6</v>
      </c>
      <c r="G146" s="10" t="str">
        <f t="shared" si="7"/>
        <v>Saturday</v>
      </c>
      <c r="H146" s="9" t="str">
        <f t="shared" si="8"/>
        <v>June</v>
      </c>
      <c r="I146" t="s">
        <v>95</v>
      </c>
      <c r="J146" t="s">
        <v>42</v>
      </c>
      <c r="K146">
        <v>2320</v>
      </c>
      <c r="L146" s="5" t="str">
        <f>IF(OR(K146&lt;Answers!$C$16,Orders!K146&gt;Answers!$C$17),"Yes","No")</f>
        <v>No</v>
      </c>
      <c r="M146" s="14">
        <f>VLOOKUP(B146,Customers!$A$1:$E$2501,4,0)</f>
        <v>21</v>
      </c>
    </row>
    <row r="147" spans="1:13" x14ac:dyDescent="0.3">
      <c r="A147">
        <v>95500</v>
      </c>
      <c r="B147">
        <v>158</v>
      </c>
      <c r="C147" s="1" t="s">
        <v>98</v>
      </c>
      <c r="D147" s="5">
        <v>45010</v>
      </c>
      <c r="E147" s="10">
        <v>0.53541666666666665</v>
      </c>
      <c r="F147" s="15">
        <f t="shared" si="6"/>
        <v>3</v>
      </c>
      <c r="G147" s="10" t="str">
        <f t="shared" si="7"/>
        <v>Saturday</v>
      </c>
      <c r="H147" s="9" t="str">
        <f t="shared" si="8"/>
        <v>March</v>
      </c>
      <c r="I147" t="s">
        <v>190</v>
      </c>
      <c r="J147" t="s">
        <v>37</v>
      </c>
      <c r="K147">
        <v>7674</v>
      </c>
      <c r="L147" s="5" t="str">
        <f>IF(OR(K147&lt;Answers!$C$16,Orders!K147&gt;Answers!$C$17),"Yes","No")</f>
        <v>No</v>
      </c>
      <c r="M147" s="14">
        <f>VLOOKUP(B147,Customers!$A$1:$E$2501,4,0)</f>
        <v>41</v>
      </c>
    </row>
    <row r="148" spans="1:13" x14ac:dyDescent="0.3">
      <c r="A148">
        <v>95657</v>
      </c>
      <c r="B148">
        <v>985</v>
      </c>
      <c r="C148" s="1" t="s">
        <v>98</v>
      </c>
      <c r="D148" s="5">
        <v>45058</v>
      </c>
      <c r="E148" s="10">
        <v>0.4861111111111111</v>
      </c>
      <c r="F148" s="15">
        <f t="shared" si="6"/>
        <v>5</v>
      </c>
      <c r="G148" s="10" t="str">
        <f t="shared" si="7"/>
        <v>Friday</v>
      </c>
      <c r="H148" s="9" t="str">
        <f t="shared" si="8"/>
        <v>May</v>
      </c>
      <c r="I148" t="s">
        <v>95</v>
      </c>
      <c r="J148" t="s">
        <v>68</v>
      </c>
      <c r="K148">
        <v>8990</v>
      </c>
      <c r="L148" s="5" t="str">
        <f>IF(OR(K148&lt;Answers!$C$16,Orders!K148&gt;Answers!$C$17),"Yes","No")</f>
        <v>No</v>
      </c>
      <c r="M148" s="14">
        <f>VLOOKUP(B148,Customers!$A$1:$E$2501,4,0)</f>
        <v>69</v>
      </c>
    </row>
    <row r="149" spans="1:13" x14ac:dyDescent="0.3">
      <c r="A149">
        <v>98453</v>
      </c>
      <c r="B149">
        <v>1169</v>
      </c>
      <c r="C149" s="1" t="s">
        <v>99</v>
      </c>
      <c r="D149" s="5">
        <v>45045</v>
      </c>
      <c r="E149" s="10">
        <v>36811</v>
      </c>
      <c r="F149" s="15">
        <f t="shared" si="6"/>
        <v>4</v>
      </c>
      <c r="G149" s="10" t="str">
        <f t="shared" si="7"/>
        <v>Saturday</v>
      </c>
      <c r="H149" s="9" t="str">
        <f t="shared" si="8"/>
        <v>April</v>
      </c>
      <c r="I149" t="s">
        <v>190</v>
      </c>
      <c r="J149" t="s">
        <v>23</v>
      </c>
      <c r="K149">
        <v>2261</v>
      </c>
      <c r="L149" s="5" t="str">
        <f>IF(OR(K149&lt;Answers!$C$16,Orders!K149&gt;Answers!$C$17),"Yes","No")</f>
        <v>No</v>
      </c>
      <c r="M149" s="14">
        <f>VLOOKUP(B149,Customers!$A$1:$E$2501,4,0)</f>
        <v>26</v>
      </c>
    </row>
    <row r="150" spans="1:13" x14ac:dyDescent="0.3">
      <c r="A150">
        <v>98856</v>
      </c>
      <c r="B150">
        <v>129</v>
      </c>
      <c r="C150" s="1" t="s">
        <v>98</v>
      </c>
      <c r="D150" s="5">
        <v>45239</v>
      </c>
      <c r="E150" s="10">
        <v>36811</v>
      </c>
      <c r="F150" s="15">
        <f t="shared" si="6"/>
        <v>11</v>
      </c>
      <c r="G150" s="10" t="str">
        <f t="shared" si="7"/>
        <v>Thursday</v>
      </c>
      <c r="H150" s="9" t="str">
        <f t="shared" si="8"/>
        <v>November</v>
      </c>
      <c r="I150" t="s">
        <v>97</v>
      </c>
      <c r="J150" t="s">
        <v>21</v>
      </c>
      <c r="K150">
        <v>7750</v>
      </c>
      <c r="L150" s="5" t="str">
        <f>IF(OR(K150&lt;Answers!$C$16,Orders!K150&gt;Answers!$C$17),"Yes","No")</f>
        <v>No</v>
      </c>
      <c r="M150" s="14">
        <f>VLOOKUP(B150,Customers!$A$1:$E$2501,4,0)</f>
        <v>21</v>
      </c>
    </row>
    <row r="151" spans="1:13" x14ac:dyDescent="0.3">
      <c r="A151">
        <v>98968</v>
      </c>
      <c r="B151">
        <v>215</v>
      </c>
      <c r="C151" s="1" t="s">
        <v>98</v>
      </c>
      <c r="D151" s="5">
        <v>44949</v>
      </c>
      <c r="E151" s="10">
        <v>0.50902777777777775</v>
      </c>
      <c r="F151" s="15">
        <f t="shared" si="6"/>
        <v>1</v>
      </c>
      <c r="G151" s="10" t="str">
        <f t="shared" si="7"/>
        <v>Monday</v>
      </c>
      <c r="H151" s="9" t="str">
        <f t="shared" si="8"/>
        <v>January</v>
      </c>
      <c r="I151" t="s">
        <v>96</v>
      </c>
      <c r="J151" t="s">
        <v>40</v>
      </c>
      <c r="K151">
        <v>2161</v>
      </c>
      <c r="L151" s="5" t="str">
        <f>IF(OR(K151&lt;Answers!$C$16,Orders!K151&gt;Answers!$C$17),"Yes","No")</f>
        <v>No</v>
      </c>
      <c r="M151" s="14">
        <f>VLOOKUP(B151,Customers!$A$1:$E$2501,4,0)</f>
        <v>60</v>
      </c>
    </row>
    <row r="152" spans="1:13" x14ac:dyDescent="0.3">
      <c r="A152">
        <v>99495</v>
      </c>
      <c r="B152">
        <v>1957</v>
      </c>
      <c r="C152" s="1" t="s">
        <v>98</v>
      </c>
      <c r="D152" s="5">
        <v>45001</v>
      </c>
      <c r="E152" s="10">
        <v>0.47986111111111113</v>
      </c>
      <c r="F152" s="15">
        <f t="shared" si="6"/>
        <v>3</v>
      </c>
      <c r="G152" s="10" t="str">
        <f t="shared" si="7"/>
        <v>Thursday</v>
      </c>
      <c r="H152" s="9" t="str">
        <f t="shared" si="8"/>
        <v>March</v>
      </c>
      <c r="I152" t="s">
        <v>97</v>
      </c>
      <c r="J152" t="s">
        <v>18</v>
      </c>
      <c r="K152">
        <v>1403</v>
      </c>
      <c r="L152" s="5" t="str">
        <f>IF(OR(K152&lt;Answers!$C$16,Orders!K152&gt;Answers!$C$17),"Yes","No")</f>
        <v>No</v>
      </c>
      <c r="M152" s="14">
        <f>VLOOKUP(B152,Customers!$A$1:$E$2501,4,0)</f>
        <v>42</v>
      </c>
    </row>
    <row r="153" spans="1:13" x14ac:dyDescent="0.3">
      <c r="A153">
        <v>101471</v>
      </c>
      <c r="B153">
        <v>584</v>
      </c>
      <c r="C153" s="1" t="s">
        <v>98</v>
      </c>
      <c r="D153" s="5">
        <v>45255</v>
      </c>
      <c r="E153" s="10">
        <v>36861</v>
      </c>
      <c r="F153" s="15">
        <f t="shared" si="6"/>
        <v>11</v>
      </c>
      <c r="G153" s="10" t="str">
        <f t="shared" si="7"/>
        <v>Saturday</v>
      </c>
      <c r="H153" s="9" t="str">
        <f t="shared" si="8"/>
        <v>November</v>
      </c>
      <c r="I153" t="s">
        <v>95</v>
      </c>
      <c r="J153" t="s">
        <v>34</v>
      </c>
      <c r="K153">
        <v>9105</v>
      </c>
      <c r="L153" s="5" t="str">
        <f>IF(OR(K153&lt;Answers!$C$16,Orders!K153&gt;Answers!$C$17),"Yes","No")</f>
        <v>No</v>
      </c>
      <c r="M153" s="14">
        <f>VLOOKUP(B153,Customers!$A$1:$E$2501,4,0)</f>
        <v>70</v>
      </c>
    </row>
    <row r="154" spans="1:13" x14ac:dyDescent="0.3">
      <c r="A154">
        <v>101807</v>
      </c>
      <c r="B154">
        <v>1181</v>
      </c>
      <c r="C154" s="1" t="s">
        <v>105</v>
      </c>
      <c r="D154" s="5">
        <v>45232</v>
      </c>
      <c r="E154" s="10">
        <v>0.51875000000000004</v>
      </c>
      <c r="F154" s="15">
        <f t="shared" si="6"/>
        <v>11</v>
      </c>
      <c r="G154" s="10" t="str">
        <f t="shared" si="7"/>
        <v>Thursday</v>
      </c>
      <c r="H154" s="9" t="str">
        <f t="shared" si="8"/>
        <v>November</v>
      </c>
      <c r="I154" t="s">
        <v>190</v>
      </c>
      <c r="J154" t="s">
        <v>43</v>
      </c>
      <c r="K154">
        <v>3541</v>
      </c>
      <c r="L154" s="5" t="str">
        <f>IF(OR(K154&lt;Answers!$C$16,Orders!K154&gt;Answers!$C$17),"Yes","No")</f>
        <v>No</v>
      </c>
      <c r="M154" s="14">
        <f>VLOOKUP(B154,Customers!$A$1:$E$2501,4,0)</f>
        <v>68</v>
      </c>
    </row>
    <row r="155" spans="1:13" x14ac:dyDescent="0.3">
      <c r="A155">
        <v>101815</v>
      </c>
      <c r="B155">
        <v>520</v>
      </c>
      <c r="C155" s="1" t="s">
        <v>104</v>
      </c>
      <c r="D155" s="5">
        <v>45187</v>
      </c>
      <c r="E155" s="10">
        <v>6.7361111111111108E-2</v>
      </c>
      <c r="F155" s="15">
        <f t="shared" si="6"/>
        <v>9</v>
      </c>
      <c r="G155" s="10" t="str">
        <f t="shared" si="7"/>
        <v>Monday</v>
      </c>
      <c r="H155" s="9" t="str">
        <f t="shared" si="8"/>
        <v>September</v>
      </c>
      <c r="I155" t="s">
        <v>190</v>
      </c>
      <c r="J155" t="s">
        <v>27</v>
      </c>
      <c r="K155">
        <v>5420</v>
      </c>
      <c r="L155" s="5" t="str">
        <f>IF(OR(K155&lt;Answers!$C$16,Orders!K155&gt;Answers!$C$17),"Yes","No")</f>
        <v>No</v>
      </c>
      <c r="M155" s="14">
        <f>VLOOKUP(B155,Customers!$A$1:$E$2501,4,0)</f>
        <v>81</v>
      </c>
    </row>
    <row r="156" spans="1:13" x14ac:dyDescent="0.3">
      <c r="A156">
        <v>102053</v>
      </c>
      <c r="B156">
        <v>1739</v>
      </c>
      <c r="C156" s="1" t="s">
        <v>104</v>
      </c>
      <c r="D156" s="5">
        <v>45155</v>
      </c>
      <c r="E156" s="10">
        <v>0.47152777777777777</v>
      </c>
      <c r="F156" s="15">
        <f t="shared" si="6"/>
        <v>8</v>
      </c>
      <c r="G156" s="10" t="str">
        <f t="shared" si="7"/>
        <v>Thursday</v>
      </c>
      <c r="H156" s="9" t="str">
        <f t="shared" si="8"/>
        <v>August</v>
      </c>
      <c r="I156" t="s">
        <v>95</v>
      </c>
      <c r="J156" t="s">
        <v>13</v>
      </c>
      <c r="K156">
        <v>3746</v>
      </c>
      <c r="L156" s="5" t="str">
        <f>IF(OR(K156&lt;Answers!$C$16,Orders!K156&gt;Answers!$C$17),"Yes","No")</f>
        <v>No</v>
      </c>
      <c r="M156" s="14">
        <f>VLOOKUP(B156,Customers!$A$1:$E$2501,4,0)</f>
        <v>44</v>
      </c>
    </row>
    <row r="157" spans="1:13" x14ac:dyDescent="0.3">
      <c r="A157">
        <v>102252</v>
      </c>
      <c r="B157">
        <v>1812</v>
      </c>
      <c r="C157" s="1" t="s">
        <v>104</v>
      </c>
      <c r="D157" s="5">
        <v>45238</v>
      </c>
      <c r="E157" s="10">
        <v>0.51597222222222228</v>
      </c>
      <c r="F157" s="15">
        <f t="shared" si="6"/>
        <v>11</v>
      </c>
      <c r="G157" s="10" t="str">
        <f t="shared" si="7"/>
        <v>Wednesday</v>
      </c>
      <c r="H157" s="9" t="str">
        <f t="shared" si="8"/>
        <v>November</v>
      </c>
      <c r="I157" t="s">
        <v>96</v>
      </c>
      <c r="J157" t="s">
        <v>42</v>
      </c>
      <c r="K157">
        <v>2944</v>
      </c>
      <c r="L157" s="5" t="str">
        <f>IF(OR(K157&lt;Answers!$C$16,Orders!K157&gt;Answers!$C$17),"Yes","No")</f>
        <v>No</v>
      </c>
      <c r="M157" s="14">
        <f>VLOOKUP(B157,Customers!$A$1:$E$2501,4,0)</f>
        <v>49</v>
      </c>
    </row>
    <row r="158" spans="1:13" x14ac:dyDescent="0.3">
      <c r="A158">
        <v>102931</v>
      </c>
      <c r="B158">
        <v>1185</v>
      </c>
      <c r="C158" s="1" t="s">
        <v>100</v>
      </c>
      <c r="D158" s="5">
        <v>45092</v>
      </c>
      <c r="E158" s="10">
        <v>0.45624999999999999</v>
      </c>
      <c r="F158" s="15">
        <f t="shared" si="6"/>
        <v>6</v>
      </c>
      <c r="G158" s="10" t="str">
        <f t="shared" si="7"/>
        <v>Thursday</v>
      </c>
      <c r="H158" s="9" t="str">
        <f t="shared" si="8"/>
        <v>June</v>
      </c>
      <c r="I158" t="s">
        <v>190</v>
      </c>
      <c r="J158" t="s">
        <v>45</v>
      </c>
      <c r="K158">
        <v>3433</v>
      </c>
      <c r="L158" s="5" t="str">
        <f>IF(OR(K158&lt;Answers!$C$16,Orders!K158&gt;Answers!$C$17),"Yes","No")</f>
        <v>No</v>
      </c>
      <c r="M158" s="14">
        <f>VLOOKUP(B158,Customers!$A$1:$E$2501,4,0)</f>
        <v>34</v>
      </c>
    </row>
    <row r="159" spans="1:13" x14ac:dyDescent="0.3">
      <c r="A159">
        <v>103462</v>
      </c>
      <c r="B159">
        <v>1280</v>
      </c>
      <c r="C159" s="1" t="s">
        <v>98</v>
      </c>
      <c r="D159" s="5">
        <v>45212</v>
      </c>
      <c r="E159" s="10">
        <v>0.52430555555555558</v>
      </c>
      <c r="F159" s="15">
        <f t="shared" si="6"/>
        <v>10</v>
      </c>
      <c r="G159" s="10" t="str">
        <f t="shared" si="7"/>
        <v>Friday</v>
      </c>
      <c r="H159" s="9" t="str">
        <f t="shared" si="8"/>
        <v>October</v>
      </c>
      <c r="I159" t="s">
        <v>190</v>
      </c>
      <c r="J159" t="s">
        <v>7</v>
      </c>
      <c r="K159">
        <v>9693</v>
      </c>
      <c r="L159" s="5" t="str">
        <f>IF(OR(K159&lt;Answers!$C$16,Orders!K159&gt;Answers!$C$17),"Yes","No")</f>
        <v>No</v>
      </c>
      <c r="M159" s="14">
        <f>VLOOKUP(B159,Customers!$A$1:$E$2501,4,0)</f>
        <v>69</v>
      </c>
    </row>
    <row r="160" spans="1:13" x14ac:dyDescent="0.3">
      <c r="A160">
        <v>103711</v>
      </c>
      <c r="B160">
        <v>1972</v>
      </c>
      <c r="C160" s="1" t="s">
        <v>98</v>
      </c>
      <c r="D160" s="5">
        <v>45091</v>
      </c>
      <c r="E160" s="10">
        <v>0.53125</v>
      </c>
      <c r="F160" s="15">
        <f t="shared" si="6"/>
        <v>6</v>
      </c>
      <c r="G160" s="10" t="str">
        <f t="shared" si="7"/>
        <v>Wednesday</v>
      </c>
      <c r="H160" s="9" t="str">
        <f t="shared" si="8"/>
        <v>June</v>
      </c>
      <c r="I160" t="s">
        <v>97</v>
      </c>
      <c r="J160" t="s">
        <v>45</v>
      </c>
      <c r="K160">
        <v>9524</v>
      </c>
      <c r="L160" s="5" t="str">
        <f>IF(OR(K160&lt;Answers!$C$16,Orders!K160&gt;Answers!$C$17),"Yes","No")</f>
        <v>No</v>
      </c>
      <c r="M160" s="14">
        <f>VLOOKUP(B160,Customers!$A$1:$E$2501,4,0)</f>
        <v>37</v>
      </c>
    </row>
    <row r="161" spans="1:13" x14ac:dyDescent="0.3">
      <c r="A161">
        <v>103812</v>
      </c>
      <c r="B161">
        <v>1047</v>
      </c>
      <c r="C161" s="1" t="s">
        <v>106</v>
      </c>
      <c r="D161" s="5">
        <v>45273</v>
      </c>
      <c r="E161" s="10">
        <v>0.52083333333333337</v>
      </c>
      <c r="F161" s="15">
        <f t="shared" si="6"/>
        <v>12</v>
      </c>
      <c r="G161" s="10" t="str">
        <f t="shared" si="7"/>
        <v>Wednesday</v>
      </c>
      <c r="H161" s="9" t="str">
        <f t="shared" si="8"/>
        <v>December</v>
      </c>
      <c r="I161" t="s">
        <v>97</v>
      </c>
      <c r="J161" t="s">
        <v>46</v>
      </c>
      <c r="K161">
        <v>3954</v>
      </c>
      <c r="L161" s="5" t="str">
        <f>IF(OR(K161&lt;Answers!$C$16,Orders!K161&gt;Answers!$C$17),"Yes","No")</f>
        <v>No</v>
      </c>
      <c r="M161" s="14">
        <f>VLOOKUP(B161,Customers!$A$1:$E$2501,4,0)</f>
        <v>20</v>
      </c>
    </row>
    <row r="162" spans="1:13" x14ac:dyDescent="0.3">
      <c r="A162">
        <v>104755</v>
      </c>
      <c r="B162">
        <v>1663</v>
      </c>
      <c r="C162" s="1" t="s">
        <v>103</v>
      </c>
      <c r="D162" s="5">
        <v>45066</v>
      </c>
      <c r="E162" s="10">
        <v>0.52986111111111112</v>
      </c>
      <c r="F162" s="15">
        <f t="shared" si="6"/>
        <v>5</v>
      </c>
      <c r="G162" s="10" t="str">
        <f t="shared" si="7"/>
        <v>Saturday</v>
      </c>
      <c r="H162" s="9" t="str">
        <f t="shared" si="8"/>
        <v>May</v>
      </c>
      <c r="I162" t="s">
        <v>95</v>
      </c>
      <c r="J162" t="s">
        <v>17</v>
      </c>
      <c r="K162">
        <v>4423</v>
      </c>
      <c r="L162" s="5" t="str">
        <f>IF(OR(K162&lt;Answers!$C$16,Orders!K162&gt;Answers!$C$17),"Yes","No")</f>
        <v>No</v>
      </c>
      <c r="M162" s="14">
        <f>VLOOKUP(B162,Customers!$A$1:$E$2501,4,0)</f>
        <v>60</v>
      </c>
    </row>
    <row r="163" spans="1:13" x14ac:dyDescent="0.3">
      <c r="A163">
        <v>105735</v>
      </c>
      <c r="B163">
        <v>1793</v>
      </c>
      <c r="C163" s="1" t="s">
        <v>99</v>
      </c>
      <c r="D163" s="5">
        <v>45254</v>
      </c>
      <c r="E163" s="10">
        <v>7.7083333333333337E-2</v>
      </c>
      <c r="F163" s="15">
        <f t="shared" si="6"/>
        <v>11</v>
      </c>
      <c r="G163" s="10" t="str">
        <f t="shared" si="7"/>
        <v>Friday</v>
      </c>
      <c r="H163" s="9" t="str">
        <f t="shared" si="8"/>
        <v>November</v>
      </c>
      <c r="I163" t="s">
        <v>96</v>
      </c>
      <c r="J163" t="s">
        <v>69</v>
      </c>
      <c r="K163">
        <v>5861</v>
      </c>
      <c r="L163" s="5" t="str">
        <f>IF(OR(K163&lt;Answers!$C$16,Orders!K163&gt;Answers!$C$17),"Yes","No")</f>
        <v>No</v>
      </c>
      <c r="M163" s="14">
        <f>VLOOKUP(B163,Customers!$A$1:$E$2501,4,0)</f>
        <v>66</v>
      </c>
    </row>
    <row r="164" spans="1:13" x14ac:dyDescent="0.3">
      <c r="A164">
        <v>106294</v>
      </c>
      <c r="B164">
        <v>1011</v>
      </c>
      <c r="C164" s="1" t="s">
        <v>99</v>
      </c>
      <c r="D164" s="5">
        <v>45020</v>
      </c>
      <c r="E164" s="10">
        <v>0.45763888888888887</v>
      </c>
      <c r="F164" s="15">
        <f t="shared" si="6"/>
        <v>4</v>
      </c>
      <c r="G164" s="10" t="str">
        <f t="shared" si="7"/>
        <v>Tuesday</v>
      </c>
      <c r="H164" s="9" t="str">
        <f t="shared" si="8"/>
        <v>April</v>
      </c>
      <c r="I164" t="s">
        <v>190</v>
      </c>
      <c r="J164" t="s">
        <v>70</v>
      </c>
      <c r="K164">
        <v>4430</v>
      </c>
      <c r="L164" s="5" t="str">
        <f>IF(OR(K164&lt;Answers!$C$16,Orders!K164&gt;Answers!$C$17),"Yes","No")</f>
        <v>No</v>
      </c>
      <c r="M164" s="14">
        <f>VLOOKUP(B164,Customers!$A$1:$E$2501,4,0)</f>
        <v>20</v>
      </c>
    </row>
    <row r="165" spans="1:13" x14ac:dyDescent="0.3">
      <c r="A165">
        <v>106529</v>
      </c>
      <c r="B165">
        <v>723</v>
      </c>
      <c r="C165" s="1" t="s">
        <v>107</v>
      </c>
      <c r="D165" s="5">
        <v>44953</v>
      </c>
      <c r="E165" s="10">
        <v>36537</v>
      </c>
      <c r="F165" s="15">
        <f t="shared" si="6"/>
        <v>1</v>
      </c>
      <c r="G165" s="10" t="str">
        <f t="shared" si="7"/>
        <v>Friday</v>
      </c>
      <c r="H165" s="9" t="str">
        <f t="shared" si="8"/>
        <v>January</v>
      </c>
      <c r="I165" t="s">
        <v>95</v>
      </c>
      <c r="J165" t="s">
        <v>42</v>
      </c>
      <c r="K165">
        <v>6130</v>
      </c>
      <c r="L165" s="5" t="str">
        <f>IF(OR(K165&lt;Answers!$C$16,Orders!K165&gt;Answers!$C$17),"Yes","No")</f>
        <v>No</v>
      </c>
      <c r="M165" s="14">
        <f>VLOOKUP(B165,Customers!$A$1:$E$2501,4,0)</f>
        <v>80</v>
      </c>
    </row>
    <row r="166" spans="1:13" x14ac:dyDescent="0.3">
      <c r="A166">
        <v>108586</v>
      </c>
      <c r="B166">
        <v>1584</v>
      </c>
      <c r="C166" s="1" t="s">
        <v>98</v>
      </c>
      <c r="D166" s="5">
        <v>45019</v>
      </c>
      <c r="E166" s="10">
        <v>0.10138888888888889</v>
      </c>
      <c r="F166" s="15">
        <f t="shared" si="6"/>
        <v>4</v>
      </c>
      <c r="G166" s="10" t="str">
        <f t="shared" si="7"/>
        <v>Monday</v>
      </c>
      <c r="H166" s="9" t="str">
        <f t="shared" si="8"/>
        <v>April</v>
      </c>
      <c r="I166" t="s">
        <v>95</v>
      </c>
      <c r="J166" t="s">
        <v>44</v>
      </c>
      <c r="K166">
        <v>4335</v>
      </c>
      <c r="L166" s="5" t="str">
        <f>IF(OR(K166&lt;Answers!$C$16,Orders!K166&gt;Answers!$C$17),"Yes","No")</f>
        <v>No</v>
      </c>
      <c r="M166" s="14">
        <f>VLOOKUP(B166,Customers!$A$1:$E$2501,4,0)</f>
        <v>30</v>
      </c>
    </row>
    <row r="167" spans="1:13" x14ac:dyDescent="0.3">
      <c r="A167">
        <v>109103</v>
      </c>
      <c r="B167">
        <v>856</v>
      </c>
      <c r="C167" s="1" t="s">
        <v>98</v>
      </c>
      <c r="D167" s="5">
        <v>44986</v>
      </c>
      <c r="E167" s="10">
        <v>0.47847222222222224</v>
      </c>
      <c r="F167" s="15">
        <f t="shared" si="6"/>
        <v>3</v>
      </c>
      <c r="G167" s="10" t="str">
        <f t="shared" si="7"/>
        <v>Wednesday</v>
      </c>
      <c r="H167" s="9" t="str">
        <f t="shared" si="8"/>
        <v>March</v>
      </c>
      <c r="I167" t="s">
        <v>96</v>
      </c>
      <c r="J167" t="s">
        <v>7</v>
      </c>
      <c r="K167">
        <v>936</v>
      </c>
      <c r="L167" s="5" t="str">
        <f>IF(OR(K167&lt;Answers!$C$16,Orders!K167&gt;Answers!$C$17),"Yes","No")</f>
        <v>No</v>
      </c>
      <c r="M167" s="14">
        <f>VLOOKUP(B167,Customers!$A$1:$E$2501,4,0)</f>
        <v>59</v>
      </c>
    </row>
    <row r="168" spans="1:13" x14ac:dyDescent="0.3">
      <c r="A168">
        <v>109547</v>
      </c>
      <c r="B168">
        <v>1223</v>
      </c>
      <c r="C168" s="1" t="s">
        <v>98</v>
      </c>
      <c r="D168" s="5">
        <v>44965</v>
      </c>
      <c r="E168" s="10">
        <v>36811</v>
      </c>
      <c r="F168" s="15">
        <f t="shared" si="6"/>
        <v>2</v>
      </c>
      <c r="G168" s="10" t="str">
        <f t="shared" si="7"/>
        <v>Wednesday</v>
      </c>
      <c r="H168" s="9" t="str">
        <f t="shared" si="8"/>
        <v>February</v>
      </c>
      <c r="I168" t="s">
        <v>96</v>
      </c>
      <c r="J168" t="s">
        <v>45</v>
      </c>
      <c r="K168">
        <v>719</v>
      </c>
      <c r="L168" s="5" t="str">
        <f>IF(OR(K168&lt;Answers!$C$16,Orders!K168&gt;Answers!$C$17),"Yes","No")</f>
        <v>No</v>
      </c>
      <c r="M168" s="14">
        <f>VLOOKUP(B168,Customers!$A$1:$E$2501,4,0)</f>
        <v>63</v>
      </c>
    </row>
    <row r="169" spans="1:13" x14ac:dyDescent="0.3">
      <c r="A169">
        <v>110341</v>
      </c>
      <c r="B169">
        <v>1628</v>
      </c>
      <c r="C169" s="1" t="s">
        <v>98</v>
      </c>
      <c r="D169" s="5">
        <v>45045</v>
      </c>
      <c r="E169" s="10">
        <v>0.53819444444444442</v>
      </c>
      <c r="F169" s="15">
        <f t="shared" si="6"/>
        <v>4</v>
      </c>
      <c r="G169" s="10" t="str">
        <f t="shared" si="7"/>
        <v>Saturday</v>
      </c>
      <c r="H169" s="9" t="str">
        <f t="shared" si="8"/>
        <v>April</v>
      </c>
      <c r="I169" t="s">
        <v>97</v>
      </c>
      <c r="J169" t="s">
        <v>10</v>
      </c>
      <c r="K169">
        <v>1411</v>
      </c>
      <c r="L169" s="5" t="str">
        <f>IF(OR(K169&lt;Answers!$C$16,Orders!K169&gt;Answers!$C$17),"Yes","No")</f>
        <v>No</v>
      </c>
      <c r="M169" s="14">
        <f>VLOOKUP(B169,Customers!$A$1:$E$2501,4,0)</f>
        <v>79</v>
      </c>
    </row>
    <row r="170" spans="1:13" x14ac:dyDescent="0.3">
      <c r="A170">
        <v>111992</v>
      </c>
      <c r="B170">
        <v>1515</v>
      </c>
      <c r="C170" s="1" t="s">
        <v>98</v>
      </c>
      <c r="D170" s="5">
        <v>45011</v>
      </c>
      <c r="E170" s="10">
        <v>36567</v>
      </c>
      <c r="F170" s="15">
        <f t="shared" si="6"/>
        <v>3</v>
      </c>
      <c r="G170" s="10" t="str">
        <f t="shared" si="7"/>
        <v>Sunday</v>
      </c>
      <c r="H170" s="9" t="str">
        <f t="shared" si="8"/>
        <v>March</v>
      </c>
      <c r="I170" t="s">
        <v>96</v>
      </c>
      <c r="J170" t="s">
        <v>71</v>
      </c>
      <c r="K170">
        <v>9312</v>
      </c>
      <c r="L170" s="5" t="str">
        <f>IF(OR(K170&lt;Answers!$C$16,Orders!K170&gt;Answers!$C$17),"Yes","No")</f>
        <v>No</v>
      </c>
      <c r="M170" s="14">
        <f>VLOOKUP(B170,Customers!$A$1:$E$2501,4,0)</f>
        <v>54</v>
      </c>
    </row>
    <row r="171" spans="1:13" x14ac:dyDescent="0.3">
      <c r="A171">
        <v>112219</v>
      </c>
      <c r="B171">
        <v>1857</v>
      </c>
      <c r="C171" s="1" t="s">
        <v>99</v>
      </c>
      <c r="D171" s="5">
        <v>45065</v>
      </c>
      <c r="E171" s="10">
        <v>36718</v>
      </c>
      <c r="F171" s="15">
        <f t="shared" si="6"/>
        <v>5</v>
      </c>
      <c r="G171" s="10" t="str">
        <f t="shared" si="7"/>
        <v>Friday</v>
      </c>
      <c r="H171" s="9" t="str">
        <f t="shared" si="8"/>
        <v>May</v>
      </c>
      <c r="I171" t="s">
        <v>190</v>
      </c>
      <c r="J171" t="s">
        <v>26</v>
      </c>
      <c r="K171">
        <v>7425</v>
      </c>
      <c r="L171" s="5" t="str">
        <f>IF(OR(K171&lt;Answers!$C$16,Orders!K171&gt;Answers!$C$17),"Yes","No")</f>
        <v>No</v>
      </c>
      <c r="M171" s="14">
        <f>VLOOKUP(B171,Customers!$A$1:$E$2501,4,0)</f>
        <v>75</v>
      </c>
    </row>
    <row r="172" spans="1:13" x14ac:dyDescent="0.3">
      <c r="A172">
        <v>112565</v>
      </c>
      <c r="B172">
        <v>1485</v>
      </c>
      <c r="C172" s="1" t="s">
        <v>104</v>
      </c>
      <c r="D172" s="5">
        <v>45041</v>
      </c>
      <c r="E172" s="10">
        <v>0.51666666666666672</v>
      </c>
      <c r="F172" s="15">
        <f t="shared" si="6"/>
        <v>4</v>
      </c>
      <c r="G172" s="10" t="str">
        <f t="shared" si="7"/>
        <v>Tuesday</v>
      </c>
      <c r="H172" s="9" t="str">
        <f t="shared" si="8"/>
        <v>April</v>
      </c>
      <c r="I172" t="s">
        <v>97</v>
      </c>
      <c r="J172" t="s">
        <v>12</v>
      </c>
      <c r="K172">
        <v>6159</v>
      </c>
      <c r="L172" s="5" t="str">
        <f>IF(OR(K172&lt;Answers!$C$16,Orders!K172&gt;Answers!$C$17),"Yes","No")</f>
        <v>No</v>
      </c>
      <c r="M172" s="14">
        <f>VLOOKUP(B172,Customers!$A$1:$E$2501,4,0)</f>
        <v>38</v>
      </c>
    </row>
    <row r="173" spans="1:13" x14ac:dyDescent="0.3">
      <c r="A173">
        <v>112919</v>
      </c>
      <c r="B173">
        <v>1262</v>
      </c>
      <c r="C173" s="1" t="s">
        <v>98</v>
      </c>
      <c r="D173" s="5">
        <v>45141</v>
      </c>
      <c r="E173" s="10">
        <v>36781</v>
      </c>
      <c r="F173" s="15">
        <f t="shared" si="6"/>
        <v>8</v>
      </c>
      <c r="G173" s="10" t="str">
        <f t="shared" si="7"/>
        <v>Thursday</v>
      </c>
      <c r="H173" s="9" t="str">
        <f t="shared" si="8"/>
        <v>August</v>
      </c>
      <c r="I173" t="s">
        <v>95</v>
      </c>
      <c r="J173" t="s">
        <v>72</v>
      </c>
      <c r="K173">
        <v>3155</v>
      </c>
      <c r="L173" s="5" t="str">
        <f>IF(OR(K173&lt;Answers!$C$16,Orders!K173&gt;Answers!$C$17),"Yes","No")</f>
        <v>No</v>
      </c>
      <c r="M173" s="14">
        <f>VLOOKUP(B173,Customers!$A$1:$E$2501,4,0)</f>
        <v>41</v>
      </c>
    </row>
    <row r="174" spans="1:13" x14ac:dyDescent="0.3">
      <c r="A174">
        <v>113132</v>
      </c>
      <c r="B174">
        <v>211</v>
      </c>
      <c r="C174" s="1" t="s">
        <v>99</v>
      </c>
      <c r="D174" s="5">
        <v>45266</v>
      </c>
      <c r="E174" s="10">
        <v>0.49791666666666667</v>
      </c>
      <c r="F174" s="15">
        <f t="shared" si="6"/>
        <v>12</v>
      </c>
      <c r="G174" s="10" t="str">
        <f t="shared" si="7"/>
        <v>Wednesday</v>
      </c>
      <c r="H174" s="9" t="str">
        <f t="shared" si="8"/>
        <v>December</v>
      </c>
      <c r="I174" t="s">
        <v>190</v>
      </c>
      <c r="J174" t="s">
        <v>51</v>
      </c>
      <c r="K174">
        <v>2270</v>
      </c>
      <c r="L174" s="5" t="str">
        <f>IF(OR(K174&lt;Answers!$C$16,Orders!K174&gt;Answers!$C$17),"Yes","No")</f>
        <v>No</v>
      </c>
      <c r="M174" s="14">
        <f>VLOOKUP(B174,Customers!$A$1:$E$2501,4,0)</f>
        <v>79</v>
      </c>
    </row>
    <row r="175" spans="1:13" x14ac:dyDescent="0.3">
      <c r="A175">
        <v>113406</v>
      </c>
      <c r="B175">
        <v>1911</v>
      </c>
      <c r="C175" s="1" t="s">
        <v>100</v>
      </c>
      <c r="D175" s="5">
        <v>44987</v>
      </c>
      <c r="E175" s="10">
        <v>7.4999999999999997E-2</v>
      </c>
      <c r="F175" s="15">
        <f t="shared" si="6"/>
        <v>3</v>
      </c>
      <c r="G175" s="10" t="str">
        <f t="shared" si="7"/>
        <v>Thursday</v>
      </c>
      <c r="H175" s="9" t="str">
        <f t="shared" si="8"/>
        <v>March</v>
      </c>
      <c r="I175" t="s">
        <v>95</v>
      </c>
      <c r="J175" t="s">
        <v>25</v>
      </c>
      <c r="K175">
        <v>2500</v>
      </c>
      <c r="L175" s="5" t="str">
        <f>IF(OR(K175&lt;Answers!$C$16,Orders!K175&gt;Answers!$C$17),"Yes","No")</f>
        <v>No</v>
      </c>
      <c r="M175" s="14">
        <f>VLOOKUP(B175,Customers!$A$1:$E$2501,4,0)</f>
        <v>78</v>
      </c>
    </row>
    <row r="176" spans="1:13" x14ac:dyDescent="0.3">
      <c r="A176">
        <v>114309</v>
      </c>
      <c r="B176">
        <v>139</v>
      </c>
      <c r="C176" s="1" t="s">
        <v>98</v>
      </c>
      <c r="D176" s="5">
        <v>45102</v>
      </c>
      <c r="E176" s="10">
        <v>7.0833333333333331E-2</v>
      </c>
      <c r="F176" s="15">
        <f t="shared" si="6"/>
        <v>6</v>
      </c>
      <c r="G176" s="10" t="str">
        <f t="shared" si="7"/>
        <v>Sunday</v>
      </c>
      <c r="H176" s="9" t="str">
        <f t="shared" si="8"/>
        <v>June</v>
      </c>
      <c r="I176" t="s">
        <v>95</v>
      </c>
      <c r="J176" t="s">
        <v>73</v>
      </c>
      <c r="K176">
        <v>5868</v>
      </c>
      <c r="L176" s="5" t="str">
        <f>IF(OR(K176&lt;Answers!$C$16,Orders!K176&gt;Answers!$C$17),"Yes","No")</f>
        <v>No</v>
      </c>
      <c r="M176" s="14">
        <f>VLOOKUP(B176,Customers!$A$1:$E$2501,4,0)</f>
        <v>75</v>
      </c>
    </row>
    <row r="177" spans="1:13" x14ac:dyDescent="0.3">
      <c r="A177">
        <v>114621</v>
      </c>
      <c r="B177">
        <v>501</v>
      </c>
      <c r="C177" s="1" t="s">
        <v>104</v>
      </c>
      <c r="D177" s="5">
        <v>45283</v>
      </c>
      <c r="E177" s="10">
        <v>0.49375000000000002</v>
      </c>
      <c r="F177" s="15">
        <f t="shared" si="6"/>
        <v>12</v>
      </c>
      <c r="G177" s="10" t="str">
        <f t="shared" si="7"/>
        <v>Saturday</v>
      </c>
      <c r="H177" s="9" t="str">
        <f t="shared" si="8"/>
        <v>December</v>
      </c>
      <c r="I177" t="s">
        <v>190</v>
      </c>
      <c r="J177" t="s">
        <v>74</v>
      </c>
      <c r="K177">
        <v>3842</v>
      </c>
      <c r="L177" s="5" t="str">
        <f>IF(OR(K177&lt;Answers!$C$16,Orders!K177&gt;Answers!$C$17),"Yes","No")</f>
        <v>No</v>
      </c>
      <c r="M177" s="14">
        <f>VLOOKUP(B177,Customers!$A$1:$E$2501,4,0)</f>
        <v>45</v>
      </c>
    </row>
    <row r="178" spans="1:13" x14ac:dyDescent="0.3">
      <c r="A178">
        <v>115590</v>
      </c>
      <c r="B178">
        <v>517</v>
      </c>
      <c r="C178" s="1" t="s">
        <v>100</v>
      </c>
      <c r="D178" s="5">
        <v>44959</v>
      </c>
      <c r="E178" s="10">
        <v>0.49444444444444446</v>
      </c>
      <c r="F178" s="15">
        <f t="shared" si="6"/>
        <v>2</v>
      </c>
      <c r="G178" s="10" t="str">
        <f t="shared" si="7"/>
        <v>Thursday</v>
      </c>
      <c r="H178" s="9" t="str">
        <f t="shared" si="8"/>
        <v>February</v>
      </c>
      <c r="I178" t="s">
        <v>95</v>
      </c>
      <c r="J178" t="s">
        <v>72</v>
      </c>
      <c r="K178">
        <v>9953</v>
      </c>
      <c r="L178" s="5" t="str">
        <f>IF(OR(K178&lt;Answers!$C$16,Orders!K178&gt;Answers!$C$17),"Yes","No")</f>
        <v>No</v>
      </c>
      <c r="M178" s="14">
        <f>VLOOKUP(B178,Customers!$A$1:$E$2501,4,0)</f>
        <v>77</v>
      </c>
    </row>
    <row r="179" spans="1:13" x14ac:dyDescent="0.3">
      <c r="A179">
        <v>116342</v>
      </c>
      <c r="B179">
        <v>1210</v>
      </c>
      <c r="C179" s="1" t="s">
        <v>104</v>
      </c>
      <c r="D179" s="5">
        <v>45277</v>
      </c>
      <c r="E179" s="10">
        <v>0.54027777777777775</v>
      </c>
      <c r="F179" s="15">
        <f t="shared" si="6"/>
        <v>12</v>
      </c>
      <c r="G179" s="10" t="str">
        <f t="shared" si="7"/>
        <v>Sunday</v>
      </c>
      <c r="H179" s="9" t="str">
        <f t="shared" si="8"/>
        <v>December</v>
      </c>
      <c r="I179" t="s">
        <v>95</v>
      </c>
      <c r="J179" t="s">
        <v>75</v>
      </c>
      <c r="K179">
        <v>2323</v>
      </c>
      <c r="L179" s="5" t="str">
        <f>IF(OR(K179&lt;Answers!$C$16,Orders!K179&gt;Answers!$C$17),"Yes","No")</f>
        <v>No</v>
      </c>
      <c r="M179" s="14">
        <f>VLOOKUP(B179,Customers!$A$1:$E$2501,4,0)</f>
        <v>88</v>
      </c>
    </row>
    <row r="180" spans="1:13" x14ac:dyDescent="0.3">
      <c r="A180">
        <v>118335</v>
      </c>
      <c r="B180">
        <v>1715</v>
      </c>
      <c r="C180" s="1" t="s">
        <v>98</v>
      </c>
      <c r="D180" s="5">
        <v>45194</v>
      </c>
      <c r="E180" s="10">
        <v>36842</v>
      </c>
      <c r="F180" s="15">
        <f t="shared" si="6"/>
        <v>9</v>
      </c>
      <c r="G180" s="10" t="str">
        <f t="shared" si="7"/>
        <v>Monday</v>
      </c>
      <c r="H180" s="9" t="str">
        <f t="shared" si="8"/>
        <v>September</v>
      </c>
      <c r="I180" t="s">
        <v>95</v>
      </c>
      <c r="J180" t="s">
        <v>71</v>
      </c>
      <c r="K180">
        <v>477</v>
      </c>
      <c r="L180" s="5" t="str">
        <f>IF(OR(K180&lt;Answers!$C$16,Orders!K180&gt;Answers!$C$17),"Yes","No")</f>
        <v>No</v>
      </c>
      <c r="M180" s="14">
        <f>VLOOKUP(B180,Customers!$A$1:$E$2501,4,0)</f>
        <v>41</v>
      </c>
    </row>
    <row r="181" spans="1:13" x14ac:dyDescent="0.3">
      <c r="A181">
        <v>118716</v>
      </c>
      <c r="B181">
        <v>1599</v>
      </c>
      <c r="C181" s="1" t="s">
        <v>98</v>
      </c>
      <c r="D181" s="5">
        <v>45275</v>
      </c>
      <c r="E181" s="10">
        <v>36811</v>
      </c>
      <c r="F181" s="15">
        <f t="shared" si="6"/>
        <v>12</v>
      </c>
      <c r="G181" s="10" t="str">
        <f t="shared" si="7"/>
        <v>Friday</v>
      </c>
      <c r="H181" s="9" t="str">
        <f t="shared" si="8"/>
        <v>December</v>
      </c>
      <c r="I181" t="s">
        <v>95</v>
      </c>
      <c r="J181" t="s">
        <v>27</v>
      </c>
      <c r="K181">
        <v>4765</v>
      </c>
      <c r="L181" s="5" t="str">
        <f>IF(OR(K181&lt;Answers!$C$16,Orders!K181&gt;Answers!$C$17),"Yes","No")</f>
        <v>No</v>
      </c>
      <c r="M181" s="14">
        <f>VLOOKUP(B181,Customers!$A$1:$E$2501,4,0)</f>
        <v>81</v>
      </c>
    </row>
    <row r="182" spans="1:13" x14ac:dyDescent="0.3">
      <c r="A182">
        <v>118960</v>
      </c>
      <c r="B182">
        <v>1265</v>
      </c>
      <c r="C182" s="1" t="s">
        <v>98</v>
      </c>
      <c r="D182" s="5">
        <v>45004</v>
      </c>
      <c r="E182" s="10">
        <v>0.51875000000000004</v>
      </c>
      <c r="F182" s="15">
        <f t="shared" si="6"/>
        <v>3</v>
      </c>
      <c r="G182" s="10" t="str">
        <f t="shared" si="7"/>
        <v>Sunday</v>
      </c>
      <c r="H182" s="9" t="str">
        <f t="shared" si="8"/>
        <v>March</v>
      </c>
      <c r="I182" t="s">
        <v>97</v>
      </c>
      <c r="J182" t="s">
        <v>3</v>
      </c>
      <c r="K182">
        <v>3942</v>
      </c>
      <c r="L182" s="5" t="str">
        <f>IF(OR(K182&lt;Answers!$C$16,Orders!K182&gt;Answers!$C$17),"Yes","No")</f>
        <v>No</v>
      </c>
      <c r="M182" s="14">
        <f>VLOOKUP(B182,Customers!$A$1:$E$2501,4,0)</f>
        <v>72</v>
      </c>
    </row>
    <row r="183" spans="1:13" x14ac:dyDescent="0.3">
      <c r="A183">
        <v>120228</v>
      </c>
      <c r="B183">
        <v>1795</v>
      </c>
      <c r="C183" s="1" t="s">
        <v>99</v>
      </c>
      <c r="D183" s="5">
        <v>45049</v>
      </c>
      <c r="E183" s="10">
        <v>6.3888888888888884E-2</v>
      </c>
      <c r="F183" s="15">
        <f t="shared" si="6"/>
        <v>5</v>
      </c>
      <c r="G183" s="10" t="str">
        <f t="shared" si="7"/>
        <v>Wednesday</v>
      </c>
      <c r="H183" s="9" t="str">
        <f t="shared" si="8"/>
        <v>May</v>
      </c>
      <c r="I183" t="s">
        <v>190</v>
      </c>
      <c r="J183" t="s">
        <v>22</v>
      </c>
      <c r="K183">
        <v>5864</v>
      </c>
      <c r="L183" s="5" t="str">
        <f>IF(OR(K183&lt;Answers!$C$16,Orders!K183&gt;Answers!$C$17),"Yes","No")</f>
        <v>No</v>
      </c>
      <c r="M183" s="14">
        <f>VLOOKUP(B183,Customers!$A$1:$E$2501,4,0)</f>
        <v>53</v>
      </c>
    </row>
    <row r="184" spans="1:13" x14ac:dyDescent="0.3">
      <c r="A184">
        <v>120567</v>
      </c>
      <c r="B184">
        <v>1523</v>
      </c>
      <c r="C184" s="1" t="s">
        <v>104</v>
      </c>
      <c r="D184" s="5">
        <v>45107</v>
      </c>
      <c r="E184" s="10">
        <v>0.48125000000000001</v>
      </c>
      <c r="F184" s="15">
        <f t="shared" si="6"/>
        <v>6</v>
      </c>
      <c r="G184" s="10" t="str">
        <f t="shared" si="7"/>
        <v>Friday</v>
      </c>
      <c r="H184" s="9" t="str">
        <f t="shared" si="8"/>
        <v>June</v>
      </c>
      <c r="I184" t="s">
        <v>190</v>
      </c>
      <c r="J184" t="s">
        <v>76</v>
      </c>
      <c r="K184">
        <v>1876</v>
      </c>
      <c r="L184" s="5" t="str">
        <f>IF(OR(K184&lt;Answers!$C$16,Orders!K184&gt;Answers!$C$17),"Yes","No")</f>
        <v>No</v>
      </c>
      <c r="M184" s="14">
        <f>VLOOKUP(B184,Customers!$A$1:$E$2501,4,0)</f>
        <v>50</v>
      </c>
    </row>
    <row r="185" spans="1:13" x14ac:dyDescent="0.3">
      <c r="A185">
        <v>122068</v>
      </c>
      <c r="B185">
        <v>624</v>
      </c>
      <c r="C185" s="1" t="s">
        <v>100</v>
      </c>
      <c r="D185" s="5">
        <v>45200</v>
      </c>
      <c r="E185" s="10">
        <v>7.1527777777777773E-2</v>
      </c>
      <c r="F185" s="15">
        <f t="shared" si="6"/>
        <v>10</v>
      </c>
      <c r="G185" s="10" t="str">
        <f t="shared" si="7"/>
        <v>Sunday</v>
      </c>
      <c r="H185" s="9" t="str">
        <f t="shared" si="8"/>
        <v>October</v>
      </c>
      <c r="I185" t="s">
        <v>95</v>
      </c>
      <c r="J185" t="s">
        <v>17</v>
      </c>
      <c r="K185">
        <v>3030</v>
      </c>
      <c r="L185" s="5" t="str">
        <f>IF(OR(K185&lt;Answers!$C$16,Orders!K185&gt;Answers!$C$17),"Yes","No")</f>
        <v>No</v>
      </c>
      <c r="M185" s="14">
        <f>VLOOKUP(B185,Customers!$A$1:$E$2501,4,0)</f>
        <v>43</v>
      </c>
    </row>
    <row r="186" spans="1:13" x14ac:dyDescent="0.3">
      <c r="A186">
        <v>122492</v>
      </c>
      <c r="B186">
        <v>147</v>
      </c>
      <c r="C186" s="1" t="s">
        <v>98</v>
      </c>
      <c r="D186" s="5">
        <v>45109</v>
      </c>
      <c r="E186" s="10">
        <v>0.44513888888888886</v>
      </c>
      <c r="F186" s="15">
        <f t="shared" si="6"/>
        <v>7</v>
      </c>
      <c r="G186" s="10" t="str">
        <f t="shared" si="7"/>
        <v>Sunday</v>
      </c>
      <c r="H186" s="9" t="str">
        <f t="shared" si="8"/>
        <v>July</v>
      </c>
      <c r="I186" t="s">
        <v>96</v>
      </c>
      <c r="J186" t="s">
        <v>40</v>
      </c>
      <c r="K186">
        <v>1788</v>
      </c>
      <c r="L186" s="5" t="str">
        <f>IF(OR(K186&lt;Answers!$C$16,Orders!K186&gt;Answers!$C$17),"Yes","No")</f>
        <v>No</v>
      </c>
      <c r="M186" s="14">
        <f>VLOOKUP(B186,Customers!$A$1:$E$2501,4,0)</f>
        <v>29</v>
      </c>
    </row>
    <row r="187" spans="1:13" x14ac:dyDescent="0.3">
      <c r="A187">
        <v>123546</v>
      </c>
      <c r="B187">
        <v>990</v>
      </c>
      <c r="C187" s="1" t="s">
        <v>108</v>
      </c>
      <c r="D187" s="5">
        <v>45062</v>
      </c>
      <c r="E187" s="10">
        <v>0.53055555555555556</v>
      </c>
      <c r="F187" s="15">
        <f t="shared" si="6"/>
        <v>5</v>
      </c>
      <c r="G187" s="10" t="str">
        <f t="shared" si="7"/>
        <v>Tuesday</v>
      </c>
      <c r="H187" s="9" t="str">
        <f t="shared" si="8"/>
        <v>May</v>
      </c>
      <c r="I187" t="s">
        <v>96</v>
      </c>
      <c r="J187" t="s">
        <v>22</v>
      </c>
      <c r="K187">
        <v>9475</v>
      </c>
      <c r="L187" s="5" t="str">
        <f>IF(OR(K187&lt;Answers!$C$16,Orders!K187&gt;Answers!$C$17),"Yes","No")</f>
        <v>No</v>
      </c>
      <c r="M187" s="14">
        <f>VLOOKUP(B187,Customers!$A$1:$E$2501,4,0)</f>
        <v>37</v>
      </c>
    </row>
    <row r="188" spans="1:13" x14ac:dyDescent="0.3">
      <c r="A188">
        <v>125939</v>
      </c>
      <c r="B188">
        <v>213</v>
      </c>
      <c r="C188" s="1" t="s">
        <v>98</v>
      </c>
      <c r="D188" s="5">
        <v>44985</v>
      </c>
      <c r="E188" s="10">
        <v>0.53680555555555554</v>
      </c>
      <c r="F188" s="15">
        <f t="shared" si="6"/>
        <v>2</v>
      </c>
      <c r="G188" s="10" t="str">
        <f t="shared" si="7"/>
        <v>Tuesday</v>
      </c>
      <c r="H188" s="9" t="str">
        <f t="shared" si="8"/>
        <v>February</v>
      </c>
      <c r="I188" t="s">
        <v>190</v>
      </c>
      <c r="J188" t="s">
        <v>51</v>
      </c>
      <c r="K188">
        <v>6023</v>
      </c>
      <c r="L188" s="5" t="str">
        <f>IF(OR(K188&lt;Answers!$C$16,Orders!K188&gt;Answers!$C$17),"Yes","No")</f>
        <v>No</v>
      </c>
      <c r="M188" s="14">
        <f>VLOOKUP(B188,Customers!$A$1:$E$2501,4,0)</f>
        <v>52</v>
      </c>
    </row>
    <row r="189" spans="1:13" x14ac:dyDescent="0.3">
      <c r="A189">
        <v>127157</v>
      </c>
      <c r="B189">
        <v>532</v>
      </c>
      <c r="C189" s="1" t="s">
        <v>98</v>
      </c>
      <c r="D189" s="5">
        <v>44972</v>
      </c>
      <c r="E189" s="10">
        <v>0.49791666666666667</v>
      </c>
      <c r="F189" s="15">
        <f t="shared" si="6"/>
        <v>2</v>
      </c>
      <c r="G189" s="10" t="str">
        <f t="shared" si="7"/>
        <v>Wednesday</v>
      </c>
      <c r="H189" s="9" t="str">
        <f t="shared" si="8"/>
        <v>February</v>
      </c>
      <c r="I189" t="s">
        <v>96</v>
      </c>
      <c r="J189" t="s">
        <v>29</v>
      </c>
      <c r="K189">
        <v>2367</v>
      </c>
      <c r="L189" s="5" t="str">
        <f>IF(OR(K189&lt;Answers!$C$16,Orders!K189&gt;Answers!$C$17),"Yes","No")</f>
        <v>No</v>
      </c>
      <c r="M189" s="14">
        <f>VLOOKUP(B189,Customers!$A$1:$E$2501,4,0)</f>
        <v>84</v>
      </c>
    </row>
    <row r="190" spans="1:13" x14ac:dyDescent="0.3">
      <c r="A190">
        <v>127349</v>
      </c>
      <c r="B190">
        <v>620</v>
      </c>
      <c r="C190" s="1" t="s">
        <v>105</v>
      </c>
      <c r="D190" s="5">
        <v>45027</v>
      </c>
      <c r="E190" s="10">
        <v>0.52500000000000002</v>
      </c>
      <c r="F190" s="15">
        <f t="shared" si="6"/>
        <v>4</v>
      </c>
      <c r="G190" s="10" t="str">
        <f t="shared" si="7"/>
        <v>Tuesday</v>
      </c>
      <c r="H190" s="9" t="str">
        <f t="shared" si="8"/>
        <v>April</v>
      </c>
      <c r="I190" t="s">
        <v>190</v>
      </c>
      <c r="J190" t="s">
        <v>77</v>
      </c>
      <c r="K190">
        <v>4477</v>
      </c>
      <c r="L190" s="5" t="str">
        <f>IF(OR(K190&lt;Answers!$C$16,Orders!K190&gt;Answers!$C$17),"Yes","No")</f>
        <v>No</v>
      </c>
      <c r="M190" s="14">
        <f>VLOOKUP(B190,Customers!$A$1:$E$2501,4,0)</f>
        <v>41</v>
      </c>
    </row>
    <row r="191" spans="1:13" x14ac:dyDescent="0.3">
      <c r="A191">
        <v>127352</v>
      </c>
      <c r="B191">
        <v>1534</v>
      </c>
      <c r="C191" s="1" t="s">
        <v>98</v>
      </c>
      <c r="D191" s="5">
        <v>45181</v>
      </c>
      <c r="E191" s="10">
        <v>36872</v>
      </c>
      <c r="F191" s="15">
        <f t="shared" si="6"/>
        <v>9</v>
      </c>
      <c r="G191" s="10" t="str">
        <f t="shared" si="7"/>
        <v>Tuesday</v>
      </c>
      <c r="H191" s="9" t="str">
        <f t="shared" si="8"/>
        <v>September</v>
      </c>
      <c r="I191" t="s">
        <v>96</v>
      </c>
      <c r="J191" t="s">
        <v>42</v>
      </c>
      <c r="K191">
        <v>8980</v>
      </c>
      <c r="L191" s="5" t="str">
        <f>IF(OR(K191&lt;Answers!$C$16,Orders!K191&gt;Answers!$C$17),"Yes","No")</f>
        <v>No</v>
      </c>
      <c r="M191" s="14">
        <f>VLOOKUP(B191,Customers!$A$1:$E$2501,4,0)</f>
        <v>18</v>
      </c>
    </row>
    <row r="192" spans="1:13" x14ac:dyDescent="0.3">
      <c r="A192">
        <v>128831</v>
      </c>
      <c r="B192">
        <v>816</v>
      </c>
      <c r="C192" s="1" t="s">
        <v>112</v>
      </c>
      <c r="D192" s="5">
        <v>45255</v>
      </c>
      <c r="E192" s="10">
        <v>36617</v>
      </c>
      <c r="F192" s="15">
        <f t="shared" si="6"/>
        <v>11</v>
      </c>
      <c r="G192" s="10" t="str">
        <f t="shared" si="7"/>
        <v>Saturday</v>
      </c>
      <c r="H192" s="9" t="str">
        <f t="shared" si="8"/>
        <v>November</v>
      </c>
      <c r="I192" t="s">
        <v>190</v>
      </c>
      <c r="J192" t="s">
        <v>26</v>
      </c>
      <c r="K192">
        <v>483</v>
      </c>
      <c r="L192" s="5" t="str">
        <f>IF(OR(K192&lt;Answers!$C$16,Orders!K192&gt;Answers!$C$17),"Yes","No")</f>
        <v>No</v>
      </c>
      <c r="M192" s="14">
        <f>VLOOKUP(B192,Customers!$A$1:$E$2501,4,0)</f>
        <v>46</v>
      </c>
    </row>
    <row r="193" spans="1:13" x14ac:dyDescent="0.3">
      <c r="A193">
        <v>130037</v>
      </c>
      <c r="B193">
        <v>765</v>
      </c>
      <c r="C193" s="1" t="s">
        <v>102</v>
      </c>
      <c r="D193" s="5">
        <v>45062</v>
      </c>
      <c r="E193" s="10">
        <v>36831</v>
      </c>
      <c r="F193" s="15">
        <f t="shared" si="6"/>
        <v>5</v>
      </c>
      <c r="G193" s="10" t="str">
        <f t="shared" si="7"/>
        <v>Tuesday</v>
      </c>
      <c r="H193" s="9" t="str">
        <f t="shared" si="8"/>
        <v>May</v>
      </c>
      <c r="I193" t="s">
        <v>96</v>
      </c>
      <c r="J193" t="s">
        <v>29</v>
      </c>
      <c r="K193">
        <v>7380</v>
      </c>
      <c r="L193" s="5" t="str">
        <f>IF(OR(K193&lt;Answers!$C$16,Orders!K193&gt;Answers!$C$17),"Yes","No")</f>
        <v>No</v>
      </c>
      <c r="M193" s="14">
        <f>VLOOKUP(B193,Customers!$A$1:$E$2501,4,0)</f>
        <v>46</v>
      </c>
    </row>
    <row r="194" spans="1:13" x14ac:dyDescent="0.3">
      <c r="A194">
        <v>130805</v>
      </c>
      <c r="B194">
        <v>207</v>
      </c>
      <c r="C194" s="1" t="s">
        <v>107</v>
      </c>
      <c r="D194" s="5">
        <v>45118</v>
      </c>
      <c r="E194" s="10">
        <v>0.51041666666666663</v>
      </c>
      <c r="F194" s="15">
        <f t="shared" si="6"/>
        <v>7</v>
      </c>
      <c r="G194" s="10" t="str">
        <f t="shared" si="7"/>
        <v>Tuesday</v>
      </c>
      <c r="H194" s="9" t="str">
        <f t="shared" si="8"/>
        <v>July</v>
      </c>
      <c r="I194" t="s">
        <v>96</v>
      </c>
      <c r="J194" t="s">
        <v>73</v>
      </c>
      <c r="K194">
        <v>9542</v>
      </c>
      <c r="L194" s="5" t="str">
        <f>IF(OR(K194&lt;Answers!$C$16,Orders!K194&gt;Answers!$C$17),"Yes","No")</f>
        <v>No</v>
      </c>
      <c r="M194" s="14">
        <f>VLOOKUP(B194,Customers!$A$1:$E$2501,4,0)</f>
        <v>76</v>
      </c>
    </row>
    <row r="195" spans="1:13" x14ac:dyDescent="0.3">
      <c r="A195">
        <v>130920</v>
      </c>
      <c r="B195">
        <v>1099</v>
      </c>
      <c r="C195" s="1" t="s">
        <v>99</v>
      </c>
      <c r="D195" s="5">
        <v>45035</v>
      </c>
      <c r="E195" s="10">
        <v>0.4909722222222222</v>
      </c>
      <c r="F195" s="15">
        <f t="shared" ref="F195:F258" si="9">MONTH(D195)</f>
        <v>4</v>
      </c>
      <c r="G195" s="10" t="str">
        <f t="shared" ref="G195:G258" si="10">TEXT(D195,"dddd")</f>
        <v>Wednesday</v>
      </c>
      <c r="H195" s="9" t="str">
        <f t="shared" ref="H195:H258" si="11">TEXT(D195,"mmmm")</f>
        <v>April</v>
      </c>
      <c r="I195" t="s">
        <v>96</v>
      </c>
      <c r="J195" t="s">
        <v>53</v>
      </c>
      <c r="K195">
        <v>5261</v>
      </c>
      <c r="L195" s="5" t="str">
        <f>IF(OR(K195&lt;Answers!$C$16,Orders!K195&gt;Answers!$C$17),"Yes","No")</f>
        <v>No</v>
      </c>
      <c r="M195" s="14">
        <f>VLOOKUP(B195,Customers!$A$1:$E$2501,4,0)</f>
        <v>76</v>
      </c>
    </row>
    <row r="196" spans="1:13" x14ac:dyDescent="0.3">
      <c r="A196">
        <v>131508</v>
      </c>
      <c r="B196">
        <v>140</v>
      </c>
      <c r="C196" s="1" t="s">
        <v>98</v>
      </c>
      <c r="D196" s="5">
        <v>44968</v>
      </c>
      <c r="E196" s="10">
        <v>0.53472222222222221</v>
      </c>
      <c r="F196" s="15">
        <f t="shared" si="9"/>
        <v>2</v>
      </c>
      <c r="G196" s="10" t="str">
        <f t="shared" si="10"/>
        <v>Saturday</v>
      </c>
      <c r="H196" s="9" t="str">
        <f t="shared" si="11"/>
        <v>February</v>
      </c>
      <c r="I196" t="s">
        <v>97</v>
      </c>
      <c r="J196" t="s">
        <v>37</v>
      </c>
      <c r="K196">
        <v>2656</v>
      </c>
      <c r="L196" s="5" t="str">
        <f>IF(OR(K196&lt;Answers!$C$16,Orders!K196&gt;Answers!$C$17),"Yes","No")</f>
        <v>No</v>
      </c>
      <c r="M196" s="14">
        <f>VLOOKUP(B196,Customers!$A$1:$E$2501,4,0)</f>
        <v>58</v>
      </c>
    </row>
    <row r="197" spans="1:13" x14ac:dyDescent="0.3">
      <c r="A197">
        <v>133285</v>
      </c>
      <c r="B197">
        <v>516</v>
      </c>
      <c r="C197" s="1" t="s">
        <v>99</v>
      </c>
      <c r="D197" s="5">
        <v>44968</v>
      </c>
      <c r="E197" s="10">
        <v>5.8333333333333334E-2</v>
      </c>
      <c r="F197" s="15">
        <f t="shared" si="9"/>
        <v>2</v>
      </c>
      <c r="G197" s="10" t="str">
        <f t="shared" si="10"/>
        <v>Saturday</v>
      </c>
      <c r="H197" s="9" t="str">
        <f t="shared" si="11"/>
        <v>February</v>
      </c>
      <c r="I197" t="s">
        <v>95</v>
      </c>
      <c r="J197" t="s">
        <v>33</v>
      </c>
      <c r="K197">
        <v>7837</v>
      </c>
      <c r="L197" s="5" t="str">
        <f>IF(OR(K197&lt;Answers!$C$16,Orders!K197&gt;Answers!$C$17),"Yes","No")</f>
        <v>No</v>
      </c>
      <c r="M197" s="14">
        <f>VLOOKUP(B197,Customers!$A$1:$E$2501,4,0)</f>
        <v>51</v>
      </c>
    </row>
    <row r="198" spans="1:13" x14ac:dyDescent="0.3">
      <c r="A198">
        <v>133922</v>
      </c>
      <c r="B198">
        <v>1441</v>
      </c>
      <c r="C198" s="1" t="s">
        <v>100</v>
      </c>
      <c r="D198" s="5">
        <v>45156</v>
      </c>
      <c r="E198" s="10">
        <v>36781</v>
      </c>
      <c r="F198" s="15">
        <f t="shared" si="9"/>
        <v>8</v>
      </c>
      <c r="G198" s="10" t="str">
        <f t="shared" si="10"/>
        <v>Friday</v>
      </c>
      <c r="H198" s="9" t="str">
        <f t="shared" si="11"/>
        <v>August</v>
      </c>
      <c r="I198" t="s">
        <v>95</v>
      </c>
      <c r="J198" t="s">
        <v>78</v>
      </c>
      <c r="K198">
        <v>4932</v>
      </c>
      <c r="L198" s="5" t="str">
        <f>IF(OR(K198&lt;Answers!$C$16,Orders!K198&gt;Answers!$C$17),"Yes","No")</f>
        <v>No</v>
      </c>
      <c r="M198" s="14">
        <f>VLOOKUP(B198,Customers!$A$1:$E$2501,4,0)</f>
        <v>65</v>
      </c>
    </row>
    <row r="199" spans="1:13" x14ac:dyDescent="0.3">
      <c r="A199">
        <v>134419</v>
      </c>
      <c r="B199">
        <v>628</v>
      </c>
      <c r="C199" s="1" t="s">
        <v>99</v>
      </c>
      <c r="D199" s="5">
        <v>44960</v>
      </c>
      <c r="E199" s="10">
        <v>0.4548611111111111</v>
      </c>
      <c r="F199" s="15">
        <f t="shared" si="9"/>
        <v>2</v>
      </c>
      <c r="G199" s="10" t="str">
        <f t="shared" si="10"/>
        <v>Friday</v>
      </c>
      <c r="H199" s="9" t="str">
        <f t="shared" si="11"/>
        <v>February</v>
      </c>
      <c r="I199" t="s">
        <v>97</v>
      </c>
      <c r="J199" t="s">
        <v>79</v>
      </c>
      <c r="K199">
        <v>2768</v>
      </c>
      <c r="L199" s="5" t="str">
        <f>IF(OR(K199&lt;Answers!$C$16,Orders!K199&gt;Answers!$C$17),"Yes","No")</f>
        <v>No</v>
      </c>
      <c r="M199" s="14">
        <f>VLOOKUP(B199,Customers!$A$1:$E$2501,4,0)</f>
        <v>85</v>
      </c>
    </row>
    <row r="200" spans="1:13" x14ac:dyDescent="0.3">
      <c r="A200">
        <v>137231</v>
      </c>
      <c r="B200">
        <v>1344</v>
      </c>
      <c r="C200" s="1" t="s">
        <v>104</v>
      </c>
      <c r="D200" s="5">
        <v>45216</v>
      </c>
      <c r="E200" s="10">
        <v>0.5</v>
      </c>
      <c r="F200" s="15">
        <f t="shared" si="9"/>
        <v>10</v>
      </c>
      <c r="G200" s="10" t="str">
        <f t="shared" si="10"/>
        <v>Tuesday</v>
      </c>
      <c r="H200" s="9" t="str">
        <f t="shared" si="11"/>
        <v>October</v>
      </c>
      <c r="I200" t="s">
        <v>190</v>
      </c>
      <c r="J200" t="s">
        <v>76</v>
      </c>
      <c r="K200">
        <v>6898</v>
      </c>
      <c r="L200" s="5" t="str">
        <f>IF(OR(K200&lt;Answers!$C$16,Orders!K200&gt;Answers!$C$17),"Yes","No")</f>
        <v>No</v>
      </c>
      <c r="M200" s="14">
        <f>VLOOKUP(B200,Customers!$A$1:$E$2501,4,0)</f>
        <v>40</v>
      </c>
    </row>
    <row r="201" spans="1:13" x14ac:dyDescent="0.3">
      <c r="A201">
        <v>138329</v>
      </c>
      <c r="B201">
        <v>1108</v>
      </c>
      <c r="C201" s="1" t="s">
        <v>112</v>
      </c>
      <c r="D201" s="5">
        <v>45138</v>
      </c>
      <c r="E201" s="10">
        <v>36800</v>
      </c>
      <c r="F201" s="15">
        <f t="shared" si="9"/>
        <v>7</v>
      </c>
      <c r="G201" s="10" t="str">
        <f t="shared" si="10"/>
        <v>Monday</v>
      </c>
      <c r="H201" s="9" t="str">
        <f t="shared" si="11"/>
        <v>July</v>
      </c>
      <c r="I201" t="s">
        <v>96</v>
      </c>
      <c r="J201" t="s">
        <v>21</v>
      </c>
      <c r="K201">
        <v>7219</v>
      </c>
      <c r="L201" s="5" t="str">
        <f>IF(OR(K201&lt;Answers!$C$16,Orders!K201&gt;Answers!$C$17),"Yes","No")</f>
        <v>No</v>
      </c>
      <c r="M201" s="14">
        <f>VLOOKUP(B201,Customers!$A$1:$E$2501,4,0)</f>
        <v>47</v>
      </c>
    </row>
    <row r="202" spans="1:13" x14ac:dyDescent="0.3">
      <c r="A202">
        <v>139357</v>
      </c>
      <c r="B202">
        <v>423</v>
      </c>
      <c r="C202" s="1" t="s">
        <v>105</v>
      </c>
      <c r="D202" s="5">
        <v>45064</v>
      </c>
      <c r="E202" s="10">
        <v>0.48472222222222222</v>
      </c>
      <c r="F202" s="15">
        <f t="shared" si="9"/>
        <v>5</v>
      </c>
      <c r="G202" s="10" t="str">
        <f t="shared" si="10"/>
        <v>Thursday</v>
      </c>
      <c r="H202" s="9" t="str">
        <f t="shared" si="11"/>
        <v>May</v>
      </c>
      <c r="I202" t="s">
        <v>95</v>
      </c>
      <c r="J202" t="s">
        <v>42</v>
      </c>
      <c r="K202">
        <v>5563</v>
      </c>
      <c r="L202" s="5" t="str">
        <f>IF(OR(K202&lt;Answers!$C$16,Orders!K202&gt;Answers!$C$17),"Yes","No")</f>
        <v>No</v>
      </c>
      <c r="M202" s="14">
        <f>VLOOKUP(B202,Customers!$A$1:$E$2501,4,0)</f>
        <v>27</v>
      </c>
    </row>
    <row r="203" spans="1:13" x14ac:dyDescent="0.3">
      <c r="A203">
        <v>139611</v>
      </c>
      <c r="B203">
        <v>444</v>
      </c>
      <c r="C203" s="1" t="s">
        <v>104</v>
      </c>
      <c r="D203" s="5">
        <v>45220</v>
      </c>
      <c r="E203" s="10">
        <v>5.2083333333333336E-2</v>
      </c>
      <c r="F203" s="15">
        <f t="shared" si="9"/>
        <v>10</v>
      </c>
      <c r="G203" s="10" t="str">
        <f t="shared" si="10"/>
        <v>Saturday</v>
      </c>
      <c r="H203" s="9" t="str">
        <f t="shared" si="11"/>
        <v>October</v>
      </c>
      <c r="I203" t="s">
        <v>96</v>
      </c>
      <c r="J203" t="s">
        <v>39</v>
      </c>
      <c r="K203">
        <v>6827</v>
      </c>
      <c r="L203" s="5" t="str">
        <f>IF(OR(K203&lt;Answers!$C$16,Orders!K203&gt;Answers!$C$17),"Yes","No")</f>
        <v>No</v>
      </c>
      <c r="M203" s="14">
        <f>VLOOKUP(B203,Customers!$A$1:$E$2501,4,0)</f>
        <v>23</v>
      </c>
    </row>
    <row r="204" spans="1:13" x14ac:dyDescent="0.3">
      <c r="A204">
        <v>139755</v>
      </c>
      <c r="B204">
        <v>813</v>
      </c>
      <c r="C204" s="1" t="s">
        <v>105</v>
      </c>
      <c r="D204" s="5">
        <v>45136</v>
      </c>
      <c r="E204" s="10">
        <v>0.47986111111111113</v>
      </c>
      <c r="F204" s="15">
        <f t="shared" si="9"/>
        <v>7</v>
      </c>
      <c r="G204" s="10" t="str">
        <f t="shared" si="10"/>
        <v>Saturday</v>
      </c>
      <c r="H204" s="9" t="str">
        <f t="shared" si="11"/>
        <v>July</v>
      </c>
      <c r="I204" t="s">
        <v>95</v>
      </c>
      <c r="J204" t="s">
        <v>80</v>
      </c>
      <c r="K204">
        <v>7305</v>
      </c>
      <c r="L204" s="5" t="str">
        <f>IF(OR(K204&lt;Answers!$C$16,Orders!K204&gt;Answers!$C$17),"Yes","No")</f>
        <v>No</v>
      </c>
      <c r="M204" s="14">
        <f>VLOOKUP(B204,Customers!$A$1:$E$2501,4,0)</f>
        <v>51</v>
      </c>
    </row>
    <row r="205" spans="1:13" x14ac:dyDescent="0.3">
      <c r="A205">
        <v>140002</v>
      </c>
      <c r="B205">
        <v>1848</v>
      </c>
      <c r="C205" s="1" t="s">
        <v>98</v>
      </c>
      <c r="D205" s="5">
        <v>45201</v>
      </c>
      <c r="E205" s="10">
        <v>0.53402777777777777</v>
      </c>
      <c r="F205" s="15">
        <f t="shared" si="9"/>
        <v>10</v>
      </c>
      <c r="G205" s="10" t="str">
        <f t="shared" si="10"/>
        <v>Monday</v>
      </c>
      <c r="H205" s="9" t="str">
        <f t="shared" si="11"/>
        <v>October</v>
      </c>
      <c r="I205" t="s">
        <v>190</v>
      </c>
      <c r="J205" t="s">
        <v>81</v>
      </c>
      <c r="K205">
        <v>3536</v>
      </c>
      <c r="L205" s="5" t="str">
        <f>IF(OR(K205&lt;Answers!$C$16,Orders!K205&gt;Answers!$C$17),"Yes","No")</f>
        <v>No</v>
      </c>
      <c r="M205" s="14">
        <f>VLOOKUP(B205,Customers!$A$1:$E$2501,4,0)</f>
        <v>63</v>
      </c>
    </row>
    <row r="206" spans="1:13" x14ac:dyDescent="0.3">
      <c r="A206">
        <v>141004</v>
      </c>
      <c r="B206">
        <v>1499</v>
      </c>
      <c r="C206" s="1" t="s">
        <v>98</v>
      </c>
      <c r="D206" s="5">
        <v>45063</v>
      </c>
      <c r="E206" s="10">
        <v>5.6250000000000001E-2</v>
      </c>
      <c r="F206" s="15">
        <f t="shared" si="9"/>
        <v>5</v>
      </c>
      <c r="G206" s="10" t="str">
        <f t="shared" si="10"/>
        <v>Wednesday</v>
      </c>
      <c r="H206" s="9" t="str">
        <f t="shared" si="11"/>
        <v>May</v>
      </c>
      <c r="I206" t="s">
        <v>190</v>
      </c>
      <c r="J206" t="s">
        <v>20</v>
      </c>
      <c r="K206">
        <v>9940</v>
      </c>
      <c r="L206" s="5" t="str">
        <f>IF(OR(K206&lt;Answers!$C$16,Orders!K206&gt;Answers!$C$17),"Yes","No")</f>
        <v>No</v>
      </c>
      <c r="M206" s="14">
        <f>VLOOKUP(B206,Customers!$A$1:$E$2501,4,0)</f>
        <v>48</v>
      </c>
    </row>
    <row r="207" spans="1:13" x14ac:dyDescent="0.3">
      <c r="A207">
        <v>141024</v>
      </c>
      <c r="B207">
        <v>1436</v>
      </c>
      <c r="C207" s="1" t="s">
        <v>104</v>
      </c>
      <c r="D207" s="5">
        <v>44993</v>
      </c>
      <c r="E207" s="10">
        <v>8.3333333333333329E-2</v>
      </c>
      <c r="F207" s="15">
        <f t="shared" si="9"/>
        <v>3</v>
      </c>
      <c r="G207" s="10" t="str">
        <f t="shared" si="10"/>
        <v>Wednesday</v>
      </c>
      <c r="H207" s="9" t="str">
        <f t="shared" si="11"/>
        <v>March</v>
      </c>
      <c r="I207" t="s">
        <v>95</v>
      </c>
      <c r="J207" t="s">
        <v>65</v>
      </c>
      <c r="K207">
        <v>9491</v>
      </c>
      <c r="L207" s="5" t="str">
        <f>IF(OR(K207&lt;Answers!$C$16,Orders!K207&gt;Answers!$C$17),"Yes","No")</f>
        <v>No</v>
      </c>
      <c r="M207" s="14">
        <f>VLOOKUP(B207,Customers!$A$1:$E$2501,4,0)</f>
        <v>40</v>
      </c>
    </row>
    <row r="208" spans="1:13" x14ac:dyDescent="0.3">
      <c r="A208">
        <v>141306</v>
      </c>
      <c r="B208">
        <v>249</v>
      </c>
      <c r="C208" s="1" t="s">
        <v>98</v>
      </c>
      <c r="D208" s="5">
        <v>44937</v>
      </c>
      <c r="E208" s="10">
        <v>7.3611111111111113E-2</v>
      </c>
      <c r="F208" s="15">
        <f t="shared" si="9"/>
        <v>1</v>
      </c>
      <c r="G208" s="10" t="str">
        <f t="shared" si="10"/>
        <v>Wednesday</v>
      </c>
      <c r="H208" s="9" t="str">
        <f t="shared" si="11"/>
        <v>January</v>
      </c>
      <c r="I208" t="s">
        <v>190</v>
      </c>
      <c r="J208" t="s">
        <v>28</v>
      </c>
      <c r="K208">
        <v>9751</v>
      </c>
      <c r="L208" s="5" t="str">
        <f>IF(OR(K208&lt;Answers!$C$16,Orders!K208&gt;Answers!$C$17),"Yes","No")</f>
        <v>No</v>
      </c>
      <c r="M208" s="14">
        <f>VLOOKUP(B208,Customers!$A$1:$E$2501,4,0)</f>
        <v>58</v>
      </c>
    </row>
    <row r="209" spans="1:13" x14ac:dyDescent="0.3">
      <c r="A209">
        <v>142160</v>
      </c>
      <c r="B209">
        <v>1976</v>
      </c>
      <c r="C209" s="1" t="s">
        <v>104</v>
      </c>
      <c r="D209" s="5">
        <v>44971</v>
      </c>
      <c r="E209" s="10">
        <v>36586</v>
      </c>
      <c r="F209" s="15">
        <f t="shared" si="9"/>
        <v>2</v>
      </c>
      <c r="G209" s="10" t="str">
        <f t="shared" si="10"/>
        <v>Tuesday</v>
      </c>
      <c r="H209" s="9" t="str">
        <f t="shared" si="11"/>
        <v>February</v>
      </c>
      <c r="I209" t="s">
        <v>97</v>
      </c>
      <c r="J209" t="s">
        <v>4</v>
      </c>
      <c r="K209">
        <v>7114</v>
      </c>
      <c r="L209" s="5" t="str">
        <f>IF(OR(K209&lt;Answers!$C$16,Orders!K209&gt;Answers!$C$17),"Yes","No")</f>
        <v>No</v>
      </c>
      <c r="M209" s="14">
        <f>VLOOKUP(B209,Customers!$A$1:$E$2501,4,0)</f>
        <v>73</v>
      </c>
    </row>
    <row r="210" spans="1:13" x14ac:dyDescent="0.3">
      <c r="A210">
        <v>145440</v>
      </c>
      <c r="B210">
        <v>948</v>
      </c>
      <c r="C210" s="1" t="s">
        <v>101</v>
      </c>
      <c r="D210" s="5">
        <v>45157</v>
      </c>
      <c r="E210" s="10">
        <v>5.486111111111111E-2</v>
      </c>
      <c r="F210" s="15">
        <f t="shared" si="9"/>
        <v>8</v>
      </c>
      <c r="G210" s="10" t="str">
        <f t="shared" si="10"/>
        <v>Saturday</v>
      </c>
      <c r="H210" s="9" t="str">
        <f t="shared" si="11"/>
        <v>August</v>
      </c>
      <c r="I210" t="s">
        <v>190</v>
      </c>
      <c r="J210" t="s">
        <v>42</v>
      </c>
      <c r="K210">
        <v>140</v>
      </c>
      <c r="L210" s="5" t="str">
        <f>IF(OR(K210&lt;Answers!$C$16,Orders!K210&gt;Answers!$C$17),"Yes","No")</f>
        <v>No</v>
      </c>
      <c r="M210" s="14">
        <f>VLOOKUP(B210,Customers!$A$1:$E$2501,4,0)</f>
        <v>27</v>
      </c>
    </row>
    <row r="211" spans="1:13" x14ac:dyDescent="0.3">
      <c r="A211">
        <v>145667</v>
      </c>
      <c r="B211">
        <v>813</v>
      </c>
      <c r="C211" s="1" t="s">
        <v>105</v>
      </c>
      <c r="D211" s="5">
        <v>45140</v>
      </c>
      <c r="E211" s="10">
        <v>0.50902777777777775</v>
      </c>
      <c r="F211" s="15">
        <f t="shared" si="9"/>
        <v>8</v>
      </c>
      <c r="G211" s="10" t="str">
        <f t="shared" si="10"/>
        <v>Wednesday</v>
      </c>
      <c r="H211" s="9" t="str">
        <f t="shared" si="11"/>
        <v>August</v>
      </c>
      <c r="I211" t="s">
        <v>95</v>
      </c>
      <c r="J211" t="s">
        <v>42</v>
      </c>
      <c r="K211">
        <v>8841</v>
      </c>
      <c r="L211" s="5" t="str">
        <f>IF(OR(K211&lt;Answers!$C$16,Orders!K211&gt;Answers!$C$17),"Yes","No")</f>
        <v>No</v>
      </c>
      <c r="M211" s="14">
        <f>VLOOKUP(B211,Customers!$A$1:$E$2501,4,0)</f>
        <v>51</v>
      </c>
    </row>
    <row r="212" spans="1:13" x14ac:dyDescent="0.3">
      <c r="A212">
        <v>146599</v>
      </c>
      <c r="B212">
        <v>393</v>
      </c>
      <c r="C212" s="1" t="s">
        <v>112</v>
      </c>
      <c r="D212" s="5">
        <v>45061</v>
      </c>
      <c r="E212" s="10">
        <v>36709</v>
      </c>
      <c r="F212" s="15">
        <f t="shared" si="9"/>
        <v>5</v>
      </c>
      <c r="G212" s="10" t="str">
        <f t="shared" si="10"/>
        <v>Monday</v>
      </c>
      <c r="H212" s="9" t="str">
        <f t="shared" si="11"/>
        <v>May</v>
      </c>
      <c r="I212" t="s">
        <v>190</v>
      </c>
      <c r="J212" t="s">
        <v>5</v>
      </c>
      <c r="K212">
        <v>7712</v>
      </c>
      <c r="L212" s="5" t="str">
        <f>IF(OR(K212&lt;Answers!$C$16,Orders!K212&gt;Answers!$C$17),"Yes","No")</f>
        <v>No</v>
      </c>
      <c r="M212" s="14">
        <f>VLOOKUP(B212,Customers!$A$1:$E$2501,4,0)</f>
        <v>19</v>
      </c>
    </row>
    <row r="213" spans="1:13" x14ac:dyDescent="0.3">
      <c r="A213">
        <v>146917</v>
      </c>
      <c r="B213">
        <v>183</v>
      </c>
      <c r="C213" s="1" t="s">
        <v>112</v>
      </c>
      <c r="D213" s="5">
        <v>44981</v>
      </c>
      <c r="E213" s="10">
        <v>7.3611111111111113E-2</v>
      </c>
      <c r="F213" s="15">
        <f t="shared" si="9"/>
        <v>2</v>
      </c>
      <c r="G213" s="10" t="str">
        <f t="shared" si="10"/>
        <v>Friday</v>
      </c>
      <c r="H213" s="9" t="str">
        <f t="shared" si="11"/>
        <v>February</v>
      </c>
      <c r="I213" t="s">
        <v>95</v>
      </c>
      <c r="J213" t="s">
        <v>16</v>
      </c>
      <c r="K213">
        <v>2595</v>
      </c>
      <c r="L213" s="5" t="str">
        <f>IF(OR(K213&lt;Answers!$C$16,Orders!K213&gt;Answers!$C$17),"Yes","No")</f>
        <v>No</v>
      </c>
      <c r="M213" s="14">
        <f>VLOOKUP(B213,Customers!$A$1:$E$2501,4,0)</f>
        <v>66</v>
      </c>
    </row>
    <row r="214" spans="1:13" x14ac:dyDescent="0.3">
      <c r="A214">
        <v>148310</v>
      </c>
      <c r="B214">
        <v>625</v>
      </c>
      <c r="C214" s="1" t="s">
        <v>112</v>
      </c>
      <c r="D214" s="5">
        <v>45049</v>
      </c>
      <c r="E214" s="10">
        <v>0.51527777777777772</v>
      </c>
      <c r="F214" s="15">
        <f t="shared" si="9"/>
        <v>5</v>
      </c>
      <c r="G214" s="10" t="str">
        <f t="shared" si="10"/>
        <v>Wednesday</v>
      </c>
      <c r="H214" s="9" t="str">
        <f t="shared" si="11"/>
        <v>May</v>
      </c>
      <c r="I214" t="s">
        <v>95</v>
      </c>
      <c r="J214" t="s">
        <v>20</v>
      </c>
      <c r="K214">
        <v>2291</v>
      </c>
      <c r="L214" s="5" t="str">
        <f>IF(OR(K214&lt;Answers!$C$16,Orders!K214&gt;Answers!$C$17),"Yes","No")</f>
        <v>No</v>
      </c>
      <c r="M214" s="14">
        <f>VLOOKUP(B214,Customers!$A$1:$E$2501,4,0)</f>
        <v>54</v>
      </c>
    </row>
    <row r="215" spans="1:13" x14ac:dyDescent="0.3">
      <c r="A215">
        <v>148706</v>
      </c>
      <c r="B215">
        <v>188</v>
      </c>
      <c r="C215" s="1" t="s">
        <v>112</v>
      </c>
      <c r="D215" s="5">
        <v>45269</v>
      </c>
      <c r="E215" s="10">
        <v>0.47222222222222221</v>
      </c>
      <c r="F215" s="15">
        <f t="shared" si="9"/>
        <v>12</v>
      </c>
      <c r="G215" s="10" t="str">
        <f t="shared" si="10"/>
        <v>Saturday</v>
      </c>
      <c r="H215" s="9" t="str">
        <f t="shared" si="11"/>
        <v>December</v>
      </c>
      <c r="I215" t="s">
        <v>96</v>
      </c>
      <c r="J215" t="s">
        <v>42</v>
      </c>
      <c r="K215">
        <v>4301</v>
      </c>
      <c r="L215" s="5" t="str">
        <f>IF(OR(K215&lt;Answers!$C$16,Orders!K215&gt;Answers!$C$17),"Yes","No")</f>
        <v>No</v>
      </c>
      <c r="M215" s="14">
        <f>VLOOKUP(B215,Customers!$A$1:$E$2501,4,0)</f>
        <v>72</v>
      </c>
    </row>
    <row r="216" spans="1:13" x14ac:dyDescent="0.3">
      <c r="A216">
        <v>149310</v>
      </c>
      <c r="B216">
        <v>1734</v>
      </c>
      <c r="C216" s="1" t="s">
        <v>98</v>
      </c>
      <c r="D216" s="5">
        <v>44941</v>
      </c>
      <c r="E216" s="10">
        <v>6.7361111111111108E-2</v>
      </c>
      <c r="F216" s="15">
        <f t="shared" si="9"/>
        <v>1</v>
      </c>
      <c r="G216" s="10" t="str">
        <f t="shared" si="10"/>
        <v>Sunday</v>
      </c>
      <c r="H216" s="9" t="str">
        <f t="shared" si="11"/>
        <v>January</v>
      </c>
      <c r="I216" t="s">
        <v>95</v>
      </c>
      <c r="J216" t="s">
        <v>28</v>
      </c>
      <c r="K216">
        <v>1340</v>
      </c>
      <c r="L216" s="5" t="str">
        <f>IF(OR(K216&lt;Answers!$C$16,Orders!K216&gt;Answers!$C$17),"Yes","No")</f>
        <v>No</v>
      </c>
      <c r="M216" s="14">
        <f>VLOOKUP(B216,Customers!$A$1:$E$2501,4,0)</f>
        <v>62</v>
      </c>
    </row>
    <row r="217" spans="1:13" x14ac:dyDescent="0.3">
      <c r="A217">
        <v>149497</v>
      </c>
      <c r="B217">
        <v>931</v>
      </c>
      <c r="C217" s="1" t="s">
        <v>98</v>
      </c>
      <c r="D217" s="5">
        <v>45026</v>
      </c>
      <c r="E217" s="10">
        <v>0.48541666666666666</v>
      </c>
      <c r="F217" s="15">
        <f t="shared" si="9"/>
        <v>4</v>
      </c>
      <c r="G217" s="10" t="str">
        <f t="shared" si="10"/>
        <v>Monday</v>
      </c>
      <c r="H217" s="9" t="str">
        <f t="shared" si="11"/>
        <v>April</v>
      </c>
      <c r="I217" t="s">
        <v>95</v>
      </c>
      <c r="J217" t="s">
        <v>8</v>
      </c>
      <c r="K217">
        <v>7840</v>
      </c>
      <c r="L217" s="5" t="str">
        <f>IF(OR(K217&lt;Answers!$C$16,Orders!K217&gt;Answers!$C$17),"Yes","No")</f>
        <v>No</v>
      </c>
      <c r="M217" s="14">
        <f>VLOOKUP(B217,Customers!$A$1:$E$2501,4,0)</f>
        <v>58</v>
      </c>
    </row>
    <row r="218" spans="1:13" x14ac:dyDescent="0.3">
      <c r="A218">
        <v>149877</v>
      </c>
      <c r="B218">
        <v>978</v>
      </c>
      <c r="C218" s="1" t="s">
        <v>98</v>
      </c>
      <c r="D218" s="5">
        <v>44946</v>
      </c>
      <c r="E218" s="10">
        <v>0.47847222222222224</v>
      </c>
      <c r="F218" s="15">
        <f t="shared" si="9"/>
        <v>1</v>
      </c>
      <c r="G218" s="10" t="str">
        <f t="shared" si="10"/>
        <v>Friday</v>
      </c>
      <c r="H218" s="9" t="str">
        <f t="shared" si="11"/>
        <v>January</v>
      </c>
      <c r="I218" t="s">
        <v>95</v>
      </c>
      <c r="J218" t="s">
        <v>29</v>
      </c>
      <c r="K218">
        <v>5106</v>
      </c>
      <c r="L218" s="5" t="str">
        <f>IF(OR(K218&lt;Answers!$C$16,Orders!K218&gt;Answers!$C$17),"Yes","No")</f>
        <v>No</v>
      </c>
      <c r="M218" s="14">
        <f>VLOOKUP(B218,Customers!$A$1:$E$2501,4,0)</f>
        <v>80</v>
      </c>
    </row>
    <row r="219" spans="1:13" x14ac:dyDescent="0.3">
      <c r="A219">
        <v>151746</v>
      </c>
      <c r="B219">
        <v>718</v>
      </c>
      <c r="C219" s="1" t="s">
        <v>102</v>
      </c>
      <c r="D219" s="5">
        <v>45070</v>
      </c>
      <c r="E219" s="10">
        <v>8.2638888888888887E-2</v>
      </c>
      <c r="F219" s="15">
        <f t="shared" si="9"/>
        <v>5</v>
      </c>
      <c r="G219" s="10" t="str">
        <f t="shared" si="10"/>
        <v>Wednesday</v>
      </c>
      <c r="H219" s="9" t="str">
        <f t="shared" si="11"/>
        <v>May</v>
      </c>
      <c r="I219" t="s">
        <v>96</v>
      </c>
      <c r="J219" t="s">
        <v>66</v>
      </c>
      <c r="K219">
        <v>7817</v>
      </c>
      <c r="L219" s="5" t="str">
        <f>IF(OR(K219&lt;Answers!$C$16,Orders!K219&gt;Answers!$C$17),"Yes","No")</f>
        <v>No</v>
      </c>
      <c r="M219" s="14">
        <f>VLOOKUP(B219,Customers!$A$1:$E$2501,4,0)</f>
        <v>77</v>
      </c>
    </row>
    <row r="220" spans="1:13" x14ac:dyDescent="0.3">
      <c r="A220">
        <v>151991</v>
      </c>
      <c r="B220">
        <v>1361</v>
      </c>
      <c r="C220" s="1" t="s">
        <v>104</v>
      </c>
      <c r="D220" s="5">
        <v>44949</v>
      </c>
      <c r="E220" s="10">
        <v>0.47499999999999998</v>
      </c>
      <c r="F220" s="15">
        <f t="shared" si="9"/>
        <v>1</v>
      </c>
      <c r="G220" s="10" t="str">
        <f t="shared" si="10"/>
        <v>Monday</v>
      </c>
      <c r="H220" s="9" t="str">
        <f t="shared" si="11"/>
        <v>January</v>
      </c>
      <c r="I220" t="s">
        <v>190</v>
      </c>
      <c r="J220" t="s">
        <v>31</v>
      </c>
      <c r="K220">
        <v>1045</v>
      </c>
      <c r="L220" s="5" t="str">
        <f>IF(OR(K220&lt;Answers!$C$16,Orders!K220&gt;Answers!$C$17),"Yes","No")</f>
        <v>No</v>
      </c>
      <c r="M220" s="14">
        <f>VLOOKUP(B220,Customers!$A$1:$E$2501,4,0)</f>
        <v>50</v>
      </c>
    </row>
    <row r="221" spans="1:13" x14ac:dyDescent="0.3">
      <c r="A221">
        <v>152504</v>
      </c>
      <c r="B221">
        <v>280</v>
      </c>
      <c r="C221" s="1" t="s">
        <v>98</v>
      </c>
      <c r="D221" s="5">
        <v>45036</v>
      </c>
      <c r="E221" s="10">
        <v>36586</v>
      </c>
      <c r="F221" s="15">
        <f t="shared" si="9"/>
        <v>4</v>
      </c>
      <c r="G221" s="10" t="str">
        <f t="shared" si="10"/>
        <v>Thursday</v>
      </c>
      <c r="H221" s="9" t="str">
        <f t="shared" si="11"/>
        <v>April</v>
      </c>
      <c r="I221" t="s">
        <v>190</v>
      </c>
      <c r="J221" t="s">
        <v>32</v>
      </c>
      <c r="K221">
        <v>6681</v>
      </c>
      <c r="L221" s="5" t="str">
        <f>IF(OR(K221&lt;Answers!$C$16,Orders!K221&gt;Answers!$C$17),"Yes","No")</f>
        <v>No</v>
      </c>
      <c r="M221" s="14">
        <f>VLOOKUP(B221,Customers!$A$1:$E$2501,4,0)</f>
        <v>51</v>
      </c>
    </row>
    <row r="222" spans="1:13" x14ac:dyDescent="0.3">
      <c r="A222">
        <v>152609</v>
      </c>
      <c r="B222">
        <v>991</v>
      </c>
      <c r="C222" s="1" t="s">
        <v>98</v>
      </c>
      <c r="D222" s="5">
        <v>45150</v>
      </c>
      <c r="E222" s="10">
        <v>6.1805555555555558E-2</v>
      </c>
      <c r="F222" s="15">
        <f t="shared" si="9"/>
        <v>8</v>
      </c>
      <c r="G222" s="10" t="str">
        <f t="shared" si="10"/>
        <v>Saturday</v>
      </c>
      <c r="H222" s="9" t="str">
        <f t="shared" si="11"/>
        <v>August</v>
      </c>
      <c r="I222" t="s">
        <v>190</v>
      </c>
      <c r="J222" t="s">
        <v>33</v>
      </c>
      <c r="K222">
        <v>7294</v>
      </c>
      <c r="L222" s="5" t="str">
        <f>IF(OR(K222&lt;Answers!$C$16,Orders!K222&gt;Answers!$C$17),"Yes","No")</f>
        <v>No</v>
      </c>
      <c r="M222" s="14">
        <f>VLOOKUP(B222,Customers!$A$1:$E$2501,4,0)</f>
        <v>55</v>
      </c>
    </row>
    <row r="223" spans="1:13" x14ac:dyDescent="0.3">
      <c r="A223">
        <v>152738</v>
      </c>
      <c r="B223">
        <v>1099</v>
      </c>
      <c r="C223" s="1" t="s">
        <v>99</v>
      </c>
      <c r="D223" s="5">
        <v>45111</v>
      </c>
      <c r="E223" s="10">
        <v>36842</v>
      </c>
      <c r="F223" s="15">
        <f t="shared" si="9"/>
        <v>7</v>
      </c>
      <c r="G223" s="10" t="str">
        <f t="shared" si="10"/>
        <v>Tuesday</v>
      </c>
      <c r="H223" s="9" t="str">
        <f t="shared" si="11"/>
        <v>July</v>
      </c>
      <c r="I223" t="s">
        <v>97</v>
      </c>
      <c r="J223" t="s">
        <v>34</v>
      </c>
      <c r="K223">
        <v>177</v>
      </c>
      <c r="L223" s="5" t="str">
        <f>IF(OR(K223&lt;Answers!$C$16,Orders!K223&gt;Answers!$C$17),"Yes","No")</f>
        <v>No</v>
      </c>
      <c r="M223" s="14">
        <f>VLOOKUP(B223,Customers!$A$1:$E$2501,4,0)</f>
        <v>76</v>
      </c>
    </row>
    <row r="224" spans="1:13" x14ac:dyDescent="0.3">
      <c r="A224">
        <v>152762</v>
      </c>
      <c r="B224">
        <v>1015</v>
      </c>
      <c r="C224" s="1" t="s">
        <v>106</v>
      </c>
      <c r="D224" s="5">
        <v>45097</v>
      </c>
      <c r="E224" s="10">
        <v>0.44513888888888886</v>
      </c>
      <c r="F224" s="15">
        <f t="shared" si="9"/>
        <v>6</v>
      </c>
      <c r="G224" s="10" t="str">
        <f t="shared" si="10"/>
        <v>Tuesday</v>
      </c>
      <c r="H224" s="9" t="str">
        <f t="shared" si="11"/>
        <v>June</v>
      </c>
      <c r="I224" t="s">
        <v>97</v>
      </c>
      <c r="J224" t="s">
        <v>41</v>
      </c>
      <c r="K224">
        <v>9099</v>
      </c>
      <c r="L224" s="5" t="str">
        <f>IF(OR(K224&lt;Answers!$C$16,Orders!K224&gt;Answers!$C$17),"Yes","No")</f>
        <v>No</v>
      </c>
      <c r="M224" s="14">
        <f>VLOOKUP(B224,Customers!$A$1:$E$2501,4,0)</f>
        <v>50</v>
      </c>
    </row>
    <row r="225" spans="1:13" x14ac:dyDescent="0.3">
      <c r="A225">
        <v>153389</v>
      </c>
      <c r="B225">
        <v>1715</v>
      </c>
      <c r="C225" s="1" t="s">
        <v>98</v>
      </c>
      <c r="D225" s="5">
        <v>45227</v>
      </c>
      <c r="E225" s="10">
        <v>0.47291666666666665</v>
      </c>
      <c r="F225" s="15">
        <f t="shared" si="9"/>
        <v>10</v>
      </c>
      <c r="G225" s="10" t="str">
        <f t="shared" si="10"/>
        <v>Saturday</v>
      </c>
      <c r="H225" s="9" t="str">
        <f t="shared" si="11"/>
        <v>October</v>
      </c>
      <c r="I225" t="s">
        <v>96</v>
      </c>
      <c r="J225" t="s">
        <v>42</v>
      </c>
      <c r="K225">
        <v>2257</v>
      </c>
      <c r="L225" s="5" t="str">
        <f>IF(OR(K225&lt;Answers!$C$16,Orders!K225&gt;Answers!$C$17),"Yes","No")</f>
        <v>No</v>
      </c>
      <c r="M225" s="14">
        <f>VLOOKUP(B225,Customers!$A$1:$E$2501,4,0)</f>
        <v>41</v>
      </c>
    </row>
    <row r="226" spans="1:13" x14ac:dyDescent="0.3">
      <c r="A226">
        <v>153440</v>
      </c>
      <c r="B226">
        <v>1070</v>
      </c>
      <c r="C226" s="1" t="s">
        <v>105</v>
      </c>
      <c r="D226" s="5">
        <v>45247</v>
      </c>
      <c r="E226" s="10">
        <v>0.4513888888888889</v>
      </c>
      <c r="F226" s="15">
        <f t="shared" si="9"/>
        <v>11</v>
      </c>
      <c r="G226" s="10" t="str">
        <f t="shared" si="10"/>
        <v>Friday</v>
      </c>
      <c r="H226" s="9" t="str">
        <f t="shared" si="11"/>
        <v>November</v>
      </c>
      <c r="I226" t="s">
        <v>96</v>
      </c>
      <c r="J226" t="s">
        <v>37</v>
      </c>
      <c r="K226">
        <v>5399</v>
      </c>
      <c r="L226" s="5" t="str">
        <f>IF(OR(K226&lt;Answers!$C$16,Orders!K226&gt;Answers!$C$17),"Yes","No")</f>
        <v>No</v>
      </c>
      <c r="M226" s="14">
        <f>VLOOKUP(B226,Customers!$A$1:$E$2501,4,0)</f>
        <v>60</v>
      </c>
    </row>
    <row r="227" spans="1:13" x14ac:dyDescent="0.3">
      <c r="A227">
        <v>153648</v>
      </c>
      <c r="B227">
        <v>1459</v>
      </c>
      <c r="C227" s="1" t="s">
        <v>99</v>
      </c>
      <c r="D227" s="5">
        <v>45209</v>
      </c>
      <c r="E227" s="10">
        <v>0.53819444444444442</v>
      </c>
      <c r="F227" s="15">
        <f t="shared" si="9"/>
        <v>10</v>
      </c>
      <c r="G227" s="10" t="str">
        <f t="shared" si="10"/>
        <v>Tuesday</v>
      </c>
      <c r="H227" s="9" t="str">
        <f t="shared" si="11"/>
        <v>October</v>
      </c>
      <c r="I227" t="s">
        <v>97</v>
      </c>
      <c r="J227" t="s">
        <v>38</v>
      </c>
      <c r="K227">
        <v>7435</v>
      </c>
      <c r="L227" s="5" t="str">
        <f>IF(OR(K227&lt;Answers!$C$16,Orders!K227&gt;Answers!$C$17),"Yes","No")</f>
        <v>No</v>
      </c>
      <c r="M227" s="14">
        <f>VLOOKUP(B227,Customers!$A$1:$E$2501,4,0)</f>
        <v>59</v>
      </c>
    </row>
    <row r="228" spans="1:13" x14ac:dyDescent="0.3">
      <c r="A228">
        <v>153794</v>
      </c>
      <c r="B228">
        <v>887</v>
      </c>
      <c r="C228" s="1" t="s">
        <v>98</v>
      </c>
      <c r="D228" s="5">
        <v>44940</v>
      </c>
      <c r="E228" s="10">
        <v>0.51875000000000004</v>
      </c>
      <c r="F228" s="15">
        <f t="shared" si="9"/>
        <v>1</v>
      </c>
      <c r="G228" s="10" t="str">
        <f t="shared" si="10"/>
        <v>Saturday</v>
      </c>
      <c r="H228" s="9" t="str">
        <f t="shared" si="11"/>
        <v>January</v>
      </c>
      <c r="I228" t="s">
        <v>95</v>
      </c>
      <c r="J228" t="s">
        <v>23</v>
      </c>
      <c r="K228">
        <v>3781</v>
      </c>
      <c r="L228" s="5" t="str">
        <f>IF(OR(K228&lt;Answers!$C$16,Orders!K228&gt;Answers!$C$17),"Yes","No")</f>
        <v>No</v>
      </c>
      <c r="M228" s="14">
        <f>VLOOKUP(B228,Customers!$A$1:$E$2501,4,0)</f>
        <v>28</v>
      </c>
    </row>
    <row r="229" spans="1:13" x14ac:dyDescent="0.3">
      <c r="A229">
        <v>155501</v>
      </c>
      <c r="B229">
        <v>1703</v>
      </c>
      <c r="C229" s="1" t="s">
        <v>99</v>
      </c>
      <c r="D229" s="5">
        <v>45005</v>
      </c>
      <c r="E229" s="10">
        <v>0.4777777777777778</v>
      </c>
      <c r="F229" s="15">
        <f t="shared" si="9"/>
        <v>3</v>
      </c>
      <c r="G229" s="10" t="str">
        <f t="shared" si="10"/>
        <v>Monday</v>
      </c>
      <c r="H229" s="9" t="str">
        <f t="shared" si="11"/>
        <v>March</v>
      </c>
      <c r="I229" t="s">
        <v>190</v>
      </c>
      <c r="J229" t="s">
        <v>21</v>
      </c>
      <c r="K229">
        <v>2102</v>
      </c>
      <c r="L229" s="5" t="str">
        <f>IF(OR(K229&lt;Answers!$C$16,Orders!K229&gt;Answers!$C$17),"Yes","No")</f>
        <v>No</v>
      </c>
      <c r="M229" s="14">
        <f>VLOOKUP(B229,Customers!$A$1:$E$2501,4,0)</f>
        <v>85</v>
      </c>
    </row>
    <row r="230" spans="1:13" x14ac:dyDescent="0.3">
      <c r="A230">
        <v>155731</v>
      </c>
      <c r="B230">
        <v>1212</v>
      </c>
      <c r="C230" s="1" t="s">
        <v>105</v>
      </c>
      <c r="D230" s="5">
        <v>45231</v>
      </c>
      <c r="E230" s="10">
        <v>0.48333333333333334</v>
      </c>
      <c r="F230" s="15">
        <f t="shared" si="9"/>
        <v>11</v>
      </c>
      <c r="G230" s="10" t="str">
        <f t="shared" si="10"/>
        <v>Wednesday</v>
      </c>
      <c r="H230" s="9" t="str">
        <f t="shared" si="11"/>
        <v>November</v>
      </c>
      <c r="I230" t="s">
        <v>190</v>
      </c>
      <c r="J230" t="s">
        <v>40</v>
      </c>
      <c r="K230">
        <v>8205</v>
      </c>
      <c r="L230" s="5" t="str">
        <f>IF(OR(K230&lt;Answers!$C$16,Orders!K230&gt;Answers!$C$17),"Yes","No")</f>
        <v>No</v>
      </c>
      <c r="M230" s="14">
        <f>VLOOKUP(B230,Customers!$A$1:$E$2501,4,0)</f>
        <v>43</v>
      </c>
    </row>
    <row r="231" spans="1:13" x14ac:dyDescent="0.3">
      <c r="A231">
        <v>157238</v>
      </c>
      <c r="B231">
        <v>1100</v>
      </c>
      <c r="C231" s="1" t="s">
        <v>104</v>
      </c>
      <c r="D231" s="5">
        <v>45011</v>
      </c>
      <c r="E231" s="10">
        <v>0.52361111111111114</v>
      </c>
      <c r="F231" s="15">
        <f t="shared" si="9"/>
        <v>3</v>
      </c>
      <c r="G231" s="10" t="str">
        <f t="shared" si="10"/>
        <v>Sunday</v>
      </c>
      <c r="H231" s="9" t="str">
        <f t="shared" si="11"/>
        <v>March</v>
      </c>
      <c r="I231" t="s">
        <v>95</v>
      </c>
      <c r="J231" t="s">
        <v>41</v>
      </c>
      <c r="K231">
        <v>5281</v>
      </c>
      <c r="L231" s="5" t="str">
        <f>IF(OR(K231&lt;Answers!$C$16,Orders!K231&gt;Answers!$C$17),"Yes","No")</f>
        <v>No</v>
      </c>
      <c r="M231" s="14">
        <f>VLOOKUP(B231,Customers!$A$1:$E$2501,4,0)</f>
        <v>30</v>
      </c>
    </row>
    <row r="232" spans="1:13" x14ac:dyDescent="0.3">
      <c r="A232">
        <v>157882</v>
      </c>
      <c r="B232">
        <v>72</v>
      </c>
      <c r="C232" s="1" t="s">
        <v>104</v>
      </c>
      <c r="D232" s="5">
        <v>45254</v>
      </c>
      <c r="E232" s="10">
        <v>0.53749999999999998</v>
      </c>
      <c r="F232" s="15">
        <f t="shared" si="9"/>
        <v>11</v>
      </c>
      <c r="G232" s="10" t="str">
        <f t="shared" si="10"/>
        <v>Friday</v>
      </c>
      <c r="H232" s="9" t="str">
        <f t="shared" si="11"/>
        <v>November</v>
      </c>
      <c r="I232" t="s">
        <v>97</v>
      </c>
      <c r="J232" t="s">
        <v>34</v>
      </c>
      <c r="K232">
        <v>8982</v>
      </c>
      <c r="L232" s="5" t="str">
        <f>IF(OR(K232&lt;Answers!$C$16,Orders!K232&gt;Answers!$C$17),"Yes","No")</f>
        <v>No</v>
      </c>
      <c r="M232" s="14">
        <f>VLOOKUP(B232,Customers!$A$1:$E$2501,4,0)</f>
        <v>18</v>
      </c>
    </row>
    <row r="233" spans="1:13" x14ac:dyDescent="0.3">
      <c r="A233">
        <v>158217</v>
      </c>
      <c r="B233">
        <v>698</v>
      </c>
      <c r="C233" s="1" t="s">
        <v>100</v>
      </c>
      <c r="D233" s="5">
        <v>45075</v>
      </c>
      <c r="E233" s="10">
        <v>8.3333333333333329E-2</v>
      </c>
      <c r="F233" s="15">
        <f t="shared" si="9"/>
        <v>5</v>
      </c>
      <c r="G233" s="10" t="str">
        <f t="shared" si="10"/>
        <v>Monday</v>
      </c>
      <c r="H233" s="9" t="str">
        <f t="shared" si="11"/>
        <v>May</v>
      </c>
      <c r="I233" t="s">
        <v>190</v>
      </c>
      <c r="J233" t="s">
        <v>43</v>
      </c>
      <c r="K233">
        <v>424</v>
      </c>
      <c r="L233" s="5" t="str">
        <f>IF(OR(K233&lt;Answers!$C$16,Orders!K233&gt;Answers!$C$17),"Yes","No")</f>
        <v>No</v>
      </c>
      <c r="M233" s="14">
        <f>VLOOKUP(B233,Customers!$A$1:$E$2501,4,0)</f>
        <v>61</v>
      </c>
    </row>
    <row r="234" spans="1:13" x14ac:dyDescent="0.3">
      <c r="A234">
        <v>159503</v>
      </c>
      <c r="B234">
        <v>333</v>
      </c>
      <c r="C234" s="1" t="s">
        <v>108</v>
      </c>
      <c r="D234" s="5">
        <v>45060</v>
      </c>
      <c r="E234" s="10">
        <v>0.52013888888888893</v>
      </c>
      <c r="F234" s="15">
        <f t="shared" si="9"/>
        <v>5</v>
      </c>
      <c r="G234" s="10" t="str">
        <f t="shared" si="10"/>
        <v>Sunday</v>
      </c>
      <c r="H234" s="9" t="str">
        <f t="shared" si="11"/>
        <v>May</v>
      </c>
      <c r="I234" t="s">
        <v>96</v>
      </c>
      <c r="J234" t="s">
        <v>11</v>
      </c>
      <c r="K234">
        <v>5295</v>
      </c>
      <c r="L234" s="5" t="str">
        <f>IF(OR(K234&lt;Answers!$C$16,Orders!K234&gt;Answers!$C$17),"Yes","No")</f>
        <v>No</v>
      </c>
      <c r="M234" s="14">
        <f>VLOOKUP(B234,Customers!$A$1:$E$2501,4,0)</f>
        <v>43</v>
      </c>
    </row>
    <row r="235" spans="1:13" x14ac:dyDescent="0.3">
      <c r="A235">
        <v>160435</v>
      </c>
      <c r="B235">
        <v>737</v>
      </c>
      <c r="C235" s="1" t="s">
        <v>112</v>
      </c>
      <c r="D235" s="5">
        <v>45083</v>
      </c>
      <c r="E235" s="10">
        <v>0.46875</v>
      </c>
      <c r="F235" s="15">
        <f t="shared" si="9"/>
        <v>6</v>
      </c>
      <c r="G235" s="10" t="str">
        <f t="shared" si="10"/>
        <v>Tuesday</v>
      </c>
      <c r="H235" s="9" t="str">
        <f t="shared" si="11"/>
        <v>June</v>
      </c>
      <c r="I235" t="s">
        <v>95</v>
      </c>
      <c r="J235" t="s">
        <v>13</v>
      </c>
      <c r="K235">
        <v>2127</v>
      </c>
      <c r="L235" s="5" t="str">
        <f>IF(OR(K235&lt;Answers!$C$16,Orders!K235&gt;Answers!$C$17),"Yes","No")</f>
        <v>No</v>
      </c>
      <c r="M235" s="14">
        <f>VLOOKUP(B235,Customers!$A$1:$E$2501,4,0)</f>
        <v>42</v>
      </c>
    </row>
    <row r="236" spans="1:13" x14ac:dyDescent="0.3">
      <c r="A236">
        <v>160692</v>
      </c>
      <c r="B236">
        <v>532</v>
      </c>
      <c r="C236" s="1" t="s">
        <v>98</v>
      </c>
      <c r="D236" s="5">
        <v>45236</v>
      </c>
      <c r="E236" s="10">
        <v>36617</v>
      </c>
      <c r="F236" s="15">
        <f t="shared" si="9"/>
        <v>11</v>
      </c>
      <c r="G236" s="10" t="str">
        <f t="shared" si="10"/>
        <v>Monday</v>
      </c>
      <c r="H236" s="9" t="str">
        <f t="shared" si="11"/>
        <v>November</v>
      </c>
      <c r="I236" t="s">
        <v>190</v>
      </c>
      <c r="J236" t="s">
        <v>42</v>
      </c>
      <c r="K236">
        <v>679</v>
      </c>
      <c r="L236" s="5" t="str">
        <f>IF(OR(K236&lt;Answers!$C$16,Orders!K236&gt;Answers!$C$17),"Yes","No")</f>
        <v>No</v>
      </c>
      <c r="M236" s="14">
        <f>VLOOKUP(B236,Customers!$A$1:$E$2501,4,0)</f>
        <v>84</v>
      </c>
    </row>
    <row r="237" spans="1:13" x14ac:dyDescent="0.3">
      <c r="A237">
        <v>162458</v>
      </c>
      <c r="B237">
        <v>1515</v>
      </c>
      <c r="C237" s="1" t="s">
        <v>98</v>
      </c>
      <c r="D237" s="5">
        <v>45266</v>
      </c>
      <c r="E237" s="10">
        <v>0.54027777777777775</v>
      </c>
      <c r="F237" s="15">
        <f t="shared" si="9"/>
        <v>12</v>
      </c>
      <c r="G237" s="10" t="str">
        <f t="shared" si="10"/>
        <v>Wednesday</v>
      </c>
      <c r="H237" s="9" t="str">
        <f t="shared" si="11"/>
        <v>December</v>
      </c>
      <c r="I237" t="s">
        <v>97</v>
      </c>
      <c r="J237" t="s">
        <v>45</v>
      </c>
      <c r="K237">
        <v>3793</v>
      </c>
      <c r="L237" s="5" t="str">
        <f>IF(OR(K237&lt;Answers!$C$16,Orders!K237&gt;Answers!$C$17),"Yes","No")</f>
        <v>No</v>
      </c>
      <c r="M237" s="14">
        <f>VLOOKUP(B237,Customers!$A$1:$E$2501,4,0)</f>
        <v>54</v>
      </c>
    </row>
    <row r="238" spans="1:13" x14ac:dyDescent="0.3">
      <c r="A238">
        <v>163919</v>
      </c>
      <c r="B238">
        <v>1635</v>
      </c>
      <c r="C238" s="1" t="s">
        <v>98</v>
      </c>
      <c r="D238" s="5">
        <v>45099</v>
      </c>
      <c r="E238" s="10">
        <v>0.53333333333333333</v>
      </c>
      <c r="F238" s="15">
        <f t="shared" si="9"/>
        <v>6</v>
      </c>
      <c r="G238" s="10" t="str">
        <f t="shared" si="10"/>
        <v>Thursday</v>
      </c>
      <c r="H238" s="9" t="str">
        <f t="shared" si="11"/>
        <v>June</v>
      </c>
      <c r="I238" t="s">
        <v>97</v>
      </c>
      <c r="J238" t="s">
        <v>7</v>
      </c>
      <c r="K238">
        <v>4116</v>
      </c>
      <c r="L238" s="5" t="str">
        <f>IF(OR(K238&lt;Answers!$C$16,Orders!K238&gt;Answers!$C$17),"Yes","No")</f>
        <v>No</v>
      </c>
      <c r="M238" s="14">
        <f>VLOOKUP(B238,Customers!$A$1:$E$2501,4,0)</f>
        <v>41</v>
      </c>
    </row>
    <row r="239" spans="1:13" x14ac:dyDescent="0.3">
      <c r="A239">
        <v>164155</v>
      </c>
      <c r="B239">
        <v>820</v>
      </c>
      <c r="C239" s="1" t="s">
        <v>106</v>
      </c>
      <c r="D239" s="5">
        <v>45067</v>
      </c>
      <c r="E239" s="10">
        <v>0.53402777777777777</v>
      </c>
      <c r="F239" s="15">
        <f t="shared" si="9"/>
        <v>5</v>
      </c>
      <c r="G239" s="10" t="str">
        <f t="shared" si="10"/>
        <v>Sunday</v>
      </c>
      <c r="H239" s="9" t="str">
        <f t="shared" si="11"/>
        <v>May</v>
      </c>
      <c r="I239" t="s">
        <v>95</v>
      </c>
      <c r="J239" t="s">
        <v>45</v>
      </c>
      <c r="K239">
        <v>6498</v>
      </c>
      <c r="L239" s="5" t="str">
        <f>IF(OR(K239&lt;Answers!$C$16,Orders!K239&gt;Answers!$C$17),"Yes","No")</f>
        <v>No</v>
      </c>
      <c r="M239" s="14">
        <f>VLOOKUP(B239,Customers!$A$1:$E$2501,4,0)</f>
        <v>29</v>
      </c>
    </row>
    <row r="240" spans="1:13" x14ac:dyDescent="0.3">
      <c r="A240">
        <v>165080</v>
      </c>
      <c r="B240">
        <v>715</v>
      </c>
      <c r="C240" s="1" t="s">
        <v>98</v>
      </c>
      <c r="D240" s="5">
        <v>45283</v>
      </c>
      <c r="E240" s="10">
        <v>0.47361111111111109</v>
      </c>
      <c r="F240" s="15">
        <f t="shared" si="9"/>
        <v>12</v>
      </c>
      <c r="G240" s="10" t="str">
        <f t="shared" si="10"/>
        <v>Saturday</v>
      </c>
      <c r="H240" s="9" t="str">
        <f t="shared" si="11"/>
        <v>December</v>
      </c>
      <c r="I240" t="s">
        <v>97</v>
      </c>
      <c r="J240" t="s">
        <v>46</v>
      </c>
      <c r="K240">
        <v>3378</v>
      </c>
      <c r="L240" s="5" t="str">
        <f>IF(OR(K240&lt;Answers!$C$16,Orders!K240&gt;Answers!$C$17),"Yes","No")</f>
        <v>No</v>
      </c>
      <c r="M240" s="14">
        <f>VLOOKUP(B240,Customers!$A$1:$E$2501,4,0)</f>
        <v>81</v>
      </c>
    </row>
    <row r="241" spans="1:13" x14ac:dyDescent="0.3">
      <c r="A241">
        <v>165318</v>
      </c>
      <c r="B241">
        <v>1759</v>
      </c>
      <c r="C241" s="1" t="s">
        <v>104</v>
      </c>
      <c r="D241" s="5">
        <v>44966</v>
      </c>
      <c r="E241" s="10">
        <v>0.53472222222222221</v>
      </c>
      <c r="F241" s="15">
        <f t="shared" si="9"/>
        <v>2</v>
      </c>
      <c r="G241" s="10" t="str">
        <f t="shared" si="10"/>
        <v>Thursday</v>
      </c>
      <c r="H241" s="9" t="str">
        <f t="shared" si="11"/>
        <v>February</v>
      </c>
      <c r="I241" t="s">
        <v>97</v>
      </c>
      <c r="J241" t="s">
        <v>26</v>
      </c>
      <c r="K241">
        <v>3573</v>
      </c>
      <c r="L241" s="5" t="str">
        <f>IF(OR(K241&lt;Answers!$C$16,Orders!K241&gt;Answers!$C$17),"Yes","No")</f>
        <v>No</v>
      </c>
      <c r="M241" s="14">
        <f>VLOOKUP(B241,Customers!$A$1:$E$2501,4,0)</f>
        <v>22</v>
      </c>
    </row>
    <row r="242" spans="1:13" x14ac:dyDescent="0.3">
      <c r="A242">
        <v>165674</v>
      </c>
      <c r="B242">
        <v>614</v>
      </c>
      <c r="C242" s="1" t="s">
        <v>98</v>
      </c>
      <c r="D242" s="5">
        <v>45259</v>
      </c>
      <c r="E242" s="10">
        <v>0.52361111111111114</v>
      </c>
      <c r="F242" s="15">
        <f t="shared" si="9"/>
        <v>11</v>
      </c>
      <c r="G242" s="10" t="str">
        <f t="shared" si="10"/>
        <v>Wednesday</v>
      </c>
      <c r="H242" s="9" t="str">
        <f t="shared" si="11"/>
        <v>November</v>
      </c>
      <c r="I242" t="s">
        <v>96</v>
      </c>
      <c r="J242" t="s">
        <v>3</v>
      </c>
      <c r="K242">
        <v>8831</v>
      </c>
      <c r="L242" s="5" t="str">
        <f>IF(OR(K242&lt;Answers!$C$16,Orders!K242&gt;Answers!$C$17),"Yes","No")</f>
        <v>No</v>
      </c>
      <c r="M242" s="14">
        <f>VLOOKUP(B242,Customers!$A$1:$E$2501,4,0)</f>
        <v>36</v>
      </c>
    </row>
    <row r="243" spans="1:13" x14ac:dyDescent="0.3">
      <c r="A243">
        <v>165835</v>
      </c>
      <c r="B243">
        <v>1191</v>
      </c>
      <c r="C243" s="1" t="s">
        <v>100</v>
      </c>
      <c r="D243" s="5">
        <v>45077</v>
      </c>
      <c r="E243" s="10">
        <v>0.51111111111111107</v>
      </c>
      <c r="F243" s="15">
        <f t="shared" si="9"/>
        <v>5</v>
      </c>
      <c r="G243" s="10" t="str">
        <f t="shared" si="10"/>
        <v>Wednesday</v>
      </c>
      <c r="H243" s="9" t="str">
        <f t="shared" si="11"/>
        <v>May</v>
      </c>
      <c r="I243" t="s">
        <v>96</v>
      </c>
      <c r="J243" t="s">
        <v>4</v>
      </c>
      <c r="K243">
        <v>2282</v>
      </c>
      <c r="L243" s="5" t="str">
        <f>IF(OR(K243&lt;Answers!$C$16,Orders!K243&gt;Answers!$C$17),"Yes","No")</f>
        <v>No</v>
      </c>
      <c r="M243" s="14">
        <f>VLOOKUP(B243,Customers!$A$1:$E$2501,4,0)</f>
        <v>48</v>
      </c>
    </row>
    <row r="244" spans="1:13" x14ac:dyDescent="0.3">
      <c r="A244">
        <v>166687</v>
      </c>
      <c r="B244">
        <v>813</v>
      </c>
      <c r="C244" s="1" t="s">
        <v>105</v>
      </c>
      <c r="D244" s="5">
        <v>45067</v>
      </c>
      <c r="E244" s="10">
        <v>0.52430555555555558</v>
      </c>
      <c r="F244" s="15">
        <f t="shared" si="9"/>
        <v>5</v>
      </c>
      <c r="G244" s="10" t="str">
        <f t="shared" si="10"/>
        <v>Sunday</v>
      </c>
      <c r="H244" s="9" t="str">
        <f t="shared" si="11"/>
        <v>May</v>
      </c>
      <c r="I244" t="s">
        <v>97</v>
      </c>
      <c r="J244" t="s">
        <v>5</v>
      </c>
      <c r="K244">
        <v>2254</v>
      </c>
      <c r="L244" s="5" t="str">
        <f>IF(OR(K244&lt;Answers!$C$16,Orders!K244&gt;Answers!$C$17),"Yes","No")</f>
        <v>No</v>
      </c>
      <c r="M244" s="14">
        <f>VLOOKUP(B244,Customers!$A$1:$E$2501,4,0)</f>
        <v>51</v>
      </c>
    </row>
    <row r="245" spans="1:13" x14ac:dyDescent="0.3">
      <c r="A245">
        <v>167720</v>
      </c>
      <c r="B245">
        <v>1887</v>
      </c>
      <c r="C245" s="1" t="s">
        <v>104</v>
      </c>
      <c r="D245" s="5">
        <v>45262</v>
      </c>
      <c r="E245" s="10">
        <v>0.52430555555555558</v>
      </c>
      <c r="F245" s="15">
        <f t="shared" si="9"/>
        <v>12</v>
      </c>
      <c r="G245" s="10" t="str">
        <f t="shared" si="10"/>
        <v>Saturday</v>
      </c>
      <c r="H245" s="9" t="str">
        <f t="shared" si="11"/>
        <v>December</v>
      </c>
      <c r="I245" t="s">
        <v>96</v>
      </c>
      <c r="J245" t="s">
        <v>6</v>
      </c>
      <c r="K245">
        <v>8941</v>
      </c>
      <c r="L245" s="5" t="str">
        <f>IF(OR(K245&lt;Answers!$C$16,Orders!K245&gt;Answers!$C$17),"Yes","No")</f>
        <v>No</v>
      </c>
      <c r="M245" s="14">
        <f>VLOOKUP(B245,Customers!$A$1:$E$2501,4,0)</f>
        <v>89</v>
      </c>
    </row>
    <row r="246" spans="1:13" x14ac:dyDescent="0.3">
      <c r="A246">
        <v>169945</v>
      </c>
      <c r="B246">
        <v>1325</v>
      </c>
      <c r="C246" s="1" t="s">
        <v>104</v>
      </c>
      <c r="D246" s="5">
        <v>45111</v>
      </c>
      <c r="E246" s="10">
        <v>0.53749999999999998</v>
      </c>
      <c r="F246" s="15">
        <f t="shared" si="9"/>
        <v>7</v>
      </c>
      <c r="G246" s="10" t="str">
        <f t="shared" si="10"/>
        <v>Tuesday</v>
      </c>
      <c r="H246" s="9" t="str">
        <f t="shared" si="11"/>
        <v>July</v>
      </c>
      <c r="I246" t="s">
        <v>190</v>
      </c>
      <c r="J246" t="s">
        <v>7</v>
      </c>
      <c r="K246">
        <v>9136</v>
      </c>
      <c r="L246" s="5" t="str">
        <f>IF(OR(K246&lt;Answers!$C$16,Orders!K246&gt;Answers!$C$17),"Yes","No")</f>
        <v>No</v>
      </c>
      <c r="M246" s="14">
        <f>VLOOKUP(B246,Customers!$A$1:$E$2501,4,0)</f>
        <v>29</v>
      </c>
    </row>
    <row r="247" spans="1:13" x14ac:dyDescent="0.3">
      <c r="A247">
        <v>170046</v>
      </c>
      <c r="B247">
        <v>242</v>
      </c>
      <c r="C247" s="1" t="s">
        <v>98</v>
      </c>
      <c r="D247" s="5">
        <v>44942</v>
      </c>
      <c r="E247" s="10">
        <v>0.5395833333333333</v>
      </c>
      <c r="F247" s="15">
        <f t="shared" si="9"/>
        <v>1</v>
      </c>
      <c r="G247" s="10" t="str">
        <f t="shared" si="10"/>
        <v>Monday</v>
      </c>
      <c r="H247" s="9" t="str">
        <f t="shared" si="11"/>
        <v>January</v>
      </c>
      <c r="I247" t="s">
        <v>96</v>
      </c>
      <c r="J247" t="s">
        <v>45</v>
      </c>
      <c r="K247">
        <v>9317</v>
      </c>
      <c r="L247" s="5" t="str">
        <f>IF(OR(K247&lt;Answers!$C$16,Orders!K247&gt;Answers!$C$17),"Yes","No")</f>
        <v>No</v>
      </c>
      <c r="M247" s="14">
        <f>VLOOKUP(B247,Customers!$A$1:$E$2501,4,0)</f>
        <v>87</v>
      </c>
    </row>
    <row r="248" spans="1:13" x14ac:dyDescent="0.3">
      <c r="A248">
        <v>170058</v>
      </c>
      <c r="B248">
        <v>446</v>
      </c>
      <c r="C248" s="1" t="s">
        <v>98</v>
      </c>
      <c r="D248" s="5">
        <v>45241</v>
      </c>
      <c r="E248" s="10">
        <v>0.53472222222222221</v>
      </c>
      <c r="F248" s="15">
        <f t="shared" si="9"/>
        <v>11</v>
      </c>
      <c r="G248" s="10" t="str">
        <f t="shared" si="10"/>
        <v>Saturday</v>
      </c>
      <c r="H248" s="9" t="str">
        <f t="shared" si="11"/>
        <v>November</v>
      </c>
      <c r="I248" t="s">
        <v>96</v>
      </c>
      <c r="J248" t="s">
        <v>9</v>
      </c>
      <c r="K248">
        <v>8184</v>
      </c>
      <c r="L248" s="5" t="str">
        <f>IF(OR(K248&lt;Answers!$C$16,Orders!K248&gt;Answers!$C$17),"Yes","No")</f>
        <v>No</v>
      </c>
      <c r="M248" s="14">
        <f>VLOOKUP(B248,Customers!$A$1:$E$2501,4,0)</f>
        <v>67</v>
      </c>
    </row>
    <row r="249" spans="1:13" x14ac:dyDescent="0.3">
      <c r="A249">
        <v>170864</v>
      </c>
      <c r="B249">
        <v>1870</v>
      </c>
      <c r="C249" s="1" t="s">
        <v>98</v>
      </c>
      <c r="D249" s="5">
        <v>45055</v>
      </c>
      <c r="E249" s="10">
        <v>0.49722222222222223</v>
      </c>
      <c r="F249" s="15">
        <f t="shared" si="9"/>
        <v>5</v>
      </c>
      <c r="G249" s="10" t="str">
        <f t="shared" si="10"/>
        <v>Tuesday</v>
      </c>
      <c r="H249" s="9" t="str">
        <f t="shared" si="11"/>
        <v>May</v>
      </c>
      <c r="I249" t="s">
        <v>95</v>
      </c>
      <c r="J249" t="s">
        <v>6</v>
      </c>
      <c r="K249">
        <v>4281</v>
      </c>
      <c r="L249" s="5" t="str">
        <f>IF(OR(K249&lt;Answers!$C$16,Orders!K249&gt;Answers!$C$17),"Yes","No")</f>
        <v>No</v>
      </c>
      <c r="M249" s="14">
        <f>VLOOKUP(B249,Customers!$A$1:$E$2501,4,0)</f>
        <v>39</v>
      </c>
    </row>
    <row r="250" spans="1:13" x14ac:dyDescent="0.3">
      <c r="A250">
        <v>170991</v>
      </c>
      <c r="B250">
        <v>1845</v>
      </c>
      <c r="C250" s="1" t="s">
        <v>101</v>
      </c>
      <c r="D250" s="5">
        <v>45109</v>
      </c>
      <c r="E250" s="10">
        <v>0.48749999999999999</v>
      </c>
      <c r="F250" s="15">
        <f t="shared" si="9"/>
        <v>7</v>
      </c>
      <c r="G250" s="10" t="str">
        <f t="shared" si="10"/>
        <v>Sunday</v>
      </c>
      <c r="H250" s="9" t="str">
        <f t="shared" si="11"/>
        <v>July</v>
      </c>
      <c r="I250" t="s">
        <v>190</v>
      </c>
      <c r="J250" t="s">
        <v>11</v>
      </c>
      <c r="K250">
        <v>2460</v>
      </c>
      <c r="L250" s="5" t="str">
        <f>IF(OR(K250&lt;Answers!$C$16,Orders!K250&gt;Answers!$C$17),"Yes","No")</f>
        <v>No</v>
      </c>
      <c r="M250" s="14">
        <f>VLOOKUP(B250,Customers!$A$1:$E$2501,4,0)</f>
        <v>83</v>
      </c>
    </row>
    <row r="251" spans="1:13" x14ac:dyDescent="0.3">
      <c r="A251">
        <v>171269</v>
      </c>
      <c r="B251">
        <v>516</v>
      </c>
      <c r="C251" s="1" t="s">
        <v>99</v>
      </c>
      <c r="D251" s="5">
        <v>45160</v>
      </c>
      <c r="E251" s="10">
        <v>0.51249999999999996</v>
      </c>
      <c r="F251" s="15">
        <f t="shared" si="9"/>
        <v>8</v>
      </c>
      <c r="G251" s="10" t="str">
        <f t="shared" si="10"/>
        <v>Tuesday</v>
      </c>
      <c r="H251" s="9" t="str">
        <f t="shared" si="11"/>
        <v>August</v>
      </c>
      <c r="I251" t="s">
        <v>190</v>
      </c>
      <c r="J251" t="s">
        <v>12</v>
      </c>
      <c r="K251">
        <v>5709</v>
      </c>
      <c r="L251" s="5" t="str">
        <f>IF(OR(K251&lt;Answers!$C$16,Orders!K251&gt;Answers!$C$17),"Yes","No")</f>
        <v>No</v>
      </c>
      <c r="M251" s="14">
        <f>VLOOKUP(B251,Customers!$A$1:$E$2501,4,0)</f>
        <v>51</v>
      </c>
    </row>
    <row r="252" spans="1:13" x14ac:dyDescent="0.3">
      <c r="A252">
        <v>171420</v>
      </c>
      <c r="B252">
        <v>614</v>
      </c>
      <c r="C252" s="1" t="s">
        <v>98</v>
      </c>
      <c r="D252" s="5">
        <v>44943</v>
      </c>
      <c r="E252" s="10">
        <v>0.53541666666666665</v>
      </c>
      <c r="F252" s="15">
        <f t="shared" si="9"/>
        <v>1</v>
      </c>
      <c r="G252" s="10" t="str">
        <f t="shared" si="10"/>
        <v>Tuesday</v>
      </c>
      <c r="H252" s="9" t="str">
        <f t="shared" si="11"/>
        <v>January</v>
      </c>
      <c r="I252" t="s">
        <v>97</v>
      </c>
      <c r="J252" t="s">
        <v>9</v>
      </c>
      <c r="K252">
        <v>8738</v>
      </c>
      <c r="L252" s="5" t="str">
        <f>IF(OR(K252&lt;Answers!$C$16,Orders!K252&gt;Answers!$C$17),"Yes","No")</f>
        <v>No</v>
      </c>
      <c r="M252" s="14">
        <f>VLOOKUP(B252,Customers!$A$1:$E$2501,4,0)</f>
        <v>36</v>
      </c>
    </row>
    <row r="253" spans="1:13" x14ac:dyDescent="0.3">
      <c r="A253">
        <v>172114</v>
      </c>
      <c r="B253">
        <v>264</v>
      </c>
      <c r="C253" s="1" t="s">
        <v>98</v>
      </c>
      <c r="D253" s="5">
        <v>44979</v>
      </c>
      <c r="E253" s="10">
        <v>0.51527777777777772</v>
      </c>
      <c r="F253" s="15">
        <f t="shared" si="9"/>
        <v>2</v>
      </c>
      <c r="G253" s="10" t="str">
        <f t="shared" si="10"/>
        <v>Wednesday</v>
      </c>
      <c r="H253" s="9" t="str">
        <f t="shared" si="11"/>
        <v>February</v>
      </c>
      <c r="I253" t="s">
        <v>190</v>
      </c>
      <c r="J253" t="s">
        <v>14</v>
      </c>
      <c r="K253">
        <v>5214</v>
      </c>
      <c r="L253" s="5" t="str">
        <f>IF(OR(K253&lt;Answers!$C$16,Orders!K253&gt;Answers!$C$17),"Yes","No")</f>
        <v>No</v>
      </c>
      <c r="M253" s="14">
        <f>VLOOKUP(B253,Customers!$A$1:$E$2501,4,0)</f>
        <v>46</v>
      </c>
    </row>
    <row r="254" spans="1:13" x14ac:dyDescent="0.3">
      <c r="A254">
        <v>172649</v>
      </c>
      <c r="B254">
        <v>1816</v>
      </c>
      <c r="C254" s="1" t="s">
        <v>104</v>
      </c>
      <c r="D254" s="5">
        <v>44981</v>
      </c>
      <c r="E254" s="10">
        <v>0.53819444444444442</v>
      </c>
      <c r="F254" s="15">
        <f t="shared" si="9"/>
        <v>2</v>
      </c>
      <c r="G254" s="10" t="str">
        <f t="shared" si="10"/>
        <v>Friday</v>
      </c>
      <c r="H254" s="9" t="str">
        <f t="shared" si="11"/>
        <v>February</v>
      </c>
      <c r="I254" t="s">
        <v>190</v>
      </c>
      <c r="J254" t="s">
        <v>15</v>
      </c>
      <c r="K254">
        <v>6377</v>
      </c>
      <c r="L254" s="5" t="str">
        <f>IF(OR(K254&lt;Answers!$C$16,Orders!K254&gt;Answers!$C$17),"Yes","No")</f>
        <v>No</v>
      </c>
      <c r="M254" s="14">
        <f>VLOOKUP(B254,Customers!$A$1:$E$2501,4,0)</f>
        <v>75</v>
      </c>
    </row>
    <row r="255" spans="1:13" x14ac:dyDescent="0.3">
      <c r="A255">
        <v>174652</v>
      </c>
      <c r="B255">
        <v>218</v>
      </c>
      <c r="C255" s="1" t="s">
        <v>99</v>
      </c>
      <c r="D255" s="5">
        <v>45254</v>
      </c>
      <c r="E255" s="10">
        <v>0.4777777777777778</v>
      </c>
      <c r="F255" s="15">
        <f t="shared" si="9"/>
        <v>11</v>
      </c>
      <c r="G255" s="10" t="str">
        <f t="shared" si="10"/>
        <v>Friday</v>
      </c>
      <c r="H255" s="9" t="str">
        <f t="shared" si="11"/>
        <v>November</v>
      </c>
      <c r="I255" t="s">
        <v>190</v>
      </c>
      <c r="J255" t="s">
        <v>16</v>
      </c>
      <c r="K255">
        <v>9736</v>
      </c>
      <c r="L255" s="5" t="str">
        <f>IF(OR(K255&lt;Answers!$C$16,Orders!K255&gt;Answers!$C$17),"Yes","No")</f>
        <v>No</v>
      </c>
      <c r="M255" s="14">
        <f>VLOOKUP(B255,Customers!$A$1:$E$2501,4,0)</f>
        <v>34</v>
      </c>
    </row>
    <row r="256" spans="1:13" x14ac:dyDescent="0.3">
      <c r="A256">
        <v>174998</v>
      </c>
      <c r="B256">
        <v>1303</v>
      </c>
      <c r="C256" s="1" t="s">
        <v>104</v>
      </c>
      <c r="D256" s="5">
        <v>44986</v>
      </c>
      <c r="E256" s="10">
        <v>0.49444444444444446</v>
      </c>
      <c r="F256" s="15">
        <f t="shared" si="9"/>
        <v>3</v>
      </c>
      <c r="G256" s="10" t="str">
        <f t="shared" si="10"/>
        <v>Wednesday</v>
      </c>
      <c r="H256" s="9" t="str">
        <f t="shared" si="11"/>
        <v>March</v>
      </c>
      <c r="I256" t="s">
        <v>190</v>
      </c>
      <c r="J256" t="s">
        <v>74</v>
      </c>
      <c r="K256">
        <v>5209</v>
      </c>
      <c r="L256" s="5" t="str">
        <f>IF(OR(K256&lt;Answers!$C$16,Orders!K256&gt;Answers!$C$17),"Yes","No")</f>
        <v>No</v>
      </c>
      <c r="M256" s="14">
        <f>VLOOKUP(B256,Customers!$A$1:$E$2501,4,0)</f>
        <v>81</v>
      </c>
    </row>
    <row r="257" spans="1:13" x14ac:dyDescent="0.3">
      <c r="A257">
        <v>175577</v>
      </c>
      <c r="B257">
        <v>515</v>
      </c>
      <c r="C257" s="1" t="s">
        <v>104</v>
      </c>
      <c r="D257" s="5">
        <v>45251</v>
      </c>
      <c r="E257" s="10">
        <v>7.8472222222222221E-2</v>
      </c>
      <c r="F257" s="15">
        <f t="shared" si="9"/>
        <v>11</v>
      </c>
      <c r="G257" s="10" t="str">
        <f t="shared" si="10"/>
        <v>Tuesday</v>
      </c>
      <c r="H257" s="9" t="str">
        <f t="shared" si="11"/>
        <v>November</v>
      </c>
      <c r="I257" t="s">
        <v>95</v>
      </c>
      <c r="J257" t="s">
        <v>18</v>
      </c>
      <c r="K257">
        <v>5334</v>
      </c>
      <c r="L257" s="5" t="str">
        <f>IF(OR(K257&lt;Answers!$C$16,Orders!K257&gt;Answers!$C$17),"Yes","No")</f>
        <v>No</v>
      </c>
      <c r="M257" s="14">
        <f>VLOOKUP(B257,Customers!$A$1:$E$2501,4,0)</f>
        <v>37</v>
      </c>
    </row>
    <row r="258" spans="1:13" x14ac:dyDescent="0.3">
      <c r="A258">
        <v>177047</v>
      </c>
      <c r="B258">
        <v>1189</v>
      </c>
      <c r="C258" s="1" t="s">
        <v>99</v>
      </c>
      <c r="D258" s="5">
        <v>45151</v>
      </c>
      <c r="E258" s="10">
        <v>0.47083333333333333</v>
      </c>
      <c r="F258" s="15">
        <f t="shared" si="9"/>
        <v>8</v>
      </c>
      <c r="G258" s="10" t="str">
        <f t="shared" si="10"/>
        <v>Sunday</v>
      </c>
      <c r="H258" s="9" t="str">
        <f t="shared" si="11"/>
        <v>August</v>
      </c>
      <c r="I258" t="s">
        <v>96</v>
      </c>
      <c r="J258" t="s">
        <v>19</v>
      </c>
      <c r="K258">
        <v>2516</v>
      </c>
      <c r="L258" s="5" t="str">
        <f>IF(OR(K258&lt;Answers!$C$16,Orders!K258&gt;Answers!$C$17),"Yes","No")</f>
        <v>No</v>
      </c>
      <c r="M258" s="14">
        <f>VLOOKUP(B258,Customers!$A$1:$E$2501,4,0)</f>
        <v>69</v>
      </c>
    </row>
    <row r="259" spans="1:13" x14ac:dyDescent="0.3">
      <c r="A259">
        <v>177753</v>
      </c>
      <c r="B259">
        <v>790</v>
      </c>
      <c r="C259" s="1" t="s">
        <v>112</v>
      </c>
      <c r="D259" s="5">
        <v>45144</v>
      </c>
      <c r="E259" s="10">
        <v>0.53055555555555556</v>
      </c>
      <c r="F259" s="15">
        <f t="shared" ref="F259:F322" si="12">MONTH(D259)</f>
        <v>8</v>
      </c>
      <c r="G259" s="10" t="str">
        <f t="shared" ref="G259:G322" si="13">TEXT(D259,"dddd")</f>
        <v>Sunday</v>
      </c>
      <c r="H259" s="9" t="str">
        <f t="shared" ref="H259:H322" si="14">TEXT(D259,"mmmm")</f>
        <v>August</v>
      </c>
      <c r="I259" t="s">
        <v>96</v>
      </c>
      <c r="J259" t="s">
        <v>20</v>
      </c>
      <c r="K259">
        <v>5420</v>
      </c>
      <c r="L259" s="5" t="str">
        <f>IF(OR(K259&lt;Answers!$C$16,Orders!K259&gt;Answers!$C$17),"Yes","No")</f>
        <v>No</v>
      </c>
      <c r="M259" s="14">
        <f>VLOOKUP(B259,Customers!$A$1:$E$2501,4,0)</f>
        <v>85</v>
      </c>
    </row>
    <row r="260" spans="1:13" x14ac:dyDescent="0.3">
      <c r="A260">
        <v>177897</v>
      </c>
      <c r="B260">
        <v>1698</v>
      </c>
      <c r="C260" s="1" t="s">
        <v>99</v>
      </c>
      <c r="D260" s="5">
        <v>45143</v>
      </c>
      <c r="E260" s="10">
        <v>0.47222222222222221</v>
      </c>
      <c r="F260" s="15">
        <f t="shared" si="12"/>
        <v>8</v>
      </c>
      <c r="G260" s="10" t="str">
        <f t="shared" si="13"/>
        <v>Saturday</v>
      </c>
      <c r="H260" s="9" t="str">
        <f t="shared" si="14"/>
        <v>August</v>
      </c>
      <c r="I260" t="s">
        <v>96</v>
      </c>
      <c r="J260" t="s">
        <v>82</v>
      </c>
      <c r="K260">
        <v>8289</v>
      </c>
      <c r="L260" s="5" t="str">
        <f>IF(OR(K260&lt;Answers!$C$16,Orders!K260&gt;Answers!$C$17),"Yes","No")</f>
        <v>No</v>
      </c>
      <c r="M260" s="14">
        <f>VLOOKUP(B260,Customers!$A$1:$E$2501,4,0)</f>
        <v>34</v>
      </c>
    </row>
    <row r="261" spans="1:13" x14ac:dyDescent="0.3">
      <c r="A261">
        <v>177908</v>
      </c>
      <c r="B261">
        <v>1848</v>
      </c>
      <c r="C261" s="1" t="s">
        <v>98</v>
      </c>
      <c r="D261" s="5">
        <v>45045</v>
      </c>
      <c r="E261" s="10">
        <v>0.47569444444444442</v>
      </c>
      <c r="F261" s="15">
        <f t="shared" si="12"/>
        <v>4</v>
      </c>
      <c r="G261" s="10" t="str">
        <f t="shared" si="13"/>
        <v>Saturday</v>
      </c>
      <c r="H261" s="9" t="str">
        <f t="shared" si="14"/>
        <v>April</v>
      </c>
      <c r="I261" t="s">
        <v>97</v>
      </c>
      <c r="J261" t="s">
        <v>3</v>
      </c>
      <c r="K261">
        <v>1341</v>
      </c>
      <c r="L261" s="5" t="str">
        <f>IF(OR(K261&lt;Answers!$C$16,Orders!K261&gt;Answers!$C$17),"Yes","No")</f>
        <v>No</v>
      </c>
      <c r="M261" s="14">
        <f>VLOOKUP(B261,Customers!$A$1:$E$2501,4,0)</f>
        <v>63</v>
      </c>
    </row>
    <row r="262" spans="1:13" x14ac:dyDescent="0.3">
      <c r="A262">
        <v>178044</v>
      </c>
      <c r="B262">
        <v>1576</v>
      </c>
      <c r="C262" s="1" t="s">
        <v>98</v>
      </c>
      <c r="D262" s="5">
        <v>44961</v>
      </c>
      <c r="E262" s="10">
        <v>5.6944444444444443E-2</v>
      </c>
      <c r="F262" s="15">
        <f t="shared" si="12"/>
        <v>2</v>
      </c>
      <c r="G262" s="10" t="str">
        <f t="shared" si="13"/>
        <v>Saturday</v>
      </c>
      <c r="H262" s="9" t="str">
        <f t="shared" si="14"/>
        <v>February</v>
      </c>
      <c r="I262" t="s">
        <v>190</v>
      </c>
      <c r="J262" t="s">
        <v>22</v>
      </c>
      <c r="K262">
        <v>8097</v>
      </c>
      <c r="L262" s="5" t="str">
        <f>IF(OR(K262&lt;Answers!$C$16,Orders!K262&gt;Answers!$C$17),"Yes","No")</f>
        <v>No</v>
      </c>
      <c r="M262" s="14">
        <f>VLOOKUP(B262,Customers!$A$1:$E$2501,4,0)</f>
        <v>70</v>
      </c>
    </row>
    <row r="263" spans="1:13" x14ac:dyDescent="0.3">
      <c r="A263">
        <v>178761</v>
      </c>
      <c r="B263">
        <v>1021</v>
      </c>
      <c r="C263" s="1" t="s">
        <v>105</v>
      </c>
      <c r="D263" s="5">
        <v>44982</v>
      </c>
      <c r="E263" s="10">
        <v>0.44166666666666665</v>
      </c>
      <c r="F263" s="15">
        <f t="shared" si="12"/>
        <v>2</v>
      </c>
      <c r="G263" s="10" t="str">
        <f t="shared" si="13"/>
        <v>Saturday</v>
      </c>
      <c r="H263" s="9" t="str">
        <f t="shared" si="14"/>
        <v>February</v>
      </c>
      <c r="I263" t="s">
        <v>97</v>
      </c>
      <c r="J263" t="s">
        <v>8</v>
      </c>
      <c r="K263">
        <v>2487</v>
      </c>
      <c r="L263" s="5" t="str">
        <f>IF(OR(K263&lt;Answers!$C$16,Orders!K263&gt;Answers!$C$17),"Yes","No")</f>
        <v>No</v>
      </c>
      <c r="M263" s="14">
        <f>VLOOKUP(B263,Customers!$A$1:$E$2501,4,0)</f>
        <v>49</v>
      </c>
    </row>
    <row r="264" spans="1:13" x14ac:dyDescent="0.3">
      <c r="A264">
        <v>179974</v>
      </c>
      <c r="B264">
        <v>1547</v>
      </c>
      <c r="C264" s="1" t="s">
        <v>99</v>
      </c>
      <c r="D264" s="5">
        <v>45064</v>
      </c>
      <c r="E264" s="10">
        <v>0.52777777777777779</v>
      </c>
      <c r="F264" s="15">
        <f t="shared" si="12"/>
        <v>5</v>
      </c>
      <c r="G264" s="10" t="str">
        <f t="shared" si="13"/>
        <v>Thursday</v>
      </c>
      <c r="H264" s="9" t="str">
        <f t="shared" si="14"/>
        <v>May</v>
      </c>
      <c r="I264" t="s">
        <v>97</v>
      </c>
      <c r="J264" t="s">
        <v>17</v>
      </c>
      <c r="K264">
        <v>5106</v>
      </c>
      <c r="L264" s="5" t="str">
        <f>IF(OR(K264&lt;Answers!$C$16,Orders!K264&gt;Answers!$C$17),"Yes","No")</f>
        <v>No</v>
      </c>
      <c r="M264" s="14">
        <f>VLOOKUP(B264,Customers!$A$1:$E$2501,4,0)</f>
        <v>37</v>
      </c>
    </row>
    <row r="265" spans="1:13" x14ac:dyDescent="0.3">
      <c r="A265">
        <v>180507</v>
      </c>
      <c r="B265">
        <v>1459</v>
      </c>
      <c r="C265" s="1" t="s">
        <v>99</v>
      </c>
      <c r="D265" s="5">
        <v>45061</v>
      </c>
      <c r="E265" s="10">
        <v>0.44097222222222221</v>
      </c>
      <c r="F265" s="15">
        <f t="shared" si="12"/>
        <v>5</v>
      </c>
      <c r="G265" s="10" t="str">
        <f t="shared" si="13"/>
        <v>Monday</v>
      </c>
      <c r="H265" s="9" t="str">
        <f t="shared" si="14"/>
        <v>May</v>
      </c>
      <c r="I265" t="s">
        <v>97</v>
      </c>
      <c r="J265" t="s">
        <v>24</v>
      </c>
      <c r="K265">
        <v>1697</v>
      </c>
      <c r="L265" s="5" t="str">
        <f>IF(OR(K265&lt;Answers!$C$16,Orders!K265&gt;Answers!$C$17),"Yes","No")</f>
        <v>No</v>
      </c>
      <c r="M265" s="14">
        <f>VLOOKUP(B265,Customers!$A$1:$E$2501,4,0)</f>
        <v>59</v>
      </c>
    </row>
    <row r="266" spans="1:13" x14ac:dyDescent="0.3">
      <c r="A266">
        <v>180775</v>
      </c>
      <c r="B266">
        <v>645</v>
      </c>
      <c r="C266" s="1" t="s">
        <v>107</v>
      </c>
      <c r="D266" s="5">
        <v>45005</v>
      </c>
      <c r="E266" s="10">
        <v>36658</v>
      </c>
      <c r="F266" s="15">
        <f t="shared" si="12"/>
        <v>3</v>
      </c>
      <c r="G266" s="10" t="str">
        <f t="shared" si="13"/>
        <v>Monday</v>
      </c>
      <c r="H266" s="9" t="str">
        <f t="shared" si="14"/>
        <v>March</v>
      </c>
      <c r="I266" t="s">
        <v>97</v>
      </c>
      <c r="J266" t="s">
        <v>25</v>
      </c>
      <c r="K266">
        <v>4981</v>
      </c>
      <c r="L266" s="5" t="str">
        <f>IF(OR(K266&lt;Answers!$C$16,Orders!K266&gt;Answers!$C$17),"Yes","No")</f>
        <v>No</v>
      </c>
      <c r="M266" s="14">
        <f>VLOOKUP(B266,Customers!$A$1:$E$2501,4,0)</f>
        <v>40</v>
      </c>
    </row>
    <row r="267" spans="1:13" x14ac:dyDescent="0.3">
      <c r="A267">
        <v>182197</v>
      </c>
      <c r="B267">
        <v>74</v>
      </c>
      <c r="C267" s="1" t="s">
        <v>98</v>
      </c>
      <c r="D267" s="5">
        <v>45081</v>
      </c>
      <c r="E267" s="10">
        <v>7.9166666666666663E-2</v>
      </c>
      <c r="F267" s="15">
        <f t="shared" si="12"/>
        <v>6</v>
      </c>
      <c r="G267" s="10" t="str">
        <f t="shared" si="13"/>
        <v>Sunday</v>
      </c>
      <c r="H267" s="9" t="str">
        <f t="shared" si="14"/>
        <v>June</v>
      </c>
      <c r="I267" t="s">
        <v>96</v>
      </c>
      <c r="J267" t="s">
        <v>26</v>
      </c>
      <c r="K267">
        <v>801</v>
      </c>
      <c r="L267" s="5" t="str">
        <f>IF(OR(K267&lt;Answers!$C$16,Orders!K267&gt;Answers!$C$17),"Yes","No")</f>
        <v>No</v>
      </c>
      <c r="M267" s="14">
        <f>VLOOKUP(B267,Customers!$A$1:$E$2501,4,0)</f>
        <v>28</v>
      </c>
    </row>
    <row r="268" spans="1:13" x14ac:dyDescent="0.3">
      <c r="A268">
        <v>182299</v>
      </c>
      <c r="B268">
        <v>570</v>
      </c>
      <c r="C268" s="1" t="s">
        <v>112</v>
      </c>
      <c r="D268" s="5">
        <v>45212</v>
      </c>
      <c r="E268" s="10">
        <v>0.5229166666666667</v>
      </c>
      <c r="F268" s="15">
        <f t="shared" si="12"/>
        <v>10</v>
      </c>
      <c r="G268" s="10" t="str">
        <f t="shared" si="13"/>
        <v>Friday</v>
      </c>
      <c r="H268" s="9" t="str">
        <f t="shared" si="14"/>
        <v>October</v>
      </c>
      <c r="I268" t="s">
        <v>96</v>
      </c>
      <c r="J268" t="s">
        <v>26</v>
      </c>
      <c r="K268">
        <v>2238</v>
      </c>
      <c r="L268" s="5" t="str">
        <f>IF(OR(K268&lt;Answers!$C$16,Orders!K268&gt;Answers!$C$17),"Yes","No")</f>
        <v>No</v>
      </c>
      <c r="M268" s="14">
        <f>VLOOKUP(B268,Customers!$A$1:$E$2501,4,0)</f>
        <v>66</v>
      </c>
    </row>
    <row r="269" spans="1:13" x14ac:dyDescent="0.3">
      <c r="A269">
        <v>182441</v>
      </c>
      <c r="B269">
        <v>1694</v>
      </c>
      <c r="C269" s="1" t="s">
        <v>110</v>
      </c>
      <c r="D269" s="5">
        <v>45278</v>
      </c>
      <c r="E269" s="10">
        <v>36536</v>
      </c>
      <c r="F269" s="15">
        <f t="shared" si="12"/>
        <v>12</v>
      </c>
      <c r="G269" s="10" t="str">
        <f t="shared" si="13"/>
        <v>Monday</v>
      </c>
      <c r="H269" s="9" t="str">
        <f t="shared" si="14"/>
        <v>December</v>
      </c>
      <c r="I269" t="s">
        <v>190</v>
      </c>
      <c r="J269" t="s">
        <v>29</v>
      </c>
      <c r="K269">
        <v>1072</v>
      </c>
      <c r="L269" s="5" t="str">
        <f>IF(OR(K269&lt;Answers!$C$16,Orders!K269&gt;Answers!$C$17),"Yes","No")</f>
        <v>No</v>
      </c>
      <c r="M269" s="14">
        <f>VLOOKUP(B269,Customers!$A$1:$E$2501,4,0)</f>
        <v>83</v>
      </c>
    </row>
    <row r="270" spans="1:13" x14ac:dyDescent="0.3">
      <c r="A270">
        <v>183352</v>
      </c>
      <c r="B270">
        <v>1682</v>
      </c>
      <c r="C270" s="1" t="s">
        <v>99</v>
      </c>
      <c r="D270" s="5">
        <v>45215</v>
      </c>
      <c r="E270" s="10">
        <v>0.52430555555555558</v>
      </c>
      <c r="F270" s="15">
        <f t="shared" si="12"/>
        <v>10</v>
      </c>
      <c r="G270" s="10" t="str">
        <f t="shared" si="13"/>
        <v>Monday</v>
      </c>
      <c r="H270" s="9" t="str">
        <f t="shared" si="14"/>
        <v>October</v>
      </c>
      <c r="I270" t="s">
        <v>190</v>
      </c>
      <c r="J270" t="s">
        <v>77</v>
      </c>
      <c r="K270">
        <v>8347</v>
      </c>
      <c r="L270" s="5" t="str">
        <f>IF(OR(K270&lt;Answers!$C$16,Orders!K270&gt;Answers!$C$17),"Yes","No")</f>
        <v>No</v>
      </c>
      <c r="M270" s="14">
        <f>VLOOKUP(B270,Customers!$A$1:$E$2501,4,0)</f>
        <v>72</v>
      </c>
    </row>
    <row r="271" spans="1:13" x14ac:dyDescent="0.3">
      <c r="A271">
        <v>183380</v>
      </c>
      <c r="B271">
        <v>1712</v>
      </c>
      <c r="C271" s="1" t="s">
        <v>108</v>
      </c>
      <c r="D271" s="5">
        <v>45113</v>
      </c>
      <c r="E271" s="10">
        <v>36597</v>
      </c>
      <c r="F271" s="15">
        <f t="shared" si="12"/>
        <v>7</v>
      </c>
      <c r="G271" s="10" t="str">
        <f t="shared" si="13"/>
        <v>Thursday</v>
      </c>
      <c r="H271" s="9" t="str">
        <f t="shared" si="14"/>
        <v>July</v>
      </c>
      <c r="I271" t="s">
        <v>190</v>
      </c>
      <c r="J271" t="s">
        <v>42</v>
      </c>
      <c r="K271">
        <v>1046</v>
      </c>
      <c r="L271" s="5" t="str">
        <f>IF(OR(K271&lt;Answers!$C$16,Orders!K271&gt;Answers!$C$17),"Yes","No")</f>
        <v>No</v>
      </c>
      <c r="M271" s="14">
        <f>VLOOKUP(B271,Customers!$A$1:$E$2501,4,0)</f>
        <v>82</v>
      </c>
    </row>
    <row r="272" spans="1:13" x14ac:dyDescent="0.3">
      <c r="A272">
        <v>183654</v>
      </c>
      <c r="B272">
        <v>618</v>
      </c>
      <c r="C272" s="1" t="s">
        <v>101</v>
      </c>
      <c r="D272" s="5">
        <v>45152</v>
      </c>
      <c r="E272" s="10">
        <v>36567</v>
      </c>
      <c r="F272" s="15">
        <f t="shared" si="12"/>
        <v>8</v>
      </c>
      <c r="G272" s="10" t="str">
        <f t="shared" si="13"/>
        <v>Monday</v>
      </c>
      <c r="H272" s="9" t="str">
        <f t="shared" si="14"/>
        <v>August</v>
      </c>
      <c r="I272" t="s">
        <v>95</v>
      </c>
      <c r="J272" t="s">
        <v>26</v>
      </c>
      <c r="K272">
        <v>1434</v>
      </c>
      <c r="L272" s="5" t="str">
        <f>IF(OR(K272&lt;Answers!$C$16,Orders!K272&gt;Answers!$C$17),"Yes","No")</f>
        <v>No</v>
      </c>
      <c r="M272" s="14">
        <f>VLOOKUP(B272,Customers!$A$1:$E$2501,4,0)</f>
        <v>58</v>
      </c>
    </row>
    <row r="273" spans="1:13" x14ac:dyDescent="0.3">
      <c r="A273">
        <v>184958</v>
      </c>
      <c r="B273">
        <v>1354</v>
      </c>
      <c r="C273" s="1" t="s">
        <v>105</v>
      </c>
      <c r="D273" s="5">
        <v>45150</v>
      </c>
      <c r="E273" s="10">
        <v>0.54027777777777775</v>
      </c>
      <c r="F273" s="15">
        <f t="shared" si="12"/>
        <v>8</v>
      </c>
      <c r="G273" s="10" t="str">
        <f t="shared" si="13"/>
        <v>Saturday</v>
      </c>
      <c r="H273" s="9" t="str">
        <f t="shared" si="14"/>
        <v>August</v>
      </c>
      <c r="I273" t="s">
        <v>95</v>
      </c>
      <c r="J273" t="s">
        <v>29</v>
      </c>
      <c r="K273">
        <v>39</v>
      </c>
      <c r="L273" s="5" t="str">
        <f>IF(OR(K273&lt;Answers!$C$16,Orders!K273&gt;Answers!$C$17),"Yes","No")</f>
        <v>No</v>
      </c>
      <c r="M273" s="14">
        <f>VLOOKUP(B273,Customers!$A$1:$E$2501,4,0)</f>
        <v>68</v>
      </c>
    </row>
    <row r="274" spans="1:13" x14ac:dyDescent="0.3">
      <c r="A274">
        <v>185213</v>
      </c>
      <c r="B274">
        <v>868</v>
      </c>
      <c r="C274" s="1" t="s">
        <v>109</v>
      </c>
      <c r="D274" s="5">
        <v>45032</v>
      </c>
      <c r="E274" s="10">
        <v>0.44444444444444442</v>
      </c>
      <c r="F274" s="15">
        <f t="shared" si="12"/>
        <v>4</v>
      </c>
      <c r="G274" s="10" t="str">
        <f t="shared" si="13"/>
        <v>Sunday</v>
      </c>
      <c r="H274" s="9" t="str">
        <f t="shared" si="14"/>
        <v>April</v>
      </c>
      <c r="I274" t="s">
        <v>96</v>
      </c>
      <c r="J274" t="s">
        <v>73</v>
      </c>
      <c r="K274">
        <v>4245</v>
      </c>
      <c r="L274" s="5" t="str">
        <f>IF(OR(K274&lt;Answers!$C$16,Orders!K274&gt;Answers!$C$17),"Yes","No")</f>
        <v>No</v>
      </c>
      <c r="M274" s="14">
        <f>VLOOKUP(B274,Customers!$A$1:$E$2501,4,0)</f>
        <v>31</v>
      </c>
    </row>
    <row r="275" spans="1:13" x14ac:dyDescent="0.3">
      <c r="A275">
        <v>185809</v>
      </c>
      <c r="B275">
        <v>1830</v>
      </c>
      <c r="C275" s="1" t="s">
        <v>100</v>
      </c>
      <c r="D275" s="5">
        <v>44993</v>
      </c>
      <c r="E275" s="10">
        <v>36709</v>
      </c>
      <c r="F275" s="15">
        <f t="shared" si="12"/>
        <v>3</v>
      </c>
      <c r="G275" s="10" t="str">
        <f t="shared" si="13"/>
        <v>Wednesday</v>
      </c>
      <c r="H275" s="9" t="str">
        <f t="shared" si="14"/>
        <v>March</v>
      </c>
      <c r="I275" t="s">
        <v>190</v>
      </c>
      <c r="J275" t="s">
        <v>53</v>
      </c>
      <c r="K275">
        <v>3863</v>
      </c>
      <c r="L275" s="5" t="str">
        <f>IF(OR(K275&lt;Answers!$C$16,Orders!K275&gt;Answers!$C$17),"Yes","No")</f>
        <v>No</v>
      </c>
      <c r="M275" s="14">
        <f>VLOOKUP(B275,Customers!$A$1:$E$2501,4,0)</f>
        <v>44</v>
      </c>
    </row>
    <row r="276" spans="1:13" x14ac:dyDescent="0.3">
      <c r="A276">
        <v>187527</v>
      </c>
      <c r="B276">
        <v>877</v>
      </c>
      <c r="C276" s="1" t="s">
        <v>112</v>
      </c>
      <c r="D276" s="5">
        <v>45023</v>
      </c>
      <c r="E276" s="10">
        <v>5.6944444444444443E-2</v>
      </c>
      <c r="F276" s="15">
        <f t="shared" si="12"/>
        <v>4</v>
      </c>
      <c r="G276" s="10" t="str">
        <f t="shared" si="13"/>
        <v>Friday</v>
      </c>
      <c r="H276" s="9" t="str">
        <f t="shared" si="14"/>
        <v>April</v>
      </c>
      <c r="I276" t="s">
        <v>190</v>
      </c>
      <c r="J276" t="s">
        <v>37</v>
      </c>
      <c r="K276">
        <v>6774</v>
      </c>
      <c r="L276" s="5" t="str">
        <f>IF(OR(K276&lt;Answers!$C$16,Orders!K276&gt;Answers!$C$17),"Yes","No")</f>
        <v>No</v>
      </c>
      <c r="M276" s="14">
        <f>VLOOKUP(B276,Customers!$A$1:$E$2501,4,0)</f>
        <v>78</v>
      </c>
    </row>
    <row r="277" spans="1:13" x14ac:dyDescent="0.3">
      <c r="A277">
        <v>187746</v>
      </c>
      <c r="B277">
        <v>500</v>
      </c>
      <c r="C277" s="1" t="s">
        <v>98</v>
      </c>
      <c r="D277" s="5">
        <v>45220</v>
      </c>
      <c r="E277" s="10">
        <v>36872</v>
      </c>
      <c r="F277" s="15">
        <f t="shared" si="12"/>
        <v>10</v>
      </c>
      <c r="G277" s="10" t="str">
        <f t="shared" si="13"/>
        <v>Saturday</v>
      </c>
      <c r="H277" s="9" t="str">
        <f t="shared" si="14"/>
        <v>October</v>
      </c>
      <c r="I277" t="s">
        <v>95</v>
      </c>
      <c r="J277" t="s">
        <v>33</v>
      </c>
      <c r="K277">
        <v>946</v>
      </c>
      <c r="L277" s="5" t="str">
        <f>IF(OR(K277&lt;Answers!$C$16,Orders!K277&gt;Answers!$C$17),"Yes","No")</f>
        <v>No</v>
      </c>
      <c r="M277" s="14">
        <f>VLOOKUP(B277,Customers!$A$1:$E$2501,4,0)</f>
        <v>77</v>
      </c>
    </row>
    <row r="278" spans="1:13" x14ac:dyDescent="0.3">
      <c r="A278">
        <v>188610</v>
      </c>
      <c r="B278">
        <v>1057</v>
      </c>
      <c r="C278" s="1" t="s">
        <v>104</v>
      </c>
      <c r="D278" s="5">
        <v>44962</v>
      </c>
      <c r="E278" s="10">
        <v>0.48888888888888887</v>
      </c>
      <c r="F278" s="15">
        <f t="shared" si="12"/>
        <v>2</v>
      </c>
      <c r="G278" s="10" t="str">
        <f t="shared" si="13"/>
        <v>Sunday</v>
      </c>
      <c r="H278" s="9" t="str">
        <f t="shared" si="14"/>
        <v>February</v>
      </c>
      <c r="I278" t="s">
        <v>96</v>
      </c>
      <c r="J278" t="s">
        <v>78</v>
      </c>
      <c r="K278">
        <v>597</v>
      </c>
      <c r="L278" s="5" t="str">
        <f>IF(OR(K278&lt;Answers!$C$16,Orders!K278&gt;Answers!$C$17),"Yes","No")</f>
        <v>No</v>
      </c>
      <c r="M278" s="14">
        <f>VLOOKUP(B278,Customers!$A$1:$E$2501,4,0)</f>
        <v>71</v>
      </c>
    </row>
    <row r="279" spans="1:13" x14ac:dyDescent="0.3">
      <c r="A279">
        <v>188856</v>
      </c>
      <c r="B279">
        <v>1984</v>
      </c>
      <c r="C279" s="1" t="s">
        <v>100</v>
      </c>
      <c r="D279" s="5">
        <v>45251</v>
      </c>
      <c r="E279" s="10">
        <v>36536</v>
      </c>
      <c r="F279" s="15">
        <f t="shared" si="12"/>
        <v>11</v>
      </c>
      <c r="G279" s="10" t="str">
        <f t="shared" si="13"/>
        <v>Tuesday</v>
      </c>
      <c r="H279" s="9" t="str">
        <f t="shared" si="14"/>
        <v>November</v>
      </c>
      <c r="I279" t="s">
        <v>190</v>
      </c>
      <c r="J279" t="s">
        <v>75</v>
      </c>
      <c r="K279">
        <v>4243</v>
      </c>
      <c r="L279" s="5" t="str">
        <f>IF(OR(K279&lt;Answers!$C$16,Orders!K279&gt;Answers!$C$17),"Yes","No")</f>
        <v>No</v>
      </c>
      <c r="M279" s="14">
        <f>VLOOKUP(B279,Customers!$A$1:$E$2501,4,0)</f>
        <v>45</v>
      </c>
    </row>
    <row r="280" spans="1:13" x14ac:dyDescent="0.3">
      <c r="A280">
        <v>191639</v>
      </c>
      <c r="B280">
        <v>1293</v>
      </c>
      <c r="C280" s="1" t="s">
        <v>98</v>
      </c>
      <c r="D280" s="5">
        <v>45042</v>
      </c>
      <c r="E280" s="10">
        <v>0.4861111111111111</v>
      </c>
      <c r="F280" s="15">
        <f t="shared" si="12"/>
        <v>4</v>
      </c>
      <c r="G280" s="10" t="str">
        <f t="shared" si="13"/>
        <v>Wednesday</v>
      </c>
      <c r="H280" s="9" t="str">
        <f t="shared" si="14"/>
        <v>April</v>
      </c>
      <c r="I280" t="s">
        <v>96</v>
      </c>
      <c r="J280" t="s">
        <v>76</v>
      </c>
      <c r="K280">
        <v>957</v>
      </c>
      <c r="L280" s="5" t="str">
        <f>IF(OR(K280&lt;Answers!$C$16,Orders!K280&gt;Answers!$C$17),"Yes","No")</f>
        <v>No</v>
      </c>
      <c r="M280" s="14">
        <f>VLOOKUP(B280,Customers!$A$1:$E$2501,4,0)</f>
        <v>38</v>
      </c>
    </row>
    <row r="281" spans="1:13" x14ac:dyDescent="0.3">
      <c r="A281">
        <v>193342</v>
      </c>
      <c r="B281">
        <v>1974</v>
      </c>
      <c r="C281" s="1" t="s">
        <v>98</v>
      </c>
      <c r="D281" s="5">
        <v>45002</v>
      </c>
      <c r="E281" s="10">
        <v>7.1527777777777773E-2</v>
      </c>
      <c r="F281" s="15">
        <f t="shared" si="12"/>
        <v>3</v>
      </c>
      <c r="G281" s="10" t="str">
        <f t="shared" si="13"/>
        <v>Friday</v>
      </c>
      <c r="H281" s="9" t="str">
        <f t="shared" si="14"/>
        <v>March</v>
      </c>
      <c r="I281" t="s">
        <v>95</v>
      </c>
      <c r="J281" t="s">
        <v>21</v>
      </c>
      <c r="K281">
        <v>242</v>
      </c>
      <c r="L281" s="5" t="str">
        <f>IF(OR(K281&lt;Answers!$C$16,Orders!K281&gt;Answers!$C$17),"Yes","No")</f>
        <v>No</v>
      </c>
      <c r="M281" s="14">
        <f>VLOOKUP(B281,Customers!$A$1:$E$2501,4,0)</f>
        <v>74</v>
      </c>
    </row>
    <row r="282" spans="1:13" x14ac:dyDescent="0.3">
      <c r="A282">
        <v>194632</v>
      </c>
      <c r="B282">
        <v>1962</v>
      </c>
      <c r="C282" s="1" t="s">
        <v>98</v>
      </c>
      <c r="D282" s="5">
        <v>44928</v>
      </c>
      <c r="E282" s="10">
        <v>0.52777777777777779</v>
      </c>
      <c r="F282" s="15">
        <f t="shared" si="12"/>
        <v>1</v>
      </c>
      <c r="G282" s="10" t="str">
        <f t="shared" si="13"/>
        <v>Monday</v>
      </c>
      <c r="H282" s="9" t="str">
        <f t="shared" si="14"/>
        <v>January</v>
      </c>
      <c r="I282" t="s">
        <v>96</v>
      </c>
      <c r="J282" t="s">
        <v>42</v>
      </c>
      <c r="K282">
        <v>8267</v>
      </c>
      <c r="L282" s="5" t="str">
        <f>IF(OR(K282&lt;Answers!$C$16,Orders!K282&gt;Answers!$C$17),"Yes","No")</f>
        <v>No</v>
      </c>
      <c r="M282" s="14">
        <f>VLOOKUP(B282,Customers!$A$1:$E$2501,4,0)</f>
        <v>23</v>
      </c>
    </row>
    <row r="283" spans="1:13" x14ac:dyDescent="0.3">
      <c r="A283">
        <v>194894</v>
      </c>
      <c r="B283">
        <v>1210</v>
      </c>
      <c r="C283" s="1" t="s">
        <v>104</v>
      </c>
      <c r="D283" s="5">
        <v>45236</v>
      </c>
      <c r="E283" s="10">
        <v>0.44722222222222224</v>
      </c>
      <c r="F283" s="15">
        <f t="shared" si="12"/>
        <v>11</v>
      </c>
      <c r="G283" s="10" t="str">
        <f t="shared" si="13"/>
        <v>Monday</v>
      </c>
      <c r="H283" s="9" t="str">
        <f t="shared" si="14"/>
        <v>November</v>
      </c>
      <c r="I283" t="s">
        <v>96</v>
      </c>
      <c r="J283" t="s">
        <v>39</v>
      </c>
      <c r="K283">
        <v>8013</v>
      </c>
      <c r="L283" s="5" t="str">
        <f>IF(OR(K283&lt;Answers!$C$16,Orders!K283&gt;Answers!$C$17),"Yes","No")</f>
        <v>No</v>
      </c>
      <c r="M283" s="14">
        <f>VLOOKUP(B283,Customers!$A$1:$E$2501,4,0)</f>
        <v>88</v>
      </c>
    </row>
    <row r="284" spans="1:13" x14ac:dyDescent="0.3">
      <c r="A284">
        <v>195686</v>
      </c>
      <c r="B284">
        <v>67</v>
      </c>
      <c r="C284" s="1" t="s">
        <v>106</v>
      </c>
      <c r="D284" s="5">
        <v>45176</v>
      </c>
      <c r="E284" s="10">
        <v>36617</v>
      </c>
      <c r="F284" s="15">
        <f t="shared" si="12"/>
        <v>9</v>
      </c>
      <c r="G284" s="10" t="str">
        <f t="shared" si="13"/>
        <v>Thursday</v>
      </c>
      <c r="H284" s="9" t="str">
        <f t="shared" si="14"/>
        <v>September</v>
      </c>
      <c r="I284" t="s">
        <v>190</v>
      </c>
      <c r="J284" t="s">
        <v>80</v>
      </c>
      <c r="K284">
        <v>2651</v>
      </c>
      <c r="L284" s="5" t="str">
        <f>IF(OR(K284&lt;Answers!$C$16,Orders!K284&gt;Answers!$C$17),"Yes","No")</f>
        <v>No</v>
      </c>
      <c r="M284" s="14">
        <f>VLOOKUP(B284,Customers!$A$1:$E$2501,4,0)</f>
        <v>51</v>
      </c>
    </row>
    <row r="285" spans="1:13" x14ac:dyDescent="0.3">
      <c r="A285">
        <v>195704</v>
      </c>
      <c r="B285">
        <v>1260</v>
      </c>
      <c r="C285" s="1" t="s">
        <v>99</v>
      </c>
      <c r="D285" s="5">
        <v>44973</v>
      </c>
      <c r="E285" s="10">
        <v>0.51736111111111116</v>
      </c>
      <c r="F285" s="15">
        <f t="shared" si="12"/>
        <v>2</v>
      </c>
      <c r="G285" s="10" t="str">
        <f t="shared" si="13"/>
        <v>Thursday</v>
      </c>
      <c r="H285" s="9" t="str">
        <f t="shared" si="14"/>
        <v>February</v>
      </c>
      <c r="I285" t="s">
        <v>190</v>
      </c>
      <c r="J285" t="s">
        <v>81</v>
      </c>
      <c r="K285">
        <v>6946</v>
      </c>
      <c r="L285" s="5" t="str">
        <f>IF(OR(K285&lt;Answers!$C$16,Orders!K285&gt;Answers!$C$17),"Yes","No")</f>
        <v>No</v>
      </c>
      <c r="M285" s="14">
        <f>VLOOKUP(B285,Customers!$A$1:$E$2501,4,0)</f>
        <v>67</v>
      </c>
    </row>
    <row r="286" spans="1:13" x14ac:dyDescent="0.3">
      <c r="A286">
        <v>196116</v>
      </c>
      <c r="B286">
        <v>1831</v>
      </c>
      <c r="C286" s="1" t="s">
        <v>98</v>
      </c>
      <c r="D286" s="5">
        <v>45254</v>
      </c>
      <c r="E286" s="10">
        <v>36750</v>
      </c>
      <c r="F286" s="15">
        <f t="shared" si="12"/>
        <v>11</v>
      </c>
      <c r="G286" s="10" t="str">
        <f t="shared" si="13"/>
        <v>Friday</v>
      </c>
      <c r="H286" s="9" t="str">
        <f t="shared" si="14"/>
        <v>November</v>
      </c>
      <c r="I286" t="s">
        <v>96</v>
      </c>
      <c r="J286" t="s">
        <v>14</v>
      </c>
      <c r="K286">
        <v>7358</v>
      </c>
      <c r="L286" s="5" t="str">
        <f>IF(OR(K286&lt;Answers!$C$16,Orders!K286&gt;Answers!$C$17),"Yes","No")</f>
        <v>No</v>
      </c>
      <c r="M286" s="14">
        <f>VLOOKUP(B286,Customers!$A$1:$E$2501,4,0)</f>
        <v>48</v>
      </c>
    </row>
    <row r="287" spans="1:13" x14ac:dyDescent="0.3">
      <c r="A287">
        <v>196148</v>
      </c>
      <c r="B287">
        <v>325</v>
      </c>
      <c r="C287" s="1" t="s">
        <v>99</v>
      </c>
      <c r="D287" s="5">
        <v>44941</v>
      </c>
      <c r="E287" s="10">
        <v>36770</v>
      </c>
      <c r="F287" s="15">
        <f t="shared" si="12"/>
        <v>1</v>
      </c>
      <c r="G287" s="10" t="str">
        <f t="shared" si="13"/>
        <v>Sunday</v>
      </c>
      <c r="H287" s="9" t="str">
        <f t="shared" si="14"/>
        <v>January</v>
      </c>
      <c r="I287" t="s">
        <v>97</v>
      </c>
      <c r="J287" t="s">
        <v>65</v>
      </c>
      <c r="K287">
        <v>8010</v>
      </c>
      <c r="L287" s="5" t="str">
        <f>IF(OR(K287&lt;Answers!$C$16,Orders!K287&gt;Answers!$C$17),"Yes","No")</f>
        <v>No</v>
      </c>
      <c r="M287" s="14">
        <f>VLOOKUP(B287,Customers!$A$1:$E$2501,4,0)</f>
        <v>30</v>
      </c>
    </row>
    <row r="288" spans="1:13" x14ac:dyDescent="0.3">
      <c r="A288">
        <v>196872</v>
      </c>
      <c r="B288">
        <v>1250</v>
      </c>
      <c r="C288" s="1" t="s">
        <v>98</v>
      </c>
      <c r="D288" s="5">
        <v>45194</v>
      </c>
      <c r="E288" s="10">
        <v>5.0694444444444445E-2</v>
      </c>
      <c r="F288" s="15">
        <f t="shared" si="12"/>
        <v>9</v>
      </c>
      <c r="G288" s="10" t="str">
        <f t="shared" si="13"/>
        <v>Monday</v>
      </c>
      <c r="H288" s="9" t="str">
        <f t="shared" si="14"/>
        <v>September</v>
      </c>
      <c r="I288" t="s">
        <v>96</v>
      </c>
      <c r="J288" t="s">
        <v>28</v>
      </c>
      <c r="K288">
        <v>5888</v>
      </c>
      <c r="L288" s="5" t="str">
        <f>IF(OR(K288&lt;Answers!$C$16,Orders!K288&gt;Answers!$C$17),"Yes","No")</f>
        <v>No</v>
      </c>
      <c r="M288" s="14">
        <f>VLOOKUP(B288,Customers!$A$1:$E$2501,4,0)</f>
        <v>57</v>
      </c>
    </row>
    <row r="289" spans="1:13" x14ac:dyDescent="0.3">
      <c r="A289">
        <v>197854</v>
      </c>
      <c r="B289">
        <v>347</v>
      </c>
      <c r="C289" s="1" t="s">
        <v>107</v>
      </c>
      <c r="D289" s="5">
        <v>45169</v>
      </c>
      <c r="E289" s="10">
        <v>0.53888888888888886</v>
      </c>
      <c r="F289" s="15">
        <f t="shared" si="12"/>
        <v>8</v>
      </c>
      <c r="G289" s="10" t="str">
        <f t="shared" si="13"/>
        <v>Thursday</v>
      </c>
      <c r="H289" s="9" t="str">
        <f t="shared" si="14"/>
        <v>August</v>
      </c>
      <c r="I289" t="s">
        <v>96</v>
      </c>
      <c r="J289" t="s">
        <v>26</v>
      </c>
      <c r="K289">
        <v>1674</v>
      </c>
      <c r="L289" s="5" t="str">
        <f>IF(OR(K289&lt;Answers!$C$16,Orders!K289&gt;Answers!$C$17),"Yes","No")</f>
        <v>No</v>
      </c>
      <c r="M289" s="14">
        <f>VLOOKUP(B289,Customers!$A$1:$E$2501,4,0)</f>
        <v>59</v>
      </c>
    </row>
    <row r="290" spans="1:13" x14ac:dyDescent="0.3">
      <c r="A290">
        <v>197952</v>
      </c>
      <c r="B290">
        <v>1843</v>
      </c>
      <c r="C290" s="1" t="s">
        <v>98</v>
      </c>
      <c r="D290" s="5">
        <v>44960</v>
      </c>
      <c r="E290" s="10">
        <v>0.5180555555555556</v>
      </c>
      <c r="F290" s="15">
        <f t="shared" si="12"/>
        <v>2</v>
      </c>
      <c r="G290" s="10" t="str">
        <f t="shared" si="13"/>
        <v>Friday</v>
      </c>
      <c r="H290" s="9" t="str">
        <f t="shared" si="14"/>
        <v>February</v>
      </c>
      <c r="I290" t="s">
        <v>96</v>
      </c>
      <c r="J290" t="s">
        <v>38</v>
      </c>
      <c r="K290">
        <v>1453</v>
      </c>
      <c r="L290" s="5" t="str">
        <f>IF(OR(K290&lt;Answers!$C$16,Orders!K290&gt;Answers!$C$17),"Yes","No")</f>
        <v>No</v>
      </c>
      <c r="M290" s="14">
        <f>VLOOKUP(B290,Customers!$A$1:$E$2501,4,0)</f>
        <v>20</v>
      </c>
    </row>
    <row r="291" spans="1:13" x14ac:dyDescent="0.3">
      <c r="A291">
        <v>198251</v>
      </c>
      <c r="B291">
        <v>1589</v>
      </c>
      <c r="C291" s="1" t="s">
        <v>98</v>
      </c>
      <c r="D291" s="5">
        <v>44969</v>
      </c>
      <c r="E291" s="10">
        <v>0.53055555555555556</v>
      </c>
      <c r="F291" s="15">
        <f t="shared" si="12"/>
        <v>2</v>
      </c>
      <c r="G291" s="10" t="str">
        <f t="shared" si="13"/>
        <v>Sunday</v>
      </c>
      <c r="H291" s="9" t="str">
        <f t="shared" si="14"/>
        <v>February</v>
      </c>
      <c r="I291" t="s">
        <v>97</v>
      </c>
      <c r="J291" t="s">
        <v>42</v>
      </c>
      <c r="K291">
        <v>8821</v>
      </c>
      <c r="L291" s="5" t="str">
        <f>IF(OR(K291&lt;Answers!$C$16,Orders!K291&gt;Answers!$C$17),"Yes","No")</f>
        <v>No</v>
      </c>
      <c r="M291" s="14">
        <f>VLOOKUP(B291,Customers!$A$1:$E$2501,4,0)</f>
        <v>20</v>
      </c>
    </row>
    <row r="292" spans="1:13" x14ac:dyDescent="0.3">
      <c r="A292">
        <v>198841</v>
      </c>
      <c r="B292">
        <v>1735</v>
      </c>
      <c r="C292" s="1" t="s">
        <v>101</v>
      </c>
      <c r="D292" s="5">
        <v>45131</v>
      </c>
      <c r="E292" s="10">
        <v>5.7638888888888892E-2</v>
      </c>
      <c r="F292" s="15">
        <f t="shared" si="12"/>
        <v>7</v>
      </c>
      <c r="G292" s="10" t="str">
        <f t="shared" si="13"/>
        <v>Monday</v>
      </c>
      <c r="H292" s="9" t="str">
        <f t="shared" si="14"/>
        <v>July</v>
      </c>
      <c r="I292" t="s">
        <v>95</v>
      </c>
      <c r="J292" t="s">
        <v>16</v>
      </c>
      <c r="K292">
        <v>4094</v>
      </c>
      <c r="L292" s="5" t="str">
        <f>IF(OR(K292&lt;Answers!$C$16,Orders!K292&gt;Answers!$C$17),"Yes","No")</f>
        <v>No</v>
      </c>
      <c r="M292" s="14">
        <f>VLOOKUP(B292,Customers!$A$1:$E$2501,4,0)</f>
        <v>76</v>
      </c>
    </row>
    <row r="293" spans="1:13" x14ac:dyDescent="0.3">
      <c r="A293">
        <v>199110</v>
      </c>
      <c r="B293">
        <v>104</v>
      </c>
      <c r="C293" s="1" t="s">
        <v>100</v>
      </c>
      <c r="D293" s="5">
        <v>45067</v>
      </c>
      <c r="E293" s="10">
        <v>0.53194444444444444</v>
      </c>
      <c r="F293" s="15">
        <f t="shared" si="12"/>
        <v>5</v>
      </c>
      <c r="G293" s="10" t="str">
        <f t="shared" si="13"/>
        <v>Sunday</v>
      </c>
      <c r="H293" s="9" t="str">
        <f t="shared" si="14"/>
        <v>May</v>
      </c>
      <c r="I293" t="s">
        <v>190</v>
      </c>
      <c r="J293" t="s">
        <v>69</v>
      </c>
      <c r="K293">
        <v>717</v>
      </c>
      <c r="L293" s="5" t="str">
        <f>IF(OR(K293&lt;Answers!$C$16,Orders!K293&gt;Answers!$C$17),"Yes","No")</f>
        <v>No</v>
      </c>
      <c r="M293" s="14">
        <f>VLOOKUP(B293,Customers!$A$1:$E$2501,4,0)</f>
        <v>46</v>
      </c>
    </row>
    <row r="294" spans="1:13" x14ac:dyDescent="0.3">
      <c r="A294">
        <v>200851</v>
      </c>
      <c r="B294">
        <v>71</v>
      </c>
      <c r="C294" s="1" t="s">
        <v>112</v>
      </c>
      <c r="D294" s="5">
        <v>45263</v>
      </c>
      <c r="E294" s="10">
        <v>0.47222222222222221</v>
      </c>
      <c r="F294" s="15">
        <f t="shared" si="12"/>
        <v>12</v>
      </c>
      <c r="G294" s="10" t="str">
        <f t="shared" si="13"/>
        <v>Sunday</v>
      </c>
      <c r="H294" s="9" t="str">
        <f t="shared" si="14"/>
        <v>December</v>
      </c>
      <c r="I294" t="s">
        <v>96</v>
      </c>
      <c r="J294" t="s">
        <v>70</v>
      </c>
      <c r="K294">
        <v>8510</v>
      </c>
      <c r="L294" s="5" t="str">
        <f>IF(OR(K294&lt;Answers!$C$16,Orders!K294&gt;Answers!$C$17),"Yes","No")</f>
        <v>No</v>
      </c>
      <c r="M294" s="14">
        <f>VLOOKUP(B294,Customers!$A$1:$E$2501,4,0)</f>
        <v>48</v>
      </c>
    </row>
    <row r="295" spans="1:13" x14ac:dyDescent="0.3">
      <c r="A295">
        <v>202059</v>
      </c>
      <c r="B295">
        <v>712</v>
      </c>
      <c r="C295" s="1" t="s">
        <v>98</v>
      </c>
      <c r="D295" s="5">
        <v>45012</v>
      </c>
      <c r="E295" s="10">
        <v>5.8333333333333334E-2</v>
      </c>
      <c r="F295" s="15">
        <f t="shared" si="12"/>
        <v>3</v>
      </c>
      <c r="G295" s="10" t="str">
        <f t="shared" si="13"/>
        <v>Monday</v>
      </c>
      <c r="H295" s="9" t="str">
        <f t="shared" si="14"/>
        <v>March</v>
      </c>
      <c r="I295" t="s">
        <v>190</v>
      </c>
      <c r="J295" t="s">
        <v>42</v>
      </c>
      <c r="K295">
        <v>7202</v>
      </c>
      <c r="L295" s="5" t="str">
        <f>IF(OR(K295&lt;Answers!$C$16,Orders!K295&gt;Answers!$C$17),"Yes","No")</f>
        <v>No</v>
      </c>
      <c r="M295" s="14">
        <f>VLOOKUP(B295,Customers!$A$1:$E$2501,4,0)</f>
        <v>90</v>
      </c>
    </row>
    <row r="296" spans="1:13" x14ac:dyDescent="0.3">
      <c r="A296">
        <v>202315</v>
      </c>
      <c r="B296">
        <v>1518</v>
      </c>
      <c r="C296" s="1" t="s">
        <v>98</v>
      </c>
      <c r="D296" s="5">
        <v>44930</v>
      </c>
      <c r="E296" s="10">
        <v>7.2916666666666671E-2</v>
      </c>
      <c r="F296" s="15">
        <f t="shared" si="12"/>
        <v>1</v>
      </c>
      <c r="G296" s="10" t="str">
        <f t="shared" si="13"/>
        <v>Wednesday</v>
      </c>
      <c r="H296" s="9" t="str">
        <f t="shared" si="14"/>
        <v>January</v>
      </c>
      <c r="I296" t="s">
        <v>190</v>
      </c>
      <c r="J296" t="s">
        <v>57</v>
      </c>
      <c r="K296">
        <v>6344</v>
      </c>
      <c r="L296" s="5" t="str">
        <f>IF(OR(K296&lt;Answers!$C$16,Orders!K296&gt;Answers!$C$17),"Yes","No")</f>
        <v>No</v>
      </c>
      <c r="M296" s="14">
        <f>VLOOKUP(B296,Customers!$A$1:$E$2501,4,0)</f>
        <v>66</v>
      </c>
    </row>
    <row r="297" spans="1:13" x14ac:dyDescent="0.3">
      <c r="A297">
        <v>202334</v>
      </c>
      <c r="B297">
        <v>358</v>
      </c>
      <c r="C297" s="1" t="s">
        <v>104</v>
      </c>
      <c r="D297" s="5">
        <v>45171</v>
      </c>
      <c r="E297" s="10">
        <v>0.53819444444444442</v>
      </c>
      <c r="F297" s="15">
        <f t="shared" si="12"/>
        <v>9</v>
      </c>
      <c r="G297" s="10" t="str">
        <f t="shared" si="13"/>
        <v>Saturday</v>
      </c>
      <c r="H297" s="9" t="str">
        <f t="shared" si="14"/>
        <v>September</v>
      </c>
      <c r="I297" t="s">
        <v>95</v>
      </c>
      <c r="J297" t="s">
        <v>44</v>
      </c>
      <c r="K297">
        <v>4560</v>
      </c>
      <c r="L297" s="5" t="str">
        <f>IF(OR(K297&lt;Answers!$C$16,Orders!K297&gt;Answers!$C$17),"Yes","No")</f>
        <v>No</v>
      </c>
      <c r="M297" s="14">
        <f>VLOOKUP(B297,Customers!$A$1:$E$2501,4,0)</f>
        <v>50</v>
      </c>
    </row>
    <row r="298" spans="1:13" x14ac:dyDescent="0.3">
      <c r="A298">
        <v>202389</v>
      </c>
      <c r="B298">
        <v>1641</v>
      </c>
      <c r="C298" s="1" t="s">
        <v>108</v>
      </c>
      <c r="D298" s="5">
        <v>45130</v>
      </c>
      <c r="E298" s="10">
        <v>0.48541666666666666</v>
      </c>
      <c r="F298" s="15">
        <f t="shared" si="12"/>
        <v>7</v>
      </c>
      <c r="G298" s="10" t="str">
        <f t="shared" si="13"/>
        <v>Sunday</v>
      </c>
      <c r="H298" s="9" t="str">
        <f t="shared" si="14"/>
        <v>July</v>
      </c>
      <c r="I298" t="s">
        <v>97</v>
      </c>
      <c r="J298" t="s">
        <v>66</v>
      </c>
      <c r="K298">
        <v>1709</v>
      </c>
      <c r="L298" s="5" t="str">
        <f>IF(OR(K298&lt;Answers!$C$16,Orders!K298&gt;Answers!$C$17),"Yes","No")</f>
        <v>No</v>
      </c>
      <c r="M298" s="14">
        <f>VLOOKUP(B298,Customers!$A$1:$E$2501,4,0)</f>
        <v>85</v>
      </c>
    </row>
    <row r="299" spans="1:13" x14ac:dyDescent="0.3">
      <c r="A299">
        <v>205425</v>
      </c>
      <c r="B299">
        <v>1760</v>
      </c>
      <c r="C299" s="1" t="s">
        <v>99</v>
      </c>
      <c r="D299" s="5">
        <v>45190</v>
      </c>
      <c r="E299" s="10">
        <v>5.0694444444444445E-2</v>
      </c>
      <c r="F299" s="15">
        <f t="shared" si="12"/>
        <v>9</v>
      </c>
      <c r="G299" s="10" t="str">
        <f t="shared" si="13"/>
        <v>Thursday</v>
      </c>
      <c r="H299" s="9" t="str">
        <f t="shared" si="14"/>
        <v>September</v>
      </c>
      <c r="I299" t="s">
        <v>95</v>
      </c>
      <c r="J299" t="s">
        <v>10</v>
      </c>
      <c r="K299">
        <v>9729</v>
      </c>
      <c r="L299" s="5" t="str">
        <f>IF(OR(K299&lt;Answers!$C$16,Orders!K299&gt;Answers!$C$17),"Yes","No")</f>
        <v>No</v>
      </c>
      <c r="M299" s="14">
        <f>VLOOKUP(B299,Customers!$A$1:$E$2501,4,0)</f>
        <v>19</v>
      </c>
    </row>
    <row r="300" spans="1:13" x14ac:dyDescent="0.3">
      <c r="A300">
        <v>208396</v>
      </c>
      <c r="B300">
        <v>186</v>
      </c>
      <c r="C300" s="1" t="s">
        <v>105</v>
      </c>
      <c r="D300" s="5">
        <v>45033</v>
      </c>
      <c r="E300" s="10">
        <v>6.8750000000000006E-2</v>
      </c>
      <c r="F300" s="15">
        <f t="shared" si="12"/>
        <v>4</v>
      </c>
      <c r="G300" s="10" t="str">
        <f t="shared" si="13"/>
        <v>Monday</v>
      </c>
      <c r="H300" s="9" t="str">
        <f t="shared" si="14"/>
        <v>April</v>
      </c>
      <c r="I300" t="s">
        <v>190</v>
      </c>
      <c r="J300" t="s">
        <v>71</v>
      </c>
      <c r="K300">
        <v>9712</v>
      </c>
      <c r="L300" s="5" t="str">
        <f>IF(OR(K300&lt;Answers!$C$16,Orders!K300&gt;Answers!$C$17),"Yes","No")</f>
        <v>No</v>
      </c>
      <c r="M300" s="14">
        <f>VLOOKUP(B300,Customers!$A$1:$E$2501,4,0)</f>
        <v>63</v>
      </c>
    </row>
    <row r="301" spans="1:13" x14ac:dyDescent="0.3">
      <c r="A301">
        <v>209068</v>
      </c>
      <c r="B301">
        <v>1704</v>
      </c>
      <c r="C301" s="1" t="s">
        <v>98</v>
      </c>
      <c r="D301" s="5">
        <v>45019</v>
      </c>
      <c r="E301" s="10">
        <v>0.49166666666666664</v>
      </c>
      <c r="F301" s="15">
        <f t="shared" si="12"/>
        <v>4</v>
      </c>
      <c r="G301" s="10" t="str">
        <f t="shared" si="13"/>
        <v>Monday</v>
      </c>
      <c r="H301" s="9" t="str">
        <f t="shared" si="14"/>
        <v>April</v>
      </c>
      <c r="I301" t="s">
        <v>190</v>
      </c>
      <c r="J301" t="s">
        <v>26</v>
      </c>
      <c r="K301">
        <v>119</v>
      </c>
      <c r="L301" s="5" t="str">
        <f>IF(OR(K301&lt;Answers!$C$16,Orders!K301&gt;Answers!$C$17),"Yes","No")</f>
        <v>No</v>
      </c>
      <c r="M301" s="14">
        <f>VLOOKUP(B301,Customers!$A$1:$E$2501,4,0)</f>
        <v>67</v>
      </c>
    </row>
    <row r="302" spans="1:13" x14ac:dyDescent="0.3">
      <c r="A302">
        <v>209185</v>
      </c>
      <c r="B302">
        <v>541</v>
      </c>
      <c r="C302" s="1" t="s">
        <v>98</v>
      </c>
      <c r="D302" s="5">
        <v>45166</v>
      </c>
      <c r="E302" s="10">
        <v>0.51111111111111107</v>
      </c>
      <c r="F302" s="15">
        <f t="shared" si="12"/>
        <v>8</v>
      </c>
      <c r="G302" s="10" t="str">
        <f t="shared" si="13"/>
        <v>Monday</v>
      </c>
      <c r="H302" s="9" t="str">
        <f t="shared" si="14"/>
        <v>August</v>
      </c>
      <c r="I302" t="s">
        <v>96</v>
      </c>
      <c r="J302" t="s">
        <v>26</v>
      </c>
      <c r="K302">
        <v>4430</v>
      </c>
      <c r="L302" s="5" t="str">
        <f>IF(OR(K302&lt;Answers!$C$16,Orders!K302&gt;Answers!$C$17),"Yes","No")</f>
        <v>No</v>
      </c>
      <c r="M302" s="14">
        <f>VLOOKUP(B302,Customers!$A$1:$E$2501,4,0)</f>
        <v>85</v>
      </c>
    </row>
    <row r="303" spans="1:13" x14ac:dyDescent="0.3">
      <c r="A303">
        <v>211600</v>
      </c>
      <c r="B303">
        <v>937</v>
      </c>
      <c r="C303" s="1" t="s">
        <v>108</v>
      </c>
      <c r="D303" s="5">
        <v>45143</v>
      </c>
      <c r="E303" s="10">
        <v>5.2777777777777778E-2</v>
      </c>
      <c r="F303" s="15">
        <f t="shared" si="12"/>
        <v>8</v>
      </c>
      <c r="G303" s="10" t="str">
        <f t="shared" si="13"/>
        <v>Saturday</v>
      </c>
      <c r="H303" s="9" t="str">
        <f t="shared" si="14"/>
        <v>August</v>
      </c>
      <c r="I303" t="s">
        <v>95</v>
      </c>
      <c r="J303" t="s">
        <v>72</v>
      </c>
      <c r="K303">
        <v>8720</v>
      </c>
      <c r="L303" s="5" t="str">
        <f>IF(OR(K303&lt;Answers!$C$16,Orders!K303&gt;Answers!$C$17),"Yes","No")</f>
        <v>No</v>
      </c>
      <c r="M303" s="14">
        <f>VLOOKUP(B303,Customers!$A$1:$E$2501,4,0)</f>
        <v>21</v>
      </c>
    </row>
    <row r="304" spans="1:13" x14ac:dyDescent="0.3">
      <c r="A304">
        <v>213090</v>
      </c>
      <c r="B304">
        <v>10</v>
      </c>
      <c r="C304" s="1" t="s">
        <v>102</v>
      </c>
      <c r="D304" s="5">
        <v>45208</v>
      </c>
      <c r="E304" s="10">
        <v>36586</v>
      </c>
      <c r="F304" s="15">
        <f t="shared" si="12"/>
        <v>10</v>
      </c>
      <c r="G304" s="10" t="str">
        <f t="shared" si="13"/>
        <v>Monday</v>
      </c>
      <c r="H304" s="9" t="str">
        <f t="shared" si="14"/>
        <v>October</v>
      </c>
      <c r="I304" t="s">
        <v>95</v>
      </c>
      <c r="J304" t="s">
        <v>51</v>
      </c>
      <c r="K304">
        <v>9353</v>
      </c>
      <c r="L304" s="5" t="str">
        <f>IF(OR(K304&lt;Answers!$C$16,Orders!K304&gt;Answers!$C$17),"Yes","No")</f>
        <v>No</v>
      </c>
      <c r="M304" s="14">
        <f>VLOOKUP(B304,Customers!$A$1:$E$2501,4,0)</f>
        <v>32</v>
      </c>
    </row>
    <row r="305" spans="1:13" x14ac:dyDescent="0.3">
      <c r="A305">
        <v>213254</v>
      </c>
      <c r="B305">
        <v>1344</v>
      </c>
      <c r="C305" s="1" t="s">
        <v>104</v>
      </c>
      <c r="D305" s="5">
        <v>45135</v>
      </c>
      <c r="E305" s="10">
        <v>0.52430555555555558</v>
      </c>
      <c r="F305" s="15">
        <f t="shared" si="12"/>
        <v>7</v>
      </c>
      <c r="G305" s="10" t="str">
        <f t="shared" si="13"/>
        <v>Friday</v>
      </c>
      <c r="H305" s="9" t="str">
        <f t="shared" si="14"/>
        <v>July</v>
      </c>
      <c r="I305" t="s">
        <v>96</v>
      </c>
      <c r="J305" t="s">
        <v>25</v>
      </c>
      <c r="K305">
        <v>3943</v>
      </c>
      <c r="L305" s="5" t="str">
        <f>IF(OR(K305&lt;Answers!$C$16,Orders!K305&gt;Answers!$C$17),"Yes","No")</f>
        <v>No</v>
      </c>
      <c r="M305" s="14">
        <f>VLOOKUP(B305,Customers!$A$1:$E$2501,4,0)</f>
        <v>40</v>
      </c>
    </row>
    <row r="306" spans="1:13" x14ac:dyDescent="0.3">
      <c r="A306">
        <v>213804</v>
      </c>
      <c r="B306">
        <v>1473</v>
      </c>
      <c r="C306" s="1" t="s">
        <v>98</v>
      </c>
      <c r="D306" s="5">
        <v>45115</v>
      </c>
      <c r="E306" s="10">
        <v>0.53402777777777777</v>
      </c>
      <c r="F306" s="15">
        <f t="shared" si="12"/>
        <v>7</v>
      </c>
      <c r="G306" s="10" t="str">
        <f t="shared" si="13"/>
        <v>Saturday</v>
      </c>
      <c r="H306" s="9" t="str">
        <f t="shared" si="14"/>
        <v>July</v>
      </c>
      <c r="I306" t="s">
        <v>96</v>
      </c>
      <c r="J306" t="s">
        <v>73</v>
      </c>
      <c r="K306">
        <v>7453</v>
      </c>
      <c r="L306" s="5" t="str">
        <f>IF(OR(K306&lt;Answers!$C$16,Orders!K306&gt;Answers!$C$17),"Yes","No")</f>
        <v>No</v>
      </c>
      <c r="M306" s="14">
        <f>VLOOKUP(B306,Customers!$A$1:$E$2501,4,0)</f>
        <v>40</v>
      </c>
    </row>
    <row r="307" spans="1:13" x14ac:dyDescent="0.3">
      <c r="A307">
        <v>214073</v>
      </c>
      <c r="B307">
        <v>336</v>
      </c>
      <c r="C307" s="1" t="s">
        <v>104</v>
      </c>
      <c r="D307" s="5">
        <v>44942</v>
      </c>
      <c r="E307" s="10">
        <v>6.7361111111111108E-2</v>
      </c>
      <c r="F307" s="15">
        <f t="shared" si="12"/>
        <v>1</v>
      </c>
      <c r="G307" s="10" t="str">
        <f t="shared" si="13"/>
        <v>Monday</v>
      </c>
      <c r="H307" s="9" t="str">
        <f t="shared" si="14"/>
        <v>January</v>
      </c>
      <c r="I307" t="s">
        <v>190</v>
      </c>
      <c r="J307" t="s">
        <v>74</v>
      </c>
      <c r="K307">
        <v>730</v>
      </c>
      <c r="L307" s="5" t="str">
        <f>IF(OR(K307&lt;Answers!$C$16,Orders!K307&gt;Answers!$C$17),"Yes","No")</f>
        <v>No</v>
      </c>
      <c r="M307" s="14">
        <f>VLOOKUP(B307,Customers!$A$1:$E$2501,4,0)</f>
        <v>26</v>
      </c>
    </row>
    <row r="308" spans="1:13" x14ac:dyDescent="0.3">
      <c r="A308">
        <v>214251</v>
      </c>
      <c r="B308">
        <v>1952</v>
      </c>
      <c r="C308" s="1" t="s">
        <v>98</v>
      </c>
      <c r="D308" s="5">
        <v>45033</v>
      </c>
      <c r="E308" s="10">
        <v>0.5395833333333333</v>
      </c>
      <c r="F308" s="15">
        <f t="shared" si="12"/>
        <v>4</v>
      </c>
      <c r="G308" s="10" t="str">
        <f t="shared" si="13"/>
        <v>Monday</v>
      </c>
      <c r="H308" s="9" t="str">
        <f t="shared" si="14"/>
        <v>April</v>
      </c>
      <c r="I308" t="s">
        <v>190</v>
      </c>
      <c r="J308" t="s">
        <v>72</v>
      </c>
      <c r="K308">
        <v>492</v>
      </c>
      <c r="L308" s="5" t="str">
        <f>IF(OR(K308&lt;Answers!$C$16,Orders!K308&gt;Answers!$C$17),"Yes","No")</f>
        <v>No</v>
      </c>
      <c r="M308" s="14">
        <f>VLOOKUP(B308,Customers!$A$1:$E$2501,4,0)</f>
        <v>49</v>
      </c>
    </row>
    <row r="309" spans="1:13" x14ac:dyDescent="0.3">
      <c r="A309">
        <v>214516</v>
      </c>
      <c r="B309">
        <v>1840</v>
      </c>
      <c r="C309" s="1" t="s">
        <v>98</v>
      </c>
      <c r="D309" s="5">
        <v>45134</v>
      </c>
      <c r="E309" s="10">
        <v>0.47430555555555554</v>
      </c>
      <c r="F309" s="15">
        <f t="shared" si="12"/>
        <v>7</v>
      </c>
      <c r="G309" s="10" t="str">
        <f t="shared" si="13"/>
        <v>Thursday</v>
      </c>
      <c r="H309" s="9" t="str">
        <f t="shared" si="14"/>
        <v>July</v>
      </c>
      <c r="I309" t="s">
        <v>96</v>
      </c>
      <c r="J309" t="s">
        <v>75</v>
      </c>
      <c r="K309">
        <v>1356</v>
      </c>
      <c r="L309" s="5" t="str">
        <f>IF(OR(K309&lt;Answers!$C$16,Orders!K309&gt;Answers!$C$17),"Yes","No")</f>
        <v>No</v>
      </c>
      <c r="M309" s="14">
        <f>VLOOKUP(B309,Customers!$A$1:$E$2501,4,0)</f>
        <v>83</v>
      </c>
    </row>
    <row r="310" spans="1:13" x14ac:dyDescent="0.3">
      <c r="A310">
        <v>214557</v>
      </c>
      <c r="B310">
        <v>613</v>
      </c>
      <c r="C310" s="1" t="s">
        <v>112</v>
      </c>
      <c r="D310" s="5">
        <v>45082</v>
      </c>
      <c r="E310" s="10">
        <v>0.51944444444444449</v>
      </c>
      <c r="F310" s="15">
        <f t="shared" si="12"/>
        <v>6</v>
      </c>
      <c r="G310" s="10" t="str">
        <f t="shared" si="13"/>
        <v>Monday</v>
      </c>
      <c r="H310" s="9" t="str">
        <f t="shared" si="14"/>
        <v>June</v>
      </c>
      <c r="I310" t="s">
        <v>190</v>
      </c>
      <c r="J310" t="s">
        <v>71</v>
      </c>
      <c r="K310">
        <v>5981</v>
      </c>
      <c r="L310" s="5" t="str">
        <f>IF(OR(K310&lt;Answers!$C$16,Orders!K310&gt;Answers!$C$17),"Yes","No")</f>
        <v>No</v>
      </c>
      <c r="M310" s="14">
        <f>VLOOKUP(B310,Customers!$A$1:$E$2501,4,0)</f>
        <v>51</v>
      </c>
    </row>
    <row r="311" spans="1:13" x14ac:dyDescent="0.3">
      <c r="A311">
        <v>216256</v>
      </c>
      <c r="B311">
        <v>1521</v>
      </c>
      <c r="C311" s="1" t="s">
        <v>98</v>
      </c>
      <c r="D311" s="5">
        <v>44952</v>
      </c>
      <c r="E311" s="10">
        <v>0.52361111111111114</v>
      </c>
      <c r="F311" s="15">
        <f t="shared" si="12"/>
        <v>1</v>
      </c>
      <c r="G311" s="10" t="str">
        <f t="shared" si="13"/>
        <v>Thursday</v>
      </c>
      <c r="H311" s="9" t="str">
        <f t="shared" si="14"/>
        <v>January</v>
      </c>
      <c r="I311" t="s">
        <v>96</v>
      </c>
      <c r="J311" t="s">
        <v>27</v>
      </c>
      <c r="K311">
        <v>3720</v>
      </c>
      <c r="L311" s="5" t="str">
        <f>IF(OR(K311&lt;Answers!$C$16,Orders!K311&gt;Answers!$C$17),"Yes","No")</f>
        <v>No</v>
      </c>
      <c r="M311" s="14">
        <f>VLOOKUP(B311,Customers!$A$1:$E$2501,4,0)</f>
        <v>88</v>
      </c>
    </row>
    <row r="312" spans="1:13" x14ac:dyDescent="0.3">
      <c r="A312">
        <v>217952</v>
      </c>
      <c r="B312">
        <v>1102</v>
      </c>
      <c r="C312" s="1" t="s">
        <v>112</v>
      </c>
      <c r="D312" s="5">
        <v>45193</v>
      </c>
      <c r="E312" s="10">
        <v>0.49236111111111114</v>
      </c>
      <c r="F312" s="15">
        <f t="shared" si="12"/>
        <v>9</v>
      </c>
      <c r="G312" s="10" t="str">
        <f t="shared" si="13"/>
        <v>Sunday</v>
      </c>
      <c r="H312" s="9" t="str">
        <f t="shared" si="14"/>
        <v>September</v>
      </c>
      <c r="I312" t="s">
        <v>190</v>
      </c>
      <c r="J312" t="s">
        <v>3</v>
      </c>
      <c r="K312">
        <v>3521</v>
      </c>
      <c r="L312" s="5" t="str">
        <f>IF(OR(K312&lt;Answers!$C$16,Orders!K312&gt;Answers!$C$17),"Yes","No")</f>
        <v>No</v>
      </c>
      <c r="M312" s="14">
        <f>VLOOKUP(B312,Customers!$A$1:$E$2501,4,0)</f>
        <v>66</v>
      </c>
    </row>
    <row r="313" spans="1:13" x14ac:dyDescent="0.3">
      <c r="A313">
        <v>218379</v>
      </c>
      <c r="B313">
        <v>831</v>
      </c>
      <c r="C313" s="1" t="s">
        <v>106</v>
      </c>
      <c r="D313" s="5">
        <v>44976</v>
      </c>
      <c r="E313" s="10">
        <v>0.47083333333333333</v>
      </c>
      <c r="F313" s="15">
        <f t="shared" si="12"/>
        <v>2</v>
      </c>
      <c r="G313" s="10" t="str">
        <f t="shared" si="13"/>
        <v>Sunday</v>
      </c>
      <c r="H313" s="9" t="str">
        <f t="shared" si="14"/>
        <v>February</v>
      </c>
      <c r="I313" t="s">
        <v>96</v>
      </c>
      <c r="J313" t="s">
        <v>22</v>
      </c>
      <c r="K313">
        <v>8241</v>
      </c>
      <c r="L313" s="5" t="str">
        <f>IF(OR(K313&lt;Answers!$C$16,Orders!K313&gt;Answers!$C$17),"Yes","No")</f>
        <v>No</v>
      </c>
      <c r="M313" s="14">
        <f>VLOOKUP(B313,Customers!$A$1:$E$2501,4,0)</f>
        <v>69</v>
      </c>
    </row>
    <row r="314" spans="1:13" x14ac:dyDescent="0.3">
      <c r="A314">
        <v>219884</v>
      </c>
      <c r="B314">
        <v>802</v>
      </c>
      <c r="C314" s="1" t="s">
        <v>99</v>
      </c>
      <c r="D314" s="5">
        <v>44945</v>
      </c>
      <c r="E314" s="10">
        <v>0.48680555555555555</v>
      </c>
      <c r="F314" s="15">
        <f t="shared" si="12"/>
        <v>1</v>
      </c>
      <c r="G314" s="10" t="str">
        <f t="shared" si="13"/>
        <v>Thursday</v>
      </c>
      <c r="H314" s="9" t="str">
        <f t="shared" si="14"/>
        <v>January</v>
      </c>
      <c r="I314" t="s">
        <v>190</v>
      </c>
      <c r="J314" t="s">
        <v>76</v>
      </c>
      <c r="K314">
        <v>2233</v>
      </c>
      <c r="L314" s="5" t="str">
        <f>IF(OR(K314&lt;Answers!$C$16,Orders!K314&gt;Answers!$C$17),"Yes","No")</f>
        <v>No</v>
      </c>
      <c r="M314" s="14">
        <f>VLOOKUP(B314,Customers!$A$1:$E$2501,4,0)</f>
        <v>89</v>
      </c>
    </row>
    <row r="315" spans="1:13" x14ac:dyDescent="0.3">
      <c r="A315">
        <v>220292</v>
      </c>
      <c r="B315">
        <v>1785</v>
      </c>
      <c r="C315" s="1" t="s">
        <v>105</v>
      </c>
      <c r="D315" s="5">
        <v>45048</v>
      </c>
      <c r="E315" s="10">
        <v>0.51736111111111116</v>
      </c>
      <c r="F315" s="15">
        <f t="shared" si="12"/>
        <v>5</v>
      </c>
      <c r="G315" s="10" t="str">
        <f t="shared" si="13"/>
        <v>Tuesday</v>
      </c>
      <c r="H315" s="9" t="str">
        <f t="shared" si="14"/>
        <v>May</v>
      </c>
      <c r="I315" t="s">
        <v>97</v>
      </c>
      <c r="J315" t="s">
        <v>83</v>
      </c>
      <c r="K315">
        <v>3987</v>
      </c>
      <c r="L315" s="5" t="str">
        <f>IF(OR(K315&lt;Answers!$C$16,Orders!K315&gt;Answers!$C$17),"Yes","No")</f>
        <v>No</v>
      </c>
      <c r="M315" s="14">
        <f>VLOOKUP(B315,Customers!$A$1:$E$2501,4,0)</f>
        <v>42</v>
      </c>
    </row>
    <row r="316" spans="1:13" x14ac:dyDescent="0.3">
      <c r="A316">
        <v>220733</v>
      </c>
      <c r="B316">
        <v>1875</v>
      </c>
      <c r="C316" s="1" t="s">
        <v>99</v>
      </c>
      <c r="D316" s="5">
        <v>44931</v>
      </c>
      <c r="E316" s="10">
        <v>36842</v>
      </c>
      <c r="F316" s="15">
        <f t="shared" si="12"/>
        <v>1</v>
      </c>
      <c r="G316" s="10" t="str">
        <f t="shared" si="13"/>
        <v>Thursday</v>
      </c>
      <c r="H316" s="9" t="str">
        <f t="shared" si="14"/>
        <v>January</v>
      </c>
      <c r="I316" t="s">
        <v>95</v>
      </c>
      <c r="J316" t="s">
        <v>40</v>
      </c>
      <c r="K316">
        <v>6006</v>
      </c>
      <c r="L316" s="5" t="str">
        <f>IF(OR(K316&lt;Answers!$C$16,Orders!K316&gt;Answers!$C$17),"Yes","No")</f>
        <v>No</v>
      </c>
      <c r="M316" s="14">
        <f>VLOOKUP(B316,Customers!$A$1:$E$2501,4,0)</f>
        <v>62</v>
      </c>
    </row>
    <row r="317" spans="1:13" x14ac:dyDescent="0.3">
      <c r="A317">
        <v>221857</v>
      </c>
      <c r="B317">
        <v>1244</v>
      </c>
      <c r="C317" s="1" t="s">
        <v>104</v>
      </c>
      <c r="D317" s="5">
        <v>45124</v>
      </c>
      <c r="E317" s="10">
        <v>5.1388888888888887E-2</v>
      </c>
      <c r="F317" s="15">
        <f t="shared" si="12"/>
        <v>7</v>
      </c>
      <c r="G317" s="10" t="str">
        <f t="shared" si="13"/>
        <v>Monday</v>
      </c>
      <c r="H317" s="9" t="str">
        <f t="shared" si="14"/>
        <v>July</v>
      </c>
      <c r="I317" t="s">
        <v>95</v>
      </c>
      <c r="J317" t="s">
        <v>22</v>
      </c>
      <c r="K317">
        <v>4142</v>
      </c>
      <c r="L317" s="5" t="str">
        <f>IF(OR(K317&lt;Answers!$C$16,Orders!K317&gt;Answers!$C$17),"Yes","No")</f>
        <v>No</v>
      </c>
      <c r="M317" s="14">
        <f>VLOOKUP(B317,Customers!$A$1:$E$2501,4,0)</f>
        <v>20</v>
      </c>
    </row>
    <row r="318" spans="1:13" x14ac:dyDescent="0.3">
      <c r="A318">
        <v>222114</v>
      </c>
      <c r="B318">
        <v>208</v>
      </c>
      <c r="C318" s="1" t="s">
        <v>98</v>
      </c>
      <c r="D318" s="5">
        <v>45120</v>
      </c>
      <c r="E318" s="10">
        <v>0.48541666666666666</v>
      </c>
      <c r="F318" s="15">
        <f t="shared" si="12"/>
        <v>7</v>
      </c>
      <c r="G318" s="10" t="str">
        <f t="shared" si="13"/>
        <v>Thursday</v>
      </c>
      <c r="H318" s="9" t="str">
        <f t="shared" si="14"/>
        <v>July</v>
      </c>
      <c r="I318" t="s">
        <v>97</v>
      </c>
      <c r="J318" t="s">
        <v>51</v>
      </c>
      <c r="K318">
        <v>4738</v>
      </c>
      <c r="L318" s="5" t="str">
        <f>IF(OR(K318&lt;Answers!$C$16,Orders!K318&gt;Answers!$C$17),"Yes","No")</f>
        <v>No</v>
      </c>
      <c r="M318" s="14">
        <f>VLOOKUP(B318,Customers!$A$1:$E$2501,4,0)</f>
        <v>19</v>
      </c>
    </row>
    <row r="319" spans="1:13" x14ac:dyDescent="0.3">
      <c r="A319">
        <v>224155</v>
      </c>
      <c r="B319">
        <v>753</v>
      </c>
      <c r="C319" s="1" t="s">
        <v>98</v>
      </c>
      <c r="D319" s="5">
        <v>45212</v>
      </c>
      <c r="E319" s="10">
        <v>0.5</v>
      </c>
      <c r="F319" s="15">
        <f t="shared" si="12"/>
        <v>10</v>
      </c>
      <c r="G319" s="10" t="str">
        <f t="shared" si="13"/>
        <v>Friday</v>
      </c>
      <c r="H319" s="9" t="str">
        <f t="shared" si="14"/>
        <v>October</v>
      </c>
      <c r="I319" t="s">
        <v>96</v>
      </c>
      <c r="J319" t="s">
        <v>29</v>
      </c>
      <c r="K319">
        <v>4988</v>
      </c>
      <c r="L319" s="5" t="str">
        <f>IF(OR(K319&lt;Answers!$C$16,Orders!K319&gt;Answers!$C$17),"Yes","No")</f>
        <v>No</v>
      </c>
      <c r="M319" s="14">
        <f>VLOOKUP(B319,Customers!$A$1:$E$2501,4,0)</f>
        <v>18</v>
      </c>
    </row>
    <row r="320" spans="1:13" x14ac:dyDescent="0.3">
      <c r="A320">
        <v>225264</v>
      </c>
      <c r="B320">
        <v>1973</v>
      </c>
      <c r="C320" s="1" t="s">
        <v>98</v>
      </c>
      <c r="D320" s="5">
        <v>45186</v>
      </c>
      <c r="E320" s="10">
        <v>7.8472222222222221E-2</v>
      </c>
      <c r="F320" s="15">
        <f t="shared" si="12"/>
        <v>9</v>
      </c>
      <c r="G320" s="10" t="str">
        <f t="shared" si="13"/>
        <v>Sunday</v>
      </c>
      <c r="H320" s="9" t="str">
        <f t="shared" si="14"/>
        <v>September</v>
      </c>
      <c r="I320" t="s">
        <v>97</v>
      </c>
      <c r="J320" t="s">
        <v>77</v>
      </c>
      <c r="K320">
        <v>5089</v>
      </c>
      <c r="L320" s="5" t="str">
        <f>IF(OR(K320&lt;Answers!$C$16,Orders!K320&gt;Answers!$C$17),"Yes","No")</f>
        <v>No</v>
      </c>
      <c r="M320" s="14">
        <f>VLOOKUP(B320,Customers!$A$1:$E$2501,4,0)</f>
        <v>64</v>
      </c>
    </row>
    <row r="321" spans="1:13" x14ac:dyDescent="0.3">
      <c r="A321">
        <v>226876</v>
      </c>
      <c r="B321">
        <v>150</v>
      </c>
      <c r="C321" s="1" t="s">
        <v>98</v>
      </c>
      <c r="D321" s="5">
        <v>44956</v>
      </c>
      <c r="E321" s="10">
        <v>0.4513888888888889</v>
      </c>
      <c r="F321" s="15">
        <f t="shared" si="12"/>
        <v>1</v>
      </c>
      <c r="G321" s="10" t="str">
        <f t="shared" si="13"/>
        <v>Monday</v>
      </c>
      <c r="H321" s="9" t="str">
        <f t="shared" si="14"/>
        <v>January</v>
      </c>
      <c r="I321" t="s">
        <v>96</v>
      </c>
      <c r="J321" t="s">
        <v>42</v>
      </c>
      <c r="K321">
        <v>17</v>
      </c>
      <c r="L321" s="5" t="str">
        <f>IF(OR(K321&lt;Answers!$C$16,Orders!K321&gt;Answers!$C$17),"Yes","No")</f>
        <v>No</v>
      </c>
      <c r="M321" s="14">
        <f>VLOOKUP(B321,Customers!$A$1:$E$2501,4,0)</f>
        <v>31</v>
      </c>
    </row>
    <row r="322" spans="1:13" x14ac:dyDescent="0.3">
      <c r="A322">
        <v>228177</v>
      </c>
      <c r="B322">
        <v>1272</v>
      </c>
      <c r="C322" s="1" t="s">
        <v>100</v>
      </c>
      <c r="D322" s="5">
        <v>45054</v>
      </c>
      <c r="E322" s="10">
        <v>0.53680555555555554</v>
      </c>
      <c r="F322" s="15">
        <f t="shared" si="12"/>
        <v>5</v>
      </c>
      <c r="G322" s="10" t="str">
        <f t="shared" si="13"/>
        <v>Monday</v>
      </c>
      <c r="H322" s="9" t="str">
        <f t="shared" si="14"/>
        <v>May</v>
      </c>
      <c r="I322" t="s">
        <v>97</v>
      </c>
      <c r="J322" t="s">
        <v>26</v>
      </c>
      <c r="K322">
        <v>8567</v>
      </c>
      <c r="L322" s="5" t="str">
        <f>IF(OR(K322&lt;Answers!$C$16,Orders!K322&gt;Answers!$C$17),"Yes","No")</f>
        <v>No</v>
      </c>
      <c r="M322" s="14">
        <f>VLOOKUP(B322,Customers!$A$1:$E$2501,4,0)</f>
        <v>39</v>
      </c>
    </row>
    <row r="323" spans="1:13" x14ac:dyDescent="0.3">
      <c r="A323">
        <v>228562</v>
      </c>
      <c r="B323">
        <v>1812</v>
      </c>
      <c r="C323" s="1" t="s">
        <v>104</v>
      </c>
      <c r="D323" s="5">
        <v>45208</v>
      </c>
      <c r="E323" s="10">
        <v>6.1111111111111109E-2</v>
      </c>
      <c r="F323" s="15">
        <f t="shared" ref="F323:F386" si="15">MONTH(D323)</f>
        <v>10</v>
      </c>
      <c r="G323" s="10" t="str">
        <f t="shared" ref="G323:G386" si="16">TEXT(D323,"dddd")</f>
        <v>Monday</v>
      </c>
      <c r="H323" s="9" t="str">
        <f t="shared" ref="H323:H386" si="17">TEXT(D323,"mmmm")</f>
        <v>October</v>
      </c>
      <c r="I323" t="s">
        <v>190</v>
      </c>
      <c r="J323" t="s">
        <v>29</v>
      </c>
      <c r="K323">
        <v>1733</v>
      </c>
      <c r="L323" s="5" t="str">
        <f>IF(OR(K323&lt;Answers!$C$16,Orders!K323&gt;Answers!$C$17),"Yes","No")</f>
        <v>No</v>
      </c>
      <c r="M323" s="14">
        <f>VLOOKUP(B323,Customers!$A$1:$E$2501,4,0)</f>
        <v>49</v>
      </c>
    </row>
    <row r="324" spans="1:13" x14ac:dyDescent="0.3">
      <c r="A324">
        <v>229056</v>
      </c>
      <c r="B324">
        <v>594</v>
      </c>
      <c r="C324" s="1" t="s">
        <v>98</v>
      </c>
      <c r="D324" s="5">
        <v>45083</v>
      </c>
      <c r="E324" s="10">
        <v>8.1944444444444445E-2</v>
      </c>
      <c r="F324" s="15">
        <f t="shared" si="15"/>
        <v>6</v>
      </c>
      <c r="G324" s="10" t="str">
        <f t="shared" si="16"/>
        <v>Tuesday</v>
      </c>
      <c r="H324" s="9" t="str">
        <f t="shared" si="17"/>
        <v>June</v>
      </c>
      <c r="I324" t="s">
        <v>95</v>
      </c>
      <c r="J324" t="s">
        <v>73</v>
      </c>
      <c r="K324">
        <v>4328</v>
      </c>
      <c r="L324" s="5" t="str">
        <f>IF(OR(K324&lt;Answers!$C$16,Orders!K324&gt;Answers!$C$17),"Yes","No")</f>
        <v>No</v>
      </c>
      <c r="M324" s="14">
        <f>VLOOKUP(B324,Customers!$A$1:$E$2501,4,0)</f>
        <v>58</v>
      </c>
    </row>
    <row r="325" spans="1:13" x14ac:dyDescent="0.3">
      <c r="A325">
        <v>229843</v>
      </c>
      <c r="B325">
        <v>1527</v>
      </c>
      <c r="C325" s="1" t="s">
        <v>106</v>
      </c>
      <c r="D325" s="5">
        <v>45002</v>
      </c>
      <c r="E325" s="10">
        <v>0.45694444444444443</v>
      </c>
      <c r="F325" s="15">
        <f t="shared" si="15"/>
        <v>3</v>
      </c>
      <c r="G325" s="10" t="str">
        <f t="shared" si="16"/>
        <v>Friday</v>
      </c>
      <c r="H325" s="9" t="str">
        <f t="shared" si="17"/>
        <v>March</v>
      </c>
      <c r="I325" t="s">
        <v>95</v>
      </c>
      <c r="J325" t="s">
        <v>53</v>
      </c>
      <c r="K325">
        <v>4155</v>
      </c>
      <c r="L325" s="5" t="str">
        <f>IF(OR(K325&lt;Answers!$C$16,Orders!K325&gt;Answers!$C$17),"Yes","No")</f>
        <v>No</v>
      </c>
      <c r="M325" s="14">
        <f>VLOOKUP(B325,Customers!$A$1:$E$2501,4,0)</f>
        <v>73</v>
      </c>
    </row>
    <row r="326" spans="1:13" x14ac:dyDescent="0.3">
      <c r="A326">
        <v>231094</v>
      </c>
      <c r="B326">
        <v>680</v>
      </c>
      <c r="C326" s="1" t="s">
        <v>98</v>
      </c>
      <c r="D326" s="5">
        <v>45259</v>
      </c>
      <c r="E326" s="10">
        <v>0.53541666666666665</v>
      </c>
      <c r="F326" s="15">
        <f t="shared" si="15"/>
        <v>11</v>
      </c>
      <c r="G326" s="10" t="str">
        <f t="shared" si="16"/>
        <v>Wednesday</v>
      </c>
      <c r="H326" s="9" t="str">
        <f t="shared" si="17"/>
        <v>November</v>
      </c>
      <c r="I326" t="s">
        <v>95</v>
      </c>
      <c r="J326" t="s">
        <v>37</v>
      </c>
      <c r="K326">
        <v>7379</v>
      </c>
      <c r="L326" s="5" t="str">
        <f>IF(OR(K326&lt;Answers!$C$16,Orders!K326&gt;Answers!$C$17),"Yes","No")</f>
        <v>No</v>
      </c>
      <c r="M326" s="14">
        <f>VLOOKUP(B326,Customers!$A$1:$E$2501,4,0)</f>
        <v>81</v>
      </c>
    </row>
    <row r="327" spans="1:13" x14ac:dyDescent="0.3">
      <c r="A327">
        <v>232129</v>
      </c>
      <c r="B327">
        <v>67</v>
      </c>
      <c r="C327" s="1" t="s">
        <v>106</v>
      </c>
      <c r="D327" s="5">
        <v>45250</v>
      </c>
      <c r="E327" s="10">
        <v>0.4861111111111111</v>
      </c>
      <c r="F327" s="15">
        <f t="shared" si="15"/>
        <v>11</v>
      </c>
      <c r="G327" s="10" t="str">
        <f t="shared" si="16"/>
        <v>Monday</v>
      </c>
      <c r="H327" s="9" t="str">
        <f t="shared" si="17"/>
        <v>November</v>
      </c>
      <c r="I327" t="s">
        <v>95</v>
      </c>
      <c r="J327" t="s">
        <v>33</v>
      </c>
      <c r="K327">
        <v>6264</v>
      </c>
      <c r="L327" s="5" t="str">
        <f>IF(OR(K327&lt;Answers!$C$16,Orders!K327&gt;Answers!$C$17),"Yes","No")</f>
        <v>No</v>
      </c>
      <c r="M327" s="14">
        <f>VLOOKUP(B327,Customers!$A$1:$E$2501,4,0)</f>
        <v>51</v>
      </c>
    </row>
    <row r="328" spans="1:13" x14ac:dyDescent="0.3">
      <c r="A328">
        <v>232261</v>
      </c>
      <c r="B328">
        <v>1269</v>
      </c>
      <c r="C328" s="1" t="s">
        <v>109</v>
      </c>
      <c r="D328" s="5">
        <v>45169</v>
      </c>
      <c r="E328" s="10">
        <v>0.44097222222222221</v>
      </c>
      <c r="F328" s="15">
        <f t="shared" si="15"/>
        <v>8</v>
      </c>
      <c r="G328" s="10" t="str">
        <f t="shared" si="16"/>
        <v>Thursday</v>
      </c>
      <c r="H328" s="9" t="str">
        <f t="shared" si="17"/>
        <v>August</v>
      </c>
      <c r="I328" t="s">
        <v>190</v>
      </c>
      <c r="J328" t="s">
        <v>78</v>
      </c>
      <c r="K328">
        <v>434</v>
      </c>
      <c r="L328" s="5" t="str">
        <f>IF(OR(K328&lt;Answers!$C$16,Orders!K328&gt;Answers!$C$17),"Yes","No")</f>
        <v>No</v>
      </c>
      <c r="M328" s="14">
        <f>VLOOKUP(B328,Customers!$A$1:$E$2501,4,0)</f>
        <v>48</v>
      </c>
    </row>
    <row r="329" spans="1:13" x14ac:dyDescent="0.3">
      <c r="A329">
        <v>232274</v>
      </c>
      <c r="B329">
        <v>1647</v>
      </c>
      <c r="C329" s="1" t="s">
        <v>98</v>
      </c>
      <c r="D329" s="5">
        <v>45282</v>
      </c>
      <c r="E329" s="10">
        <v>5.8333333333333334E-2</v>
      </c>
      <c r="F329" s="15">
        <f t="shared" si="15"/>
        <v>12</v>
      </c>
      <c r="G329" s="10" t="str">
        <f t="shared" si="16"/>
        <v>Friday</v>
      </c>
      <c r="H329" s="9" t="str">
        <f t="shared" si="17"/>
        <v>December</v>
      </c>
      <c r="I329" t="s">
        <v>97</v>
      </c>
      <c r="J329" t="s">
        <v>79</v>
      </c>
      <c r="K329">
        <v>8947</v>
      </c>
      <c r="L329" s="5" t="str">
        <f>IF(OR(K329&lt;Answers!$C$16,Orders!K329&gt;Answers!$C$17),"Yes","No")</f>
        <v>No</v>
      </c>
      <c r="M329" s="14">
        <f>VLOOKUP(B329,Customers!$A$1:$E$2501,4,0)</f>
        <v>22</v>
      </c>
    </row>
    <row r="330" spans="1:13" x14ac:dyDescent="0.3">
      <c r="A330">
        <v>233409</v>
      </c>
      <c r="B330">
        <v>1393</v>
      </c>
      <c r="C330" s="1" t="s">
        <v>106</v>
      </c>
      <c r="D330" s="5">
        <v>45231</v>
      </c>
      <c r="E330" s="10">
        <v>36657</v>
      </c>
      <c r="F330" s="15">
        <f t="shared" si="15"/>
        <v>11</v>
      </c>
      <c r="G330" s="10" t="str">
        <f t="shared" si="16"/>
        <v>Wednesday</v>
      </c>
      <c r="H330" s="9" t="str">
        <f t="shared" si="17"/>
        <v>November</v>
      </c>
      <c r="I330" t="s">
        <v>97</v>
      </c>
      <c r="J330" t="s">
        <v>76</v>
      </c>
      <c r="K330">
        <v>9750</v>
      </c>
      <c r="L330" s="5" t="str">
        <f>IF(OR(K330&lt;Answers!$C$16,Orders!K330&gt;Answers!$C$17),"Yes","No")</f>
        <v>No</v>
      </c>
      <c r="M330" s="14">
        <f>VLOOKUP(B330,Customers!$A$1:$E$2501,4,0)</f>
        <v>76</v>
      </c>
    </row>
    <row r="331" spans="1:13" x14ac:dyDescent="0.3">
      <c r="A331">
        <v>233843</v>
      </c>
      <c r="B331">
        <v>1577</v>
      </c>
      <c r="C331" s="1" t="s">
        <v>99</v>
      </c>
      <c r="D331" s="5">
        <v>45039</v>
      </c>
      <c r="E331" s="10">
        <v>0.54027777777777775</v>
      </c>
      <c r="F331" s="15">
        <f t="shared" si="15"/>
        <v>4</v>
      </c>
      <c r="G331" s="10" t="str">
        <f t="shared" si="16"/>
        <v>Sunday</v>
      </c>
      <c r="H331" s="9" t="str">
        <f t="shared" si="17"/>
        <v>April</v>
      </c>
      <c r="I331" t="s">
        <v>97</v>
      </c>
      <c r="J331" t="s">
        <v>21</v>
      </c>
      <c r="K331">
        <v>6392</v>
      </c>
      <c r="L331" s="5" t="str">
        <f>IF(OR(K331&lt;Answers!$C$16,Orders!K331&gt;Answers!$C$17),"Yes","No")</f>
        <v>No</v>
      </c>
      <c r="M331" s="14">
        <f>VLOOKUP(B331,Customers!$A$1:$E$2501,4,0)</f>
        <v>55</v>
      </c>
    </row>
    <row r="332" spans="1:13" x14ac:dyDescent="0.3">
      <c r="A332">
        <v>234705</v>
      </c>
      <c r="B332">
        <v>1367</v>
      </c>
      <c r="C332" s="1" t="s">
        <v>106</v>
      </c>
      <c r="D332" s="5">
        <v>45184</v>
      </c>
      <c r="E332" s="10">
        <v>36537</v>
      </c>
      <c r="F332" s="15">
        <f t="shared" si="15"/>
        <v>9</v>
      </c>
      <c r="G332" s="10" t="str">
        <f t="shared" si="16"/>
        <v>Friday</v>
      </c>
      <c r="H332" s="9" t="str">
        <f t="shared" si="17"/>
        <v>September</v>
      </c>
      <c r="I332" t="s">
        <v>95</v>
      </c>
      <c r="J332" t="s">
        <v>42</v>
      </c>
      <c r="K332">
        <v>1662</v>
      </c>
      <c r="L332" s="5" t="str">
        <f>IF(OR(K332&lt;Answers!$C$16,Orders!K332&gt;Answers!$C$17),"Yes","No")</f>
        <v>No</v>
      </c>
      <c r="M332" s="14">
        <f>VLOOKUP(B332,Customers!$A$1:$E$2501,4,0)</f>
        <v>25</v>
      </c>
    </row>
    <row r="333" spans="1:13" x14ac:dyDescent="0.3">
      <c r="A333">
        <v>235219</v>
      </c>
      <c r="B333">
        <v>1829</v>
      </c>
      <c r="C333" s="1" t="s">
        <v>100</v>
      </c>
      <c r="D333" s="5">
        <v>45236</v>
      </c>
      <c r="E333" s="10">
        <v>0.53749999999999998</v>
      </c>
      <c r="F333" s="15">
        <f t="shared" si="15"/>
        <v>11</v>
      </c>
      <c r="G333" s="10" t="str">
        <f t="shared" si="16"/>
        <v>Monday</v>
      </c>
      <c r="H333" s="9" t="str">
        <f t="shared" si="17"/>
        <v>November</v>
      </c>
      <c r="I333" t="s">
        <v>97</v>
      </c>
      <c r="J333" t="s">
        <v>39</v>
      </c>
      <c r="K333">
        <v>4965</v>
      </c>
      <c r="L333" s="5" t="str">
        <f>IF(OR(K333&lt;Answers!$C$16,Orders!K333&gt;Answers!$C$17),"Yes","No")</f>
        <v>No</v>
      </c>
      <c r="M333" s="14">
        <f>VLOOKUP(B333,Customers!$A$1:$E$2501,4,0)</f>
        <v>82</v>
      </c>
    </row>
    <row r="334" spans="1:13" x14ac:dyDescent="0.3">
      <c r="A334">
        <v>235760</v>
      </c>
      <c r="B334">
        <v>1816</v>
      </c>
      <c r="C334" s="1" t="s">
        <v>104</v>
      </c>
      <c r="D334" s="5">
        <v>45250</v>
      </c>
      <c r="E334" s="10">
        <v>0.5395833333333333</v>
      </c>
      <c r="F334" s="15">
        <f t="shared" si="15"/>
        <v>11</v>
      </c>
      <c r="G334" s="10" t="str">
        <f t="shared" si="16"/>
        <v>Monday</v>
      </c>
      <c r="H334" s="9" t="str">
        <f t="shared" si="17"/>
        <v>November</v>
      </c>
      <c r="I334" t="s">
        <v>97</v>
      </c>
      <c r="J334" t="s">
        <v>80</v>
      </c>
      <c r="K334">
        <v>4835</v>
      </c>
      <c r="L334" s="5" t="str">
        <f>IF(OR(K334&lt;Answers!$C$16,Orders!K334&gt;Answers!$C$17),"Yes","No")</f>
        <v>No</v>
      </c>
      <c r="M334" s="14">
        <f>VLOOKUP(B334,Customers!$A$1:$E$2501,4,0)</f>
        <v>75</v>
      </c>
    </row>
    <row r="335" spans="1:13" x14ac:dyDescent="0.3">
      <c r="A335">
        <v>237369</v>
      </c>
      <c r="B335">
        <v>401</v>
      </c>
      <c r="C335" s="1" t="s">
        <v>112</v>
      </c>
      <c r="D335" s="5">
        <v>45056</v>
      </c>
      <c r="E335" s="10">
        <v>0.51597222222222228</v>
      </c>
      <c r="F335" s="15">
        <f t="shared" si="15"/>
        <v>5</v>
      </c>
      <c r="G335" s="10" t="str">
        <f t="shared" si="16"/>
        <v>Wednesday</v>
      </c>
      <c r="H335" s="9" t="str">
        <f t="shared" si="17"/>
        <v>May</v>
      </c>
      <c r="I335" t="s">
        <v>96</v>
      </c>
      <c r="J335" t="s">
        <v>81</v>
      </c>
      <c r="K335">
        <v>2313</v>
      </c>
      <c r="L335" s="5" t="str">
        <f>IF(OR(K335&lt;Answers!$C$16,Orders!K335&gt;Answers!$C$17),"Yes","No")</f>
        <v>No</v>
      </c>
      <c r="M335" s="14">
        <f>VLOOKUP(B335,Customers!$A$1:$E$2501,4,0)</f>
        <v>36</v>
      </c>
    </row>
    <row r="336" spans="1:13" x14ac:dyDescent="0.3">
      <c r="A336">
        <v>238602</v>
      </c>
      <c r="B336">
        <v>153</v>
      </c>
      <c r="C336" s="1" t="s">
        <v>98</v>
      </c>
      <c r="D336" s="5">
        <v>45017</v>
      </c>
      <c r="E336" s="10">
        <v>36861</v>
      </c>
      <c r="F336" s="15">
        <f t="shared" si="15"/>
        <v>4</v>
      </c>
      <c r="G336" s="10" t="str">
        <f t="shared" si="16"/>
        <v>Saturday</v>
      </c>
      <c r="H336" s="9" t="str">
        <f t="shared" si="17"/>
        <v>April</v>
      </c>
      <c r="I336" t="s">
        <v>95</v>
      </c>
      <c r="J336" t="s">
        <v>20</v>
      </c>
      <c r="K336">
        <v>951</v>
      </c>
      <c r="L336" s="5" t="str">
        <f>IF(OR(K336&lt;Answers!$C$16,Orders!K336&gt;Answers!$C$17),"Yes","No")</f>
        <v>No</v>
      </c>
      <c r="M336" s="14">
        <f>VLOOKUP(B336,Customers!$A$1:$E$2501,4,0)</f>
        <v>19</v>
      </c>
    </row>
    <row r="337" spans="1:13" x14ac:dyDescent="0.3">
      <c r="A337">
        <v>238793</v>
      </c>
      <c r="B337">
        <v>1574</v>
      </c>
      <c r="C337" s="1" t="s">
        <v>103</v>
      </c>
      <c r="D337" s="5">
        <v>45026</v>
      </c>
      <c r="E337" s="10">
        <v>36648</v>
      </c>
      <c r="F337" s="15">
        <f t="shared" si="15"/>
        <v>4</v>
      </c>
      <c r="G337" s="10" t="str">
        <f t="shared" si="16"/>
        <v>Monday</v>
      </c>
      <c r="H337" s="9" t="str">
        <f t="shared" si="17"/>
        <v>April</v>
      </c>
      <c r="I337" t="s">
        <v>190</v>
      </c>
      <c r="J337" t="s">
        <v>65</v>
      </c>
      <c r="K337">
        <v>3650</v>
      </c>
      <c r="L337" s="5" t="str">
        <f>IF(OR(K337&lt;Answers!$C$16,Orders!K337&gt;Answers!$C$17),"Yes","No")</f>
        <v>No</v>
      </c>
      <c r="M337" s="14">
        <f>VLOOKUP(B337,Customers!$A$1:$E$2501,4,0)</f>
        <v>36</v>
      </c>
    </row>
    <row r="338" spans="1:13" x14ac:dyDescent="0.3">
      <c r="A338">
        <v>238839</v>
      </c>
      <c r="B338">
        <v>766</v>
      </c>
      <c r="C338" s="1" t="s">
        <v>98</v>
      </c>
      <c r="D338" s="5">
        <v>45092</v>
      </c>
      <c r="E338" s="10">
        <v>0.53611111111111109</v>
      </c>
      <c r="F338" s="15">
        <f t="shared" si="15"/>
        <v>6</v>
      </c>
      <c r="G338" s="10" t="str">
        <f t="shared" si="16"/>
        <v>Thursday</v>
      </c>
      <c r="H338" s="9" t="str">
        <f t="shared" si="17"/>
        <v>June</v>
      </c>
      <c r="I338" t="s">
        <v>96</v>
      </c>
      <c r="J338" t="s">
        <v>77</v>
      </c>
      <c r="K338">
        <v>1367</v>
      </c>
      <c r="L338" s="5" t="str">
        <f>IF(OR(K338&lt;Answers!$C$16,Orders!K338&gt;Answers!$C$17),"Yes","No")</f>
        <v>No</v>
      </c>
      <c r="M338" s="14">
        <f>VLOOKUP(B338,Customers!$A$1:$E$2501,4,0)</f>
        <v>89</v>
      </c>
    </row>
    <row r="339" spans="1:13" x14ac:dyDescent="0.3">
      <c r="A339">
        <v>241257</v>
      </c>
      <c r="B339">
        <v>1374</v>
      </c>
      <c r="C339" s="1" t="s">
        <v>99</v>
      </c>
      <c r="D339" s="5">
        <v>45027</v>
      </c>
      <c r="E339" s="10">
        <v>6.5277777777777782E-2</v>
      </c>
      <c r="F339" s="15">
        <f t="shared" si="15"/>
        <v>4</v>
      </c>
      <c r="G339" s="10" t="str">
        <f t="shared" si="16"/>
        <v>Tuesday</v>
      </c>
      <c r="H339" s="9" t="str">
        <f t="shared" si="17"/>
        <v>April</v>
      </c>
      <c r="I339" t="s">
        <v>95</v>
      </c>
      <c r="J339" t="s">
        <v>4</v>
      </c>
      <c r="K339">
        <v>6819</v>
      </c>
      <c r="L339" s="5" t="str">
        <f>IF(OR(K339&lt;Answers!$C$16,Orders!K339&gt;Answers!$C$17),"Yes","No")</f>
        <v>No</v>
      </c>
      <c r="M339" s="14">
        <f>VLOOKUP(B339,Customers!$A$1:$E$2501,4,0)</f>
        <v>80</v>
      </c>
    </row>
    <row r="340" spans="1:13" x14ac:dyDescent="0.3">
      <c r="A340">
        <v>241334</v>
      </c>
      <c r="B340">
        <v>864</v>
      </c>
      <c r="C340" s="1" t="s">
        <v>98</v>
      </c>
      <c r="D340" s="5">
        <v>44939</v>
      </c>
      <c r="E340" s="10">
        <v>0.52708333333333335</v>
      </c>
      <c r="F340" s="15">
        <f t="shared" si="15"/>
        <v>1</v>
      </c>
      <c r="G340" s="10" t="str">
        <f t="shared" si="16"/>
        <v>Friday</v>
      </c>
      <c r="H340" s="9" t="str">
        <f t="shared" si="17"/>
        <v>January</v>
      </c>
      <c r="I340" t="s">
        <v>190</v>
      </c>
      <c r="J340" t="s">
        <v>38</v>
      </c>
      <c r="K340">
        <v>3422</v>
      </c>
      <c r="L340" s="5" t="str">
        <f>IF(OR(K340&lt;Answers!$C$16,Orders!K340&gt;Answers!$C$17),"Yes","No")</f>
        <v>No</v>
      </c>
      <c r="M340" s="14">
        <f>VLOOKUP(B340,Customers!$A$1:$E$2501,4,0)</f>
        <v>78</v>
      </c>
    </row>
    <row r="341" spans="1:13" x14ac:dyDescent="0.3">
      <c r="A341">
        <v>242256</v>
      </c>
      <c r="B341">
        <v>504</v>
      </c>
      <c r="C341" s="1" t="s">
        <v>101</v>
      </c>
      <c r="D341" s="5">
        <v>45123</v>
      </c>
      <c r="E341" s="10">
        <v>7.7083333333333337E-2</v>
      </c>
      <c r="F341" s="15">
        <f t="shared" si="15"/>
        <v>7</v>
      </c>
      <c r="G341" s="10" t="str">
        <f t="shared" si="16"/>
        <v>Sunday</v>
      </c>
      <c r="H341" s="9" t="str">
        <f t="shared" si="17"/>
        <v>July</v>
      </c>
      <c r="I341" t="s">
        <v>95</v>
      </c>
      <c r="J341" t="s">
        <v>42</v>
      </c>
      <c r="K341">
        <v>3986</v>
      </c>
      <c r="L341" s="5" t="str">
        <f>IF(OR(K341&lt;Answers!$C$16,Orders!K341&gt;Answers!$C$17),"Yes","No")</f>
        <v>No</v>
      </c>
      <c r="M341" s="14">
        <f>VLOOKUP(B341,Customers!$A$1:$E$2501,4,0)</f>
        <v>48</v>
      </c>
    </row>
    <row r="342" spans="1:13" x14ac:dyDescent="0.3">
      <c r="A342">
        <v>243319</v>
      </c>
      <c r="B342">
        <v>818</v>
      </c>
      <c r="C342" s="1" t="s">
        <v>99</v>
      </c>
      <c r="D342" s="5">
        <v>45072</v>
      </c>
      <c r="E342" s="10">
        <v>0.47361111111111109</v>
      </c>
      <c r="F342" s="15">
        <f t="shared" si="15"/>
        <v>5</v>
      </c>
      <c r="G342" s="10" t="str">
        <f t="shared" si="16"/>
        <v>Friday</v>
      </c>
      <c r="H342" s="9" t="str">
        <f t="shared" si="17"/>
        <v>May</v>
      </c>
      <c r="I342" t="s">
        <v>190</v>
      </c>
      <c r="J342" t="s">
        <v>42</v>
      </c>
      <c r="K342">
        <v>2539</v>
      </c>
      <c r="L342" s="5" t="str">
        <f>IF(OR(K342&lt;Answers!$C$16,Orders!K342&gt;Answers!$C$17),"Yes","No")</f>
        <v>No</v>
      </c>
      <c r="M342" s="14">
        <f>VLOOKUP(B342,Customers!$A$1:$E$2501,4,0)</f>
        <v>87</v>
      </c>
    </row>
    <row r="343" spans="1:13" x14ac:dyDescent="0.3">
      <c r="A343">
        <v>243485</v>
      </c>
      <c r="B343">
        <v>633</v>
      </c>
      <c r="C343" s="1" t="s">
        <v>99</v>
      </c>
      <c r="D343" s="5">
        <v>45119</v>
      </c>
      <c r="E343" s="10">
        <v>0.51111111111111107</v>
      </c>
      <c r="F343" s="15">
        <f t="shared" si="15"/>
        <v>7</v>
      </c>
      <c r="G343" s="10" t="str">
        <f t="shared" si="16"/>
        <v>Wednesday</v>
      </c>
      <c r="H343" s="9" t="str">
        <f t="shared" si="17"/>
        <v>July</v>
      </c>
      <c r="I343" t="s">
        <v>97</v>
      </c>
      <c r="J343" t="s">
        <v>16</v>
      </c>
      <c r="K343">
        <v>6552</v>
      </c>
      <c r="L343" s="5" t="str">
        <f>IF(OR(K343&lt;Answers!$C$16,Orders!K343&gt;Answers!$C$17),"Yes","No")</f>
        <v>No</v>
      </c>
      <c r="M343" s="14">
        <f>VLOOKUP(B343,Customers!$A$1:$E$2501,4,0)</f>
        <v>88</v>
      </c>
    </row>
    <row r="344" spans="1:13" x14ac:dyDescent="0.3">
      <c r="A344">
        <v>245474</v>
      </c>
      <c r="B344">
        <v>40</v>
      </c>
      <c r="C344" s="1" t="s">
        <v>100</v>
      </c>
      <c r="D344" s="5">
        <v>45248</v>
      </c>
      <c r="E344" s="10">
        <v>0.46736111111111112</v>
      </c>
      <c r="F344" s="15">
        <f t="shared" si="15"/>
        <v>11</v>
      </c>
      <c r="G344" s="10" t="str">
        <f t="shared" si="16"/>
        <v>Saturday</v>
      </c>
      <c r="H344" s="9" t="str">
        <f t="shared" si="17"/>
        <v>November</v>
      </c>
      <c r="I344" t="s">
        <v>95</v>
      </c>
      <c r="J344" t="s">
        <v>69</v>
      </c>
      <c r="K344">
        <v>3933</v>
      </c>
      <c r="L344" s="5" t="str">
        <f>IF(OR(K344&lt;Answers!$C$16,Orders!K344&gt;Answers!$C$17),"Yes","No")</f>
        <v>No</v>
      </c>
      <c r="M344" s="14">
        <f>VLOOKUP(B344,Customers!$A$1:$E$2501,4,0)</f>
        <v>37</v>
      </c>
    </row>
    <row r="345" spans="1:13" x14ac:dyDescent="0.3">
      <c r="A345">
        <v>246033</v>
      </c>
      <c r="B345">
        <v>1715</v>
      </c>
      <c r="C345" s="1" t="s">
        <v>98</v>
      </c>
      <c r="D345" s="5">
        <v>45265</v>
      </c>
      <c r="E345" s="10">
        <v>0.48125000000000001</v>
      </c>
      <c r="F345" s="15">
        <f t="shared" si="15"/>
        <v>12</v>
      </c>
      <c r="G345" s="10" t="str">
        <f t="shared" si="16"/>
        <v>Tuesday</v>
      </c>
      <c r="H345" s="9" t="str">
        <f t="shared" si="17"/>
        <v>December</v>
      </c>
      <c r="I345" t="s">
        <v>95</v>
      </c>
      <c r="J345" t="s">
        <v>70</v>
      </c>
      <c r="K345">
        <v>5126</v>
      </c>
      <c r="L345" s="5" t="str">
        <f>IF(OR(K345&lt;Answers!$C$16,Orders!K345&gt;Answers!$C$17),"Yes","No")</f>
        <v>No</v>
      </c>
      <c r="M345" s="14">
        <f>VLOOKUP(B345,Customers!$A$1:$E$2501,4,0)</f>
        <v>41</v>
      </c>
    </row>
    <row r="346" spans="1:13" x14ac:dyDescent="0.3">
      <c r="A346">
        <v>246834</v>
      </c>
      <c r="B346">
        <v>808</v>
      </c>
      <c r="C346" s="1" t="s">
        <v>98</v>
      </c>
      <c r="D346" s="5">
        <v>45134</v>
      </c>
      <c r="E346" s="10">
        <v>0.52361111111111114</v>
      </c>
      <c r="F346" s="15">
        <f t="shared" si="15"/>
        <v>7</v>
      </c>
      <c r="G346" s="10" t="str">
        <f t="shared" si="16"/>
        <v>Thursday</v>
      </c>
      <c r="H346" s="9" t="str">
        <f t="shared" si="17"/>
        <v>July</v>
      </c>
      <c r="I346" t="s">
        <v>95</v>
      </c>
      <c r="J346" t="s">
        <v>42</v>
      </c>
      <c r="K346">
        <v>9507</v>
      </c>
      <c r="L346" s="5" t="str">
        <f>IF(OR(K346&lt;Answers!$C$16,Orders!K346&gt;Answers!$C$17),"Yes","No")</f>
        <v>No</v>
      </c>
      <c r="M346" s="14">
        <f>VLOOKUP(B346,Customers!$A$1:$E$2501,4,0)</f>
        <v>41</v>
      </c>
    </row>
    <row r="347" spans="1:13" x14ac:dyDescent="0.3">
      <c r="A347">
        <v>246988</v>
      </c>
      <c r="B347">
        <v>243</v>
      </c>
      <c r="C347" s="1" t="s">
        <v>98</v>
      </c>
      <c r="D347" s="5">
        <v>45092</v>
      </c>
      <c r="E347" s="10">
        <v>0.52777777777777779</v>
      </c>
      <c r="F347" s="15">
        <f t="shared" si="15"/>
        <v>6</v>
      </c>
      <c r="G347" s="10" t="str">
        <f t="shared" si="16"/>
        <v>Thursday</v>
      </c>
      <c r="H347" s="9" t="str">
        <f t="shared" si="17"/>
        <v>June</v>
      </c>
      <c r="I347" t="s">
        <v>190</v>
      </c>
      <c r="J347" t="s">
        <v>44</v>
      </c>
      <c r="K347">
        <v>4264</v>
      </c>
      <c r="L347" s="5" t="str">
        <f>IF(OR(K347&lt;Answers!$C$16,Orders!K347&gt;Answers!$C$17),"Yes","No")</f>
        <v>No</v>
      </c>
      <c r="M347" s="14">
        <f>VLOOKUP(B347,Customers!$A$1:$E$2501,4,0)</f>
        <v>18</v>
      </c>
    </row>
    <row r="348" spans="1:13" x14ac:dyDescent="0.3">
      <c r="A348">
        <v>247011</v>
      </c>
      <c r="B348">
        <v>1809</v>
      </c>
      <c r="C348" s="1" t="s">
        <v>98</v>
      </c>
      <c r="D348" s="5">
        <v>45271</v>
      </c>
      <c r="E348" s="10">
        <v>0.47847222222222224</v>
      </c>
      <c r="F348" s="15">
        <f t="shared" si="15"/>
        <v>12</v>
      </c>
      <c r="G348" s="10" t="str">
        <f t="shared" si="16"/>
        <v>Monday</v>
      </c>
      <c r="H348" s="9" t="str">
        <f t="shared" si="17"/>
        <v>December</v>
      </c>
      <c r="I348" t="s">
        <v>97</v>
      </c>
      <c r="J348" t="s">
        <v>7</v>
      </c>
      <c r="K348">
        <v>4533</v>
      </c>
      <c r="L348" s="5" t="str">
        <f>IF(OR(K348&lt;Answers!$C$16,Orders!K348&gt;Answers!$C$17),"Yes","No")</f>
        <v>No</v>
      </c>
      <c r="M348" s="14">
        <f>VLOOKUP(B348,Customers!$A$1:$E$2501,4,0)</f>
        <v>57</v>
      </c>
    </row>
    <row r="349" spans="1:13" x14ac:dyDescent="0.3">
      <c r="A349">
        <v>247239</v>
      </c>
      <c r="B349">
        <v>1643</v>
      </c>
      <c r="C349" s="1" t="s">
        <v>100</v>
      </c>
      <c r="D349" s="5">
        <v>45006</v>
      </c>
      <c r="E349" s="10">
        <v>7.0833333333333331E-2</v>
      </c>
      <c r="F349" s="15">
        <f t="shared" si="15"/>
        <v>3</v>
      </c>
      <c r="G349" s="10" t="str">
        <f t="shared" si="16"/>
        <v>Tuesday</v>
      </c>
      <c r="H349" s="9" t="str">
        <f t="shared" si="17"/>
        <v>March</v>
      </c>
      <c r="I349" t="s">
        <v>97</v>
      </c>
      <c r="J349" t="s">
        <v>45</v>
      </c>
      <c r="K349">
        <v>9225</v>
      </c>
      <c r="L349" s="5" t="str">
        <f>IF(OR(K349&lt;Answers!$C$16,Orders!K349&gt;Answers!$C$17),"Yes","No")</f>
        <v>No</v>
      </c>
      <c r="M349" s="14">
        <f>VLOOKUP(B349,Customers!$A$1:$E$2501,4,0)</f>
        <v>29</v>
      </c>
    </row>
    <row r="350" spans="1:13" x14ac:dyDescent="0.3">
      <c r="A350">
        <v>248737</v>
      </c>
      <c r="B350">
        <v>109</v>
      </c>
      <c r="C350" s="1" t="s">
        <v>98</v>
      </c>
      <c r="D350" s="5">
        <v>45000</v>
      </c>
      <c r="E350" s="10">
        <v>0.52638888888888891</v>
      </c>
      <c r="F350" s="15">
        <f t="shared" si="15"/>
        <v>3</v>
      </c>
      <c r="G350" s="10" t="str">
        <f t="shared" si="16"/>
        <v>Wednesday</v>
      </c>
      <c r="H350" s="9" t="str">
        <f t="shared" si="17"/>
        <v>March</v>
      </c>
      <c r="I350" t="s">
        <v>97</v>
      </c>
      <c r="J350" t="s">
        <v>10</v>
      </c>
      <c r="K350">
        <v>1887</v>
      </c>
      <c r="L350" s="5" t="str">
        <f>IF(OR(K350&lt;Answers!$C$16,Orders!K350&gt;Answers!$C$17),"Yes","No")</f>
        <v>No</v>
      </c>
      <c r="M350" s="14">
        <f>VLOOKUP(B350,Customers!$A$1:$E$2501,4,0)</f>
        <v>32</v>
      </c>
    </row>
    <row r="351" spans="1:13" x14ac:dyDescent="0.3">
      <c r="A351">
        <v>250181</v>
      </c>
      <c r="B351">
        <v>1583</v>
      </c>
      <c r="C351" s="1" t="s">
        <v>105</v>
      </c>
      <c r="D351" s="5">
        <v>45036</v>
      </c>
      <c r="E351" s="10">
        <v>36872</v>
      </c>
      <c r="F351" s="15">
        <f t="shared" si="15"/>
        <v>4</v>
      </c>
      <c r="G351" s="10" t="str">
        <f t="shared" si="16"/>
        <v>Thursday</v>
      </c>
      <c r="H351" s="9" t="str">
        <f t="shared" si="17"/>
        <v>April</v>
      </c>
      <c r="I351" t="s">
        <v>95</v>
      </c>
      <c r="J351" t="s">
        <v>71</v>
      </c>
      <c r="K351">
        <v>4036</v>
      </c>
      <c r="L351" s="5" t="str">
        <f>IF(OR(K351&lt;Answers!$C$16,Orders!K351&gt;Answers!$C$17),"Yes","No")</f>
        <v>No</v>
      </c>
      <c r="M351" s="14">
        <f>VLOOKUP(B351,Customers!$A$1:$E$2501,4,0)</f>
        <v>73</v>
      </c>
    </row>
    <row r="352" spans="1:13" x14ac:dyDescent="0.3">
      <c r="A352">
        <v>251278</v>
      </c>
      <c r="B352">
        <v>1591</v>
      </c>
      <c r="C352" s="1" t="s">
        <v>98</v>
      </c>
      <c r="D352" s="5">
        <v>45018</v>
      </c>
      <c r="E352" s="10">
        <v>36657</v>
      </c>
      <c r="F352" s="15">
        <f t="shared" si="15"/>
        <v>4</v>
      </c>
      <c r="G352" s="10" t="str">
        <f t="shared" si="16"/>
        <v>Sunday</v>
      </c>
      <c r="H352" s="9" t="str">
        <f t="shared" si="17"/>
        <v>April</v>
      </c>
      <c r="I352" t="s">
        <v>95</v>
      </c>
      <c r="J352" t="s">
        <v>26</v>
      </c>
      <c r="K352">
        <v>2551</v>
      </c>
      <c r="L352" s="5" t="str">
        <f>IF(OR(K352&lt;Answers!$C$16,Orders!K352&gt;Answers!$C$17),"Yes","No")</f>
        <v>No</v>
      </c>
      <c r="M352" s="14">
        <f>VLOOKUP(B352,Customers!$A$1:$E$2501,4,0)</f>
        <v>61</v>
      </c>
    </row>
    <row r="353" spans="1:13" x14ac:dyDescent="0.3">
      <c r="A353">
        <v>251865</v>
      </c>
      <c r="B353">
        <v>414</v>
      </c>
      <c r="C353" s="1" t="s">
        <v>112</v>
      </c>
      <c r="D353" s="5">
        <v>45267</v>
      </c>
      <c r="E353" s="10">
        <v>36688</v>
      </c>
      <c r="F353" s="15">
        <f t="shared" si="15"/>
        <v>12</v>
      </c>
      <c r="G353" s="10" t="str">
        <f t="shared" si="16"/>
        <v>Thursday</v>
      </c>
      <c r="H353" s="9" t="str">
        <f t="shared" si="17"/>
        <v>December</v>
      </c>
      <c r="I353" t="s">
        <v>190</v>
      </c>
      <c r="J353" t="s">
        <v>12</v>
      </c>
      <c r="K353">
        <v>6149</v>
      </c>
      <c r="L353" s="5" t="str">
        <f>IF(OR(K353&lt;Answers!$C$16,Orders!K353&gt;Answers!$C$17),"Yes","No")</f>
        <v>No</v>
      </c>
      <c r="M353" s="14">
        <f>VLOOKUP(B353,Customers!$A$1:$E$2501,4,0)</f>
        <v>86</v>
      </c>
    </row>
    <row r="354" spans="1:13" x14ac:dyDescent="0.3">
      <c r="A354">
        <v>251999</v>
      </c>
      <c r="B354">
        <v>317</v>
      </c>
      <c r="C354" s="1" t="s">
        <v>99</v>
      </c>
      <c r="D354" s="5">
        <v>45232</v>
      </c>
      <c r="E354" s="10">
        <v>0.51249999999999996</v>
      </c>
      <c r="F354" s="15">
        <f t="shared" si="15"/>
        <v>11</v>
      </c>
      <c r="G354" s="10" t="str">
        <f t="shared" si="16"/>
        <v>Thursday</v>
      </c>
      <c r="H354" s="9" t="str">
        <f t="shared" si="17"/>
        <v>November</v>
      </c>
      <c r="I354" t="s">
        <v>95</v>
      </c>
      <c r="J354" t="s">
        <v>72</v>
      </c>
      <c r="K354">
        <v>8817</v>
      </c>
      <c r="L354" s="5" t="str">
        <f>IF(OR(K354&lt;Answers!$C$16,Orders!K354&gt;Answers!$C$17),"Yes","No")</f>
        <v>No</v>
      </c>
      <c r="M354" s="14">
        <f>VLOOKUP(B354,Customers!$A$1:$E$2501,4,0)</f>
        <v>24</v>
      </c>
    </row>
    <row r="355" spans="1:13" x14ac:dyDescent="0.3">
      <c r="A355">
        <v>252920</v>
      </c>
      <c r="B355">
        <v>298</v>
      </c>
      <c r="C355" s="1" t="s">
        <v>104</v>
      </c>
      <c r="D355" s="5">
        <v>45134</v>
      </c>
      <c r="E355" s="10">
        <v>0.53333333333333333</v>
      </c>
      <c r="F355" s="15">
        <f t="shared" si="15"/>
        <v>7</v>
      </c>
      <c r="G355" s="10" t="str">
        <f t="shared" si="16"/>
        <v>Thursday</v>
      </c>
      <c r="H355" s="9" t="str">
        <f t="shared" si="17"/>
        <v>July</v>
      </c>
      <c r="I355" t="s">
        <v>97</v>
      </c>
      <c r="J355" t="s">
        <v>51</v>
      </c>
      <c r="K355">
        <v>5044</v>
      </c>
      <c r="L355" s="5" t="str">
        <f>IF(OR(K355&lt;Answers!$C$16,Orders!K355&gt;Answers!$C$17),"Yes","No")</f>
        <v>No</v>
      </c>
      <c r="M355" s="14">
        <f>VLOOKUP(B355,Customers!$A$1:$E$2501,4,0)</f>
        <v>34</v>
      </c>
    </row>
    <row r="356" spans="1:13" x14ac:dyDescent="0.3">
      <c r="A356">
        <v>253281</v>
      </c>
      <c r="B356">
        <v>1725</v>
      </c>
      <c r="C356" s="1" t="s">
        <v>98</v>
      </c>
      <c r="D356" s="5">
        <v>45153</v>
      </c>
      <c r="E356" s="10">
        <v>0.48958333333333331</v>
      </c>
      <c r="F356" s="15">
        <f t="shared" si="15"/>
        <v>8</v>
      </c>
      <c r="G356" s="10" t="str">
        <f t="shared" si="16"/>
        <v>Tuesday</v>
      </c>
      <c r="H356" s="9" t="str">
        <f t="shared" si="17"/>
        <v>August</v>
      </c>
      <c r="I356" t="s">
        <v>96</v>
      </c>
      <c r="J356" t="s">
        <v>25</v>
      </c>
      <c r="K356">
        <v>8869</v>
      </c>
      <c r="L356" s="5" t="str">
        <f>IF(OR(K356&lt;Answers!$C$16,Orders!K356&gt;Answers!$C$17),"Yes","No")</f>
        <v>No</v>
      </c>
      <c r="M356" s="14">
        <f>VLOOKUP(B356,Customers!$A$1:$E$2501,4,0)</f>
        <v>81</v>
      </c>
    </row>
    <row r="357" spans="1:13" x14ac:dyDescent="0.3">
      <c r="A357">
        <v>253341</v>
      </c>
      <c r="B357">
        <v>1663</v>
      </c>
      <c r="C357" s="1" t="s">
        <v>103</v>
      </c>
      <c r="D357" s="5">
        <v>45078</v>
      </c>
      <c r="E357" s="10">
        <v>6.8750000000000006E-2</v>
      </c>
      <c r="F357" s="15">
        <f t="shared" si="15"/>
        <v>6</v>
      </c>
      <c r="G357" s="10" t="str">
        <f t="shared" si="16"/>
        <v>Thursday</v>
      </c>
      <c r="H357" s="9" t="str">
        <f t="shared" si="17"/>
        <v>June</v>
      </c>
      <c r="I357" t="s">
        <v>97</v>
      </c>
      <c r="J357" t="s">
        <v>73</v>
      </c>
      <c r="K357">
        <v>6399</v>
      </c>
      <c r="L357" s="5" t="str">
        <f>IF(OR(K357&lt;Answers!$C$16,Orders!K357&gt;Answers!$C$17),"Yes","No")</f>
        <v>No</v>
      </c>
      <c r="M357" s="14">
        <f>VLOOKUP(B357,Customers!$A$1:$E$2501,4,0)</f>
        <v>60</v>
      </c>
    </row>
    <row r="358" spans="1:13" x14ac:dyDescent="0.3">
      <c r="A358">
        <v>254112</v>
      </c>
      <c r="B358">
        <v>1975</v>
      </c>
      <c r="C358" s="1" t="s">
        <v>98</v>
      </c>
      <c r="D358" s="5">
        <v>45176</v>
      </c>
      <c r="E358" s="10">
        <v>0.49027777777777776</v>
      </c>
      <c r="F358" s="15">
        <f t="shared" si="15"/>
        <v>9</v>
      </c>
      <c r="G358" s="10" t="str">
        <f t="shared" si="16"/>
        <v>Thursday</v>
      </c>
      <c r="H358" s="9" t="str">
        <f t="shared" si="17"/>
        <v>September</v>
      </c>
      <c r="I358" t="s">
        <v>96</v>
      </c>
      <c r="J358" t="s">
        <v>74</v>
      </c>
      <c r="K358">
        <v>2037</v>
      </c>
      <c r="L358" s="5" t="str">
        <f>IF(OR(K358&lt;Answers!$C$16,Orders!K358&gt;Answers!$C$17),"Yes","No")</f>
        <v>No</v>
      </c>
      <c r="M358" s="14">
        <f>VLOOKUP(B358,Customers!$A$1:$E$2501,4,0)</f>
        <v>40</v>
      </c>
    </row>
    <row r="359" spans="1:13" x14ac:dyDescent="0.3">
      <c r="A359">
        <v>254795</v>
      </c>
      <c r="B359">
        <v>1357</v>
      </c>
      <c r="C359" s="1" t="s">
        <v>110</v>
      </c>
      <c r="D359" s="5">
        <v>45074</v>
      </c>
      <c r="E359" s="10">
        <v>5.7638888888888892E-2</v>
      </c>
      <c r="F359" s="15">
        <f t="shared" si="15"/>
        <v>5</v>
      </c>
      <c r="G359" s="10" t="str">
        <f t="shared" si="16"/>
        <v>Sunday</v>
      </c>
      <c r="H359" s="9" t="str">
        <f t="shared" si="17"/>
        <v>May</v>
      </c>
      <c r="I359" t="s">
        <v>95</v>
      </c>
      <c r="J359" t="s">
        <v>72</v>
      </c>
      <c r="K359">
        <v>7938</v>
      </c>
      <c r="L359" s="5" t="str">
        <f>IF(OR(K359&lt;Answers!$C$16,Orders!K359&gt;Answers!$C$17),"Yes","No")</f>
        <v>No</v>
      </c>
      <c r="M359" s="14">
        <f>VLOOKUP(B359,Customers!$A$1:$E$2501,4,0)</f>
        <v>43</v>
      </c>
    </row>
    <row r="360" spans="1:13" x14ac:dyDescent="0.3">
      <c r="A360">
        <v>255781</v>
      </c>
      <c r="B360">
        <v>847</v>
      </c>
      <c r="C360" s="1" t="s">
        <v>112</v>
      </c>
      <c r="D360" s="5">
        <v>45164</v>
      </c>
      <c r="E360" s="10">
        <v>0.44930555555555557</v>
      </c>
      <c r="F360" s="15">
        <f t="shared" si="15"/>
        <v>8</v>
      </c>
      <c r="G360" s="10" t="str">
        <f t="shared" si="16"/>
        <v>Saturday</v>
      </c>
      <c r="H360" s="9" t="str">
        <f t="shared" si="17"/>
        <v>August</v>
      </c>
      <c r="I360" t="s">
        <v>95</v>
      </c>
      <c r="J360" t="s">
        <v>75</v>
      </c>
      <c r="K360">
        <v>298</v>
      </c>
      <c r="L360" s="5" t="str">
        <f>IF(OR(K360&lt;Answers!$C$16,Orders!K360&gt;Answers!$C$17),"Yes","No")</f>
        <v>No</v>
      </c>
      <c r="M360" s="14">
        <f>VLOOKUP(B360,Customers!$A$1:$E$2501,4,0)</f>
        <v>76</v>
      </c>
    </row>
    <row r="361" spans="1:13" x14ac:dyDescent="0.3">
      <c r="A361">
        <v>257849</v>
      </c>
      <c r="B361">
        <v>27</v>
      </c>
      <c r="C361" s="1" t="s">
        <v>98</v>
      </c>
      <c r="D361" s="5">
        <v>45284</v>
      </c>
      <c r="E361" s="10">
        <v>0.53263888888888888</v>
      </c>
      <c r="F361" s="15">
        <f t="shared" si="15"/>
        <v>12</v>
      </c>
      <c r="G361" s="10" t="str">
        <f t="shared" si="16"/>
        <v>Sunday</v>
      </c>
      <c r="H361" s="9" t="str">
        <f t="shared" si="17"/>
        <v>December</v>
      </c>
      <c r="I361" t="s">
        <v>95</v>
      </c>
      <c r="J361" t="s">
        <v>71</v>
      </c>
      <c r="K361">
        <v>1534</v>
      </c>
      <c r="L361" s="5" t="str">
        <f>IF(OR(K361&lt;Answers!$C$16,Orders!K361&gt;Answers!$C$17),"Yes","No")</f>
        <v>No</v>
      </c>
      <c r="M361" s="14">
        <f>VLOOKUP(B361,Customers!$A$1:$E$2501,4,0)</f>
        <v>66</v>
      </c>
    </row>
    <row r="362" spans="1:13" x14ac:dyDescent="0.3">
      <c r="A362">
        <v>258070</v>
      </c>
      <c r="B362">
        <v>295</v>
      </c>
      <c r="C362" s="1" t="s">
        <v>112</v>
      </c>
      <c r="D362" s="5">
        <v>45246</v>
      </c>
      <c r="E362" s="10">
        <v>0.49652777777777779</v>
      </c>
      <c r="F362" s="15">
        <f t="shared" si="15"/>
        <v>11</v>
      </c>
      <c r="G362" s="10" t="str">
        <f t="shared" si="16"/>
        <v>Thursday</v>
      </c>
      <c r="H362" s="9" t="str">
        <f t="shared" si="17"/>
        <v>November</v>
      </c>
      <c r="I362" t="s">
        <v>96</v>
      </c>
      <c r="J362" t="s">
        <v>27</v>
      </c>
      <c r="K362">
        <v>3890</v>
      </c>
      <c r="L362" s="5" t="str">
        <f>IF(OR(K362&lt;Answers!$C$16,Orders!K362&gt;Answers!$C$17),"Yes","No")</f>
        <v>No</v>
      </c>
      <c r="M362" s="14">
        <f>VLOOKUP(B362,Customers!$A$1:$E$2501,4,0)</f>
        <v>44</v>
      </c>
    </row>
    <row r="363" spans="1:13" x14ac:dyDescent="0.3">
      <c r="A363">
        <v>259823</v>
      </c>
      <c r="B363">
        <v>1557</v>
      </c>
      <c r="C363" s="1" t="s">
        <v>98</v>
      </c>
      <c r="D363" s="5">
        <v>45172</v>
      </c>
      <c r="E363" s="10">
        <v>0.47083333333333333</v>
      </c>
      <c r="F363" s="15">
        <f t="shared" si="15"/>
        <v>9</v>
      </c>
      <c r="G363" s="10" t="str">
        <f t="shared" si="16"/>
        <v>Sunday</v>
      </c>
      <c r="H363" s="9" t="str">
        <f t="shared" si="17"/>
        <v>September</v>
      </c>
      <c r="I363" t="s">
        <v>97</v>
      </c>
      <c r="J363" t="s">
        <v>3</v>
      </c>
      <c r="K363">
        <v>5762</v>
      </c>
      <c r="L363" s="5" t="str">
        <f>IF(OR(K363&lt;Answers!$C$16,Orders!K363&gt;Answers!$C$17),"Yes","No")</f>
        <v>No</v>
      </c>
      <c r="M363" s="14">
        <f>VLOOKUP(B363,Customers!$A$1:$E$2501,4,0)</f>
        <v>28</v>
      </c>
    </row>
    <row r="364" spans="1:13" x14ac:dyDescent="0.3">
      <c r="A364">
        <v>260160</v>
      </c>
      <c r="B364">
        <v>1525</v>
      </c>
      <c r="C364" s="1" t="s">
        <v>106</v>
      </c>
      <c r="D364" s="5">
        <v>45260</v>
      </c>
      <c r="E364" s="10">
        <v>0.53333333333333333</v>
      </c>
      <c r="F364" s="15">
        <f t="shared" si="15"/>
        <v>11</v>
      </c>
      <c r="G364" s="10" t="str">
        <f t="shared" si="16"/>
        <v>Thursday</v>
      </c>
      <c r="H364" s="9" t="str">
        <f t="shared" si="17"/>
        <v>November</v>
      </c>
      <c r="I364" t="s">
        <v>97</v>
      </c>
      <c r="J364" t="s">
        <v>22</v>
      </c>
      <c r="K364">
        <v>586</v>
      </c>
      <c r="L364" s="5" t="str">
        <f>IF(OR(K364&lt;Answers!$C$16,Orders!K364&gt;Answers!$C$17),"Yes","No")</f>
        <v>No</v>
      </c>
      <c r="M364" s="14">
        <f>VLOOKUP(B364,Customers!$A$1:$E$2501,4,0)</f>
        <v>87</v>
      </c>
    </row>
    <row r="365" spans="1:13" x14ac:dyDescent="0.3">
      <c r="A365">
        <v>260615</v>
      </c>
      <c r="B365">
        <v>1539</v>
      </c>
      <c r="C365" s="1" t="s">
        <v>98</v>
      </c>
      <c r="D365" s="5">
        <v>45026</v>
      </c>
      <c r="E365" s="10">
        <v>0.47986111111111113</v>
      </c>
      <c r="F365" s="15">
        <f t="shared" si="15"/>
        <v>4</v>
      </c>
      <c r="G365" s="10" t="str">
        <f t="shared" si="16"/>
        <v>Monday</v>
      </c>
      <c r="H365" s="9" t="str">
        <f t="shared" si="17"/>
        <v>April</v>
      </c>
      <c r="I365" t="s">
        <v>96</v>
      </c>
      <c r="J365" t="s">
        <v>76</v>
      </c>
      <c r="K365">
        <v>3646</v>
      </c>
      <c r="L365" s="5" t="str">
        <f>IF(OR(K365&lt;Answers!$C$16,Orders!K365&gt;Answers!$C$17),"Yes","No")</f>
        <v>No</v>
      </c>
      <c r="M365" s="14">
        <f>VLOOKUP(B365,Customers!$A$1:$E$2501,4,0)</f>
        <v>73</v>
      </c>
    </row>
    <row r="366" spans="1:13" x14ac:dyDescent="0.3">
      <c r="A366">
        <v>260991</v>
      </c>
      <c r="B366">
        <v>1916</v>
      </c>
      <c r="C366" s="1" t="s">
        <v>109</v>
      </c>
      <c r="D366" s="5">
        <v>44979</v>
      </c>
      <c r="E366" s="10">
        <v>0.5131944444444444</v>
      </c>
      <c r="F366" s="15">
        <f t="shared" si="15"/>
        <v>2</v>
      </c>
      <c r="G366" s="10" t="str">
        <f t="shared" si="16"/>
        <v>Wednesday</v>
      </c>
      <c r="H366" s="9" t="str">
        <f t="shared" si="17"/>
        <v>February</v>
      </c>
      <c r="I366" t="s">
        <v>97</v>
      </c>
      <c r="J366" t="s">
        <v>19</v>
      </c>
      <c r="K366">
        <v>8257</v>
      </c>
      <c r="L366" s="5" t="str">
        <f>IF(OR(K366&lt;Answers!$C$16,Orders!K366&gt;Answers!$C$17),"Yes","No")</f>
        <v>No</v>
      </c>
      <c r="M366" s="14">
        <f>VLOOKUP(B366,Customers!$A$1:$E$2501,4,0)</f>
        <v>34</v>
      </c>
    </row>
    <row r="367" spans="1:13" x14ac:dyDescent="0.3">
      <c r="A367">
        <v>261671</v>
      </c>
      <c r="B367">
        <v>1566</v>
      </c>
      <c r="C367" s="1" t="s">
        <v>98</v>
      </c>
      <c r="D367" s="5">
        <v>45159</v>
      </c>
      <c r="E367" s="10">
        <v>0.48055555555555557</v>
      </c>
      <c r="F367" s="15">
        <f t="shared" si="15"/>
        <v>8</v>
      </c>
      <c r="G367" s="10" t="str">
        <f t="shared" si="16"/>
        <v>Monday</v>
      </c>
      <c r="H367" s="9" t="str">
        <f t="shared" si="17"/>
        <v>August</v>
      </c>
      <c r="I367" t="s">
        <v>96</v>
      </c>
      <c r="J367" t="s">
        <v>40</v>
      </c>
      <c r="K367">
        <v>7957</v>
      </c>
      <c r="L367" s="5" t="str">
        <f>IF(OR(K367&lt;Answers!$C$16,Orders!K367&gt;Answers!$C$17),"Yes","No")</f>
        <v>No</v>
      </c>
      <c r="M367" s="14">
        <f>VLOOKUP(B367,Customers!$A$1:$E$2501,4,0)</f>
        <v>64</v>
      </c>
    </row>
    <row r="368" spans="1:13" x14ac:dyDescent="0.3">
      <c r="A368">
        <v>262192</v>
      </c>
      <c r="B368">
        <v>418</v>
      </c>
      <c r="C368" s="1" t="s">
        <v>105</v>
      </c>
      <c r="D368" s="5">
        <v>45164</v>
      </c>
      <c r="E368" s="10">
        <v>0.45416666666666666</v>
      </c>
      <c r="F368" s="15">
        <f t="shared" si="15"/>
        <v>8</v>
      </c>
      <c r="G368" s="10" t="str">
        <f t="shared" si="16"/>
        <v>Saturday</v>
      </c>
      <c r="H368" s="9" t="str">
        <f t="shared" si="17"/>
        <v>August</v>
      </c>
      <c r="I368" t="s">
        <v>190</v>
      </c>
      <c r="J368" t="s">
        <v>22</v>
      </c>
      <c r="K368">
        <v>6532</v>
      </c>
      <c r="L368" s="5" t="str">
        <f>IF(OR(K368&lt;Answers!$C$16,Orders!K368&gt;Answers!$C$17),"Yes","No")</f>
        <v>No</v>
      </c>
      <c r="M368" s="14">
        <f>VLOOKUP(B368,Customers!$A$1:$E$2501,4,0)</f>
        <v>22</v>
      </c>
    </row>
    <row r="369" spans="1:13" x14ac:dyDescent="0.3">
      <c r="A369">
        <v>262661</v>
      </c>
      <c r="B369">
        <v>1604</v>
      </c>
      <c r="C369" s="1" t="s">
        <v>104</v>
      </c>
      <c r="D369" s="5">
        <v>45094</v>
      </c>
      <c r="E369" s="10">
        <v>0.49375000000000002</v>
      </c>
      <c r="F369" s="15">
        <f t="shared" si="15"/>
        <v>6</v>
      </c>
      <c r="G369" s="10" t="str">
        <f t="shared" si="16"/>
        <v>Saturday</v>
      </c>
      <c r="H369" s="9" t="str">
        <f t="shared" si="17"/>
        <v>June</v>
      </c>
      <c r="I369" t="s">
        <v>97</v>
      </c>
      <c r="J369" t="s">
        <v>26</v>
      </c>
      <c r="K369">
        <v>2871</v>
      </c>
      <c r="L369" s="5" t="str">
        <f>IF(OR(K369&lt;Answers!$C$16,Orders!K369&gt;Answers!$C$17),"Yes","No")</f>
        <v>No</v>
      </c>
      <c r="M369" s="14">
        <f>VLOOKUP(B369,Customers!$A$1:$E$2501,4,0)</f>
        <v>76</v>
      </c>
    </row>
    <row r="370" spans="1:13" x14ac:dyDescent="0.3">
      <c r="A370">
        <v>262946</v>
      </c>
      <c r="B370">
        <v>1835</v>
      </c>
      <c r="C370" s="1" t="s">
        <v>101</v>
      </c>
      <c r="D370" s="5">
        <v>45166</v>
      </c>
      <c r="E370" s="10">
        <v>0.47569444444444442</v>
      </c>
      <c r="F370" s="15">
        <f t="shared" si="15"/>
        <v>8</v>
      </c>
      <c r="G370" s="10" t="str">
        <f t="shared" si="16"/>
        <v>Monday</v>
      </c>
      <c r="H370" s="9" t="str">
        <f t="shared" si="17"/>
        <v>August</v>
      </c>
      <c r="I370" t="s">
        <v>190</v>
      </c>
      <c r="J370" t="s">
        <v>30</v>
      </c>
      <c r="K370">
        <v>934</v>
      </c>
      <c r="L370" s="5" t="str">
        <f>IF(OR(K370&lt;Answers!$C$16,Orders!K370&gt;Answers!$C$17),"Yes","No")</f>
        <v>No</v>
      </c>
      <c r="M370" s="14">
        <f>VLOOKUP(B370,Customers!$A$1:$E$2501,4,0)</f>
        <v>43</v>
      </c>
    </row>
    <row r="371" spans="1:13" x14ac:dyDescent="0.3">
      <c r="A371">
        <v>264917</v>
      </c>
      <c r="B371">
        <v>1281</v>
      </c>
      <c r="C371" s="1" t="s">
        <v>104</v>
      </c>
      <c r="D371" s="5">
        <v>45130</v>
      </c>
      <c r="E371" s="10">
        <v>0.51041666666666663</v>
      </c>
      <c r="F371" s="15">
        <f t="shared" si="15"/>
        <v>7</v>
      </c>
      <c r="G371" s="10" t="str">
        <f t="shared" si="16"/>
        <v>Sunday</v>
      </c>
      <c r="H371" s="9" t="str">
        <f t="shared" si="17"/>
        <v>July</v>
      </c>
      <c r="I371" t="s">
        <v>97</v>
      </c>
      <c r="J371" t="s">
        <v>77</v>
      </c>
      <c r="K371">
        <v>1214</v>
      </c>
      <c r="L371" s="5" t="str">
        <f>IF(OR(K371&lt;Answers!$C$16,Orders!K371&gt;Answers!$C$17),"Yes","No")</f>
        <v>No</v>
      </c>
      <c r="M371" s="14">
        <f>VLOOKUP(B371,Customers!$A$1:$E$2501,4,0)</f>
        <v>61</v>
      </c>
    </row>
    <row r="372" spans="1:13" x14ac:dyDescent="0.3">
      <c r="A372">
        <v>265772</v>
      </c>
      <c r="B372">
        <v>396</v>
      </c>
      <c r="C372" s="1" t="s">
        <v>104</v>
      </c>
      <c r="D372" s="5">
        <v>45271</v>
      </c>
      <c r="E372" s="10">
        <v>0.53611111111111109</v>
      </c>
      <c r="F372" s="15">
        <f t="shared" si="15"/>
        <v>12</v>
      </c>
      <c r="G372" s="10" t="str">
        <f t="shared" si="16"/>
        <v>Monday</v>
      </c>
      <c r="H372" s="9" t="str">
        <f t="shared" si="17"/>
        <v>December</v>
      </c>
      <c r="I372" t="s">
        <v>96</v>
      </c>
      <c r="J372" t="s">
        <v>76</v>
      </c>
      <c r="K372">
        <v>553</v>
      </c>
      <c r="L372" s="5" t="str">
        <f>IF(OR(K372&lt;Answers!$C$16,Orders!K372&gt;Answers!$C$17),"Yes","No")</f>
        <v>No</v>
      </c>
      <c r="M372" s="14">
        <f>VLOOKUP(B372,Customers!$A$1:$E$2501,4,0)</f>
        <v>53</v>
      </c>
    </row>
    <row r="373" spans="1:13" x14ac:dyDescent="0.3">
      <c r="A373">
        <v>267881</v>
      </c>
      <c r="B373">
        <v>1284</v>
      </c>
      <c r="C373" s="1" t="s">
        <v>104</v>
      </c>
      <c r="D373" s="5">
        <v>45222</v>
      </c>
      <c r="E373" s="10">
        <v>0.51180555555555551</v>
      </c>
      <c r="F373" s="15">
        <f t="shared" si="15"/>
        <v>10</v>
      </c>
      <c r="G373" s="10" t="str">
        <f t="shared" si="16"/>
        <v>Monday</v>
      </c>
      <c r="H373" s="9" t="str">
        <f t="shared" si="17"/>
        <v>October</v>
      </c>
      <c r="I373" t="s">
        <v>190</v>
      </c>
      <c r="J373" t="s">
        <v>63</v>
      </c>
      <c r="K373">
        <v>395</v>
      </c>
      <c r="L373" s="5" t="str">
        <f>IF(OR(K373&lt;Answers!$C$16,Orders!K373&gt;Answers!$C$17),"Yes","No")</f>
        <v>No</v>
      </c>
      <c r="M373" s="14">
        <f>VLOOKUP(B373,Customers!$A$1:$E$2501,4,0)</f>
        <v>73</v>
      </c>
    </row>
    <row r="374" spans="1:13" x14ac:dyDescent="0.3">
      <c r="A374">
        <v>268063</v>
      </c>
      <c r="B374">
        <v>775</v>
      </c>
      <c r="C374" s="1" t="s">
        <v>105</v>
      </c>
      <c r="D374" s="5">
        <v>44956</v>
      </c>
      <c r="E374" s="10">
        <v>8.1944444444444445E-2</v>
      </c>
      <c r="F374" s="15">
        <f t="shared" si="15"/>
        <v>1</v>
      </c>
      <c r="G374" s="10" t="str">
        <f t="shared" si="16"/>
        <v>Monday</v>
      </c>
      <c r="H374" s="9" t="str">
        <f t="shared" si="17"/>
        <v>January</v>
      </c>
      <c r="I374" t="s">
        <v>190</v>
      </c>
      <c r="J374" t="s">
        <v>29</v>
      </c>
      <c r="K374">
        <v>4938</v>
      </c>
      <c r="L374" s="5" t="str">
        <f>IF(OR(K374&lt;Answers!$C$16,Orders!K374&gt;Answers!$C$17),"Yes","No")</f>
        <v>No</v>
      </c>
      <c r="M374" s="14">
        <f>VLOOKUP(B374,Customers!$A$1:$E$2501,4,0)</f>
        <v>68</v>
      </c>
    </row>
    <row r="375" spans="1:13" x14ac:dyDescent="0.3">
      <c r="A375">
        <v>268418</v>
      </c>
      <c r="B375">
        <v>1123</v>
      </c>
      <c r="C375" s="1" t="s">
        <v>99</v>
      </c>
      <c r="D375" s="5">
        <v>45135</v>
      </c>
      <c r="E375" s="10">
        <v>0.48055555555555557</v>
      </c>
      <c r="F375" s="15">
        <f t="shared" si="15"/>
        <v>7</v>
      </c>
      <c r="G375" s="10" t="str">
        <f t="shared" si="16"/>
        <v>Friday</v>
      </c>
      <c r="H375" s="9" t="str">
        <f t="shared" si="17"/>
        <v>July</v>
      </c>
      <c r="I375" t="s">
        <v>96</v>
      </c>
      <c r="J375" t="s">
        <v>52</v>
      </c>
      <c r="K375">
        <v>8306</v>
      </c>
      <c r="L375" s="5" t="str">
        <f>IF(OR(K375&lt;Answers!$C$16,Orders!K375&gt;Answers!$C$17),"Yes","No")</f>
        <v>No</v>
      </c>
      <c r="M375" s="14">
        <f>VLOOKUP(B375,Customers!$A$1:$E$2501,4,0)</f>
        <v>54</v>
      </c>
    </row>
    <row r="376" spans="1:13" x14ac:dyDescent="0.3">
      <c r="A376">
        <v>268811</v>
      </c>
      <c r="B376">
        <v>519</v>
      </c>
      <c r="C376" s="1" t="s">
        <v>99</v>
      </c>
      <c r="D376" s="5">
        <v>44963</v>
      </c>
      <c r="E376" s="10">
        <v>6.458333333333334E-2</v>
      </c>
      <c r="F376" s="15">
        <f t="shared" si="15"/>
        <v>2</v>
      </c>
      <c r="G376" s="10" t="str">
        <f t="shared" si="16"/>
        <v>Monday</v>
      </c>
      <c r="H376" s="9" t="str">
        <f t="shared" si="17"/>
        <v>February</v>
      </c>
      <c r="I376" t="s">
        <v>95</v>
      </c>
      <c r="J376" t="s">
        <v>84</v>
      </c>
      <c r="K376">
        <v>9147</v>
      </c>
      <c r="L376" s="5" t="str">
        <f>IF(OR(K376&lt;Answers!$C$16,Orders!K376&gt;Answers!$C$17),"Yes","No")</f>
        <v>No</v>
      </c>
      <c r="M376" s="14">
        <f>VLOOKUP(B376,Customers!$A$1:$E$2501,4,0)</f>
        <v>70</v>
      </c>
    </row>
    <row r="377" spans="1:13" x14ac:dyDescent="0.3">
      <c r="A377">
        <v>268861</v>
      </c>
      <c r="B377">
        <v>919</v>
      </c>
      <c r="C377" s="1" t="s">
        <v>107</v>
      </c>
      <c r="D377" s="5">
        <v>45116</v>
      </c>
      <c r="E377" s="10">
        <v>4.1666666666666664E-2</v>
      </c>
      <c r="F377" s="15">
        <f t="shared" si="15"/>
        <v>7</v>
      </c>
      <c r="G377" s="10" t="str">
        <f t="shared" si="16"/>
        <v>Sunday</v>
      </c>
      <c r="H377" s="9" t="str">
        <f t="shared" si="17"/>
        <v>July</v>
      </c>
      <c r="I377" t="s">
        <v>96</v>
      </c>
      <c r="J377" t="s">
        <v>50</v>
      </c>
      <c r="K377">
        <v>4370</v>
      </c>
      <c r="L377" s="5" t="str">
        <f>IF(OR(K377&lt;Answers!$C$16,Orders!K377&gt;Answers!$C$17),"Yes","No")</f>
        <v>No</v>
      </c>
      <c r="M377" s="14">
        <f>VLOOKUP(B377,Customers!$A$1:$E$2501,4,0)</f>
        <v>27</v>
      </c>
    </row>
    <row r="378" spans="1:13" x14ac:dyDescent="0.3">
      <c r="A378">
        <v>271858</v>
      </c>
      <c r="B378">
        <v>1634</v>
      </c>
      <c r="C378" s="1" t="s">
        <v>104</v>
      </c>
      <c r="D378" s="5">
        <v>45266</v>
      </c>
      <c r="E378" s="10">
        <v>36568</v>
      </c>
      <c r="F378" s="15">
        <f t="shared" si="15"/>
        <v>12</v>
      </c>
      <c r="G378" s="10" t="str">
        <f t="shared" si="16"/>
        <v>Wednesday</v>
      </c>
      <c r="H378" s="9" t="str">
        <f t="shared" si="17"/>
        <v>December</v>
      </c>
      <c r="I378" t="s">
        <v>96</v>
      </c>
      <c r="J378" t="s">
        <v>67</v>
      </c>
      <c r="K378">
        <v>1755</v>
      </c>
      <c r="L378" s="5" t="str">
        <f>IF(OR(K378&lt;Answers!$C$16,Orders!K378&gt;Answers!$C$17),"Yes","No")</f>
        <v>No</v>
      </c>
      <c r="M378" s="14">
        <f>VLOOKUP(B378,Customers!$A$1:$E$2501,4,0)</f>
        <v>34</v>
      </c>
    </row>
    <row r="379" spans="1:13" x14ac:dyDescent="0.3">
      <c r="A379">
        <v>272165</v>
      </c>
      <c r="B379">
        <v>1133</v>
      </c>
      <c r="C379" s="1" t="s">
        <v>112</v>
      </c>
      <c r="D379" s="5">
        <v>45020</v>
      </c>
      <c r="E379" s="10">
        <v>5.2777777777777778E-2</v>
      </c>
      <c r="F379" s="15">
        <f t="shared" si="15"/>
        <v>4</v>
      </c>
      <c r="G379" s="10" t="str">
        <f t="shared" si="16"/>
        <v>Tuesday</v>
      </c>
      <c r="H379" s="9" t="str">
        <f t="shared" si="17"/>
        <v>April</v>
      </c>
      <c r="I379" t="s">
        <v>95</v>
      </c>
      <c r="J379" t="s">
        <v>85</v>
      </c>
      <c r="K379">
        <v>6204</v>
      </c>
      <c r="L379" s="5" t="str">
        <f>IF(OR(K379&lt;Answers!$C$16,Orders!K379&gt;Answers!$C$17),"Yes","No")</f>
        <v>No</v>
      </c>
      <c r="M379" s="14">
        <f>VLOOKUP(B379,Customers!$A$1:$E$2501,4,0)</f>
        <v>59</v>
      </c>
    </row>
    <row r="380" spans="1:13" x14ac:dyDescent="0.3">
      <c r="A380">
        <v>272174</v>
      </c>
      <c r="B380">
        <v>105</v>
      </c>
      <c r="C380" s="1" t="s">
        <v>98</v>
      </c>
      <c r="D380" s="5">
        <v>45097</v>
      </c>
      <c r="E380" s="10">
        <v>36739</v>
      </c>
      <c r="F380" s="15">
        <f t="shared" si="15"/>
        <v>6</v>
      </c>
      <c r="G380" s="10" t="str">
        <f t="shared" si="16"/>
        <v>Tuesday</v>
      </c>
      <c r="H380" s="9" t="str">
        <f t="shared" si="17"/>
        <v>June</v>
      </c>
      <c r="I380" t="s">
        <v>190</v>
      </c>
      <c r="J380" t="s">
        <v>42</v>
      </c>
      <c r="K380">
        <v>5045</v>
      </c>
      <c r="L380" s="5" t="str">
        <f>IF(OR(K380&lt;Answers!$C$16,Orders!K380&gt;Answers!$C$17),"Yes","No")</f>
        <v>No</v>
      </c>
      <c r="M380" s="14">
        <f>VLOOKUP(B380,Customers!$A$1:$E$2501,4,0)</f>
        <v>80</v>
      </c>
    </row>
    <row r="381" spans="1:13" x14ac:dyDescent="0.3">
      <c r="A381">
        <v>272255</v>
      </c>
      <c r="B381">
        <v>187</v>
      </c>
      <c r="C381" s="1" t="s">
        <v>99</v>
      </c>
      <c r="D381" s="5">
        <v>45061</v>
      </c>
      <c r="E381" s="10">
        <v>0.4909722222222222</v>
      </c>
      <c r="F381" s="15">
        <f t="shared" si="15"/>
        <v>5</v>
      </c>
      <c r="G381" s="10" t="str">
        <f t="shared" si="16"/>
        <v>Monday</v>
      </c>
      <c r="H381" s="9" t="str">
        <f t="shared" si="17"/>
        <v>May</v>
      </c>
      <c r="I381" t="s">
        <v>190</v>
      </c>
      <c r="J381" t="s">
        <v>26</v>
      </c>
      <c r="K381">
        <v>1181</v>
      </c>
      <c r="L381" s="5" t="str">
        <f>IF(OR(K381&lt;Answers!$C$16,Orders!K381&gt;Answers!$C$17),"Yes","No")</f>
        <v>No</v>
      </c>
      <c r="M381" s="14">
        <f>VLOOKUP(B381,Customers!$A$1:$E$2501,4,0)</f>
        <v>68</v>
      </c>
    </row>
    <row r="382" spans="1:13" x14ac:dyDescent="0.3">
      <c r="A382">
        <v>273538</v>
      </c>
      <c r="B382">
        <v>1944</v>
      </c>
      <c r="C382" s="1" t="s">
        <v>104</v>
      </c>
      <c r="D382" s="5">
        <v>44975</v>
      </c>
      <c r="E382" s="10">
        <v>0.48819444444444443</v>
      </c>
      <c r="F382" s="15">
        <f t="shared" si="15"/>
        <v>2</v>
      </c>
      <c r="G382" s="10" t="str">
        <f t="shared" si="16"/>
        <v>Saturday</v>
      </c>
      <c r="H382" s="9" t="str">
        <f t="shared" si="17"/>
        <v>February</v>
      </c>
      <c r="I382" t="s">
        <v>95</v>
      </c>
      <c r="J382" t="s">
        <v>68</v>
      </c>
      <c r="K382">
        <v>5193</v>
      </c>
      <c r="L382" s="5" t="str">
        <f>IF(OR(K382&lt;Answers!$C$16,Orders!K382&gt;Answers!$C$17),"Yes","No")</f>
        <v>No</v>
      </c>
      <c r="M382" s="14">
        <f>VLOOKUP(B382,Customers!$A$1:$E$2501,4,0)</f>
        <v>82</v>
      </c>
    </row>
    <row r="383" spans="1:13" x14ac:dyDescent="0.3">
      <c r="A383">
        <v>273817</v>
      </c>
      <c r="B383">
        <v>530</v>
      </c>
      <c r="C383" s="1" t="s">
        <v>100</v>
      </c>
      <c r="D383" s="5">
        <v>45051</v>
      </c>
      <c r="E383" s="10">
        <v>5.6250000000000001E-2</v>
      </c>
      <c r="F383" s="15">
        <f t="shared" si="15"/>
        <v>5</v>
      </c>
      <c r="G383" s="10" t="str">
        <f t="shared" si="16"/>
        <v>Friday</v>
      </c>
      <c r="H383" s="9" t="str">
        <f t="shared" si="17"/>
        <v>May</v>
      </c>
      <c r="I383" t="s">
        <v>97</v>
      </c>
      <c r="J383" t="s">
        <v>42</v>
      </c>
      <c r="K383">
        <v>4051</v>
      </c>
      <c r="L383" s="5" t="str">
        <f>IF(OR(K383&lt;Answers!$C$16,Orders!K383&gt;Answers!$C$17),"Yes","No")</f>
        <v>No</v>
      </c>
      <c r="M383" s="14">
        <f>VLOOKUP(B383,Customers!$A$1:$E$2501,4,0)</f>
        <v>23</v>
      </c>
    </row>
    <row r="384" spans="1:13" x14ac:dyDescent="0.3">
      <c r="A384">
        <v>273923</v>
      </c>
      <c r="B384">
        <v>1911</v>
      </c>
      <c r="C384" s="1" t="s">
        <v>100</v>
      </c>
      <c r="D384" s="5">
        <v>44957</v>
      </c>
      <c r="E384" s="10">
        <v>0.54027777777777775</v>
      </c>
      <c r="F384" s="15">
        <f t="shared" si="15"/>
        <v>1</v>
      </c>
      <c r="G384" s="10" t="str">
        <f t="shared" si="16"/>
        <v>Tuesday</v>
      </c>
      <c r="H384" s="9" t="str">
        <f t="shared" si="17"/>
        <v>January</v>
      </c>
      <c r="I384" t="s">
        <v>97</v>
      </c>
      <c r="J384" t="s">
        <v>21</v>
      </c>
      <c r="K384">
        <v>4736</v>
      </c>
      <c r="L384" s="5" t="str">
        <f>IF(OR(K384&lt;Answers!$C$16,Orders!K384&gt;Answers!$C$17),"Yes","No")</f>
        <v>No</v>
      </c>
      <c r="M384" s="14">
        <f>VLOOKUP(B384,Customers!$A$1:$E$2501,4,0)</f>
        <v>78</v>
      </c>
    </row>
    <row r="385" spans="1:13" x14ac:dyDescent="0.3">
      <c r="A385">
        <v>275855</v>
      </c>
      <c r="B385">
        <v>869</v>
      </c>
      <c r="C385" s="1" t="s">
        <v>103</v>
      </c>
      <c r="D385" s="5">
        <v>45162</v>
      </c>
      <c r="E385" s="10">
        <v>0.49375000000000002</v>
      </c>
      <c r="F385" s="15">
        <f t="shared" si="15"/>
        <v>8</v>
      </c>
      <c r="G385" s="10" t="str">
        <f t="shared" si="16"/>
        <v>Thursday</v>
      </c>
      <c r="H385" s="9" t="str">
        <f t="shared" si="17"/>
        <v>August</v>
      </c>
      <c r="I385" t="s">
        <v>96</v>
      </c>
      <c r="J385" t="s">
        <v>3</v>
      </c>
      <c r="K385">
        <v>7700</v>
      </c>
      <c r="L385" s="5" t="str">
        <f>IF(OR(K385&lt;Answers!$C$16,Orders!K385&gt;Answers!$C$17),"Yes","No")</f>
        <v>No</v>
      </c>
      <c r="M385" s="14">
        <f>VLOOKUP(B385,Customers!$A$1:$E$2501,4,0)</f>
        <v>56</v>
      </c>
    </row>
    <row r="386" spans="1:13" x14ac:dyDescent="0.3">
      <c r="A386">
        <v>275961</v>
      </c>
      <c r="B386">
        <v>679</v>
      </c>
      <c r="C386" s="1" t="s">
        <v>105</v>
      </c>
      <c r="D386" s="5">
        <v>45248</v>
      </c>
      <c r="E386" s="10">
        <v>0.49861111111111112</v>
      </c>
      <c r="F386" s="15">
        <f t="shared" si="15"/>
        <v>11</v>
      </c>
      <c r="G386" s="10" t="str">
        <f t="shared" si="16"/>
        <v>Saturday</v>
      </c>
      <c r="H386" s="9" t="str">
        <f t="shared" si="17"/>
        <v>November</v>
      </c>
      <c r="I386" t="s">
        <v>97</v>
      </c>
      <c r="J386" t="s">
        <v>18</v>
      </c>
      <c r="K386">
        <v>2936</v>
      </c>
      <c r="L386" s="5" t="str">
        <f>IF(OR(K386&lt;Answers!$C$16,Orders!K386&gt;Answers!$C$17),"Yes","No")</f>
        <v>No</v>
      </c>
      <c r="M386" s="14">
        <f>VLOOKUP(B386,Customers!$A$1:$E$2501,4,0)</f>
        <v>34</v>
      </c>
    </row>
    <row r="387" spans="1:13" x14ac:dyDescent="0.3">
      <c r="A387">
        <v>276276</v>
      </c>
      <c r="B387">
        <v>1442</v>
      </c>
      <c r="C387" s="1" t="s">
        <v>98</v>
      </c>
      <c r="D387" s="5">
        <v>45174</v>
      </c>
      <c r="E387" s="10">
        <v>6.1805555555555558E-2</v>
      </c>
      <c r="F387" s="15">
        <f t="shared" ref="F387:F450" si="18">MONTH(D387)</f>
        <v>9</v>
      </c>
      <c r="G387" s="10" t="str">
        <f t="shared" ref="G387:G450" si="19">TEXT(D387,"dddd")</f>
        <v>Tuesday</v>
      </c>
      <c r="H387" s="9" t="str">
        <f t="shared" ref="H387:H450" si="20">TEXT(D387,"mmmm")</f>
        <v>September</v>
      </c>
      <c r="I387" t="s">
        <v>97</v>
      </c>
      <c r="J387" t="s">
        <v>81</v>
      </c>
      <c r="K387">
        <v>5165</v>
      </c>
      <c r="L387" s="5" t="str">
        <f>IF(OR(K387&lt;Answers!$C$16,Orders!K387&gt;Answers!$C$17),"Yes","No")</f>
        <v>No</v>
      </c>
      <c r="M387" s="14">
        <f>VLOOKUP(B387,Customers!$A$1:$E$2501,4,0)</f>
        <v>82</v>
      </c>
    </row>
    <row r="388" spans="1:13" x14ac:dyDescent="0.3">
      <c r="A388">
        <v>276403</v>
      </c>
      <c r="B388">
        <v>1356</v>
      </c>
      <c r="C388" s="1" t="s">
        <v>200</v>
      </c>
      <c r="D388" s="5">
        <v>45183</v>
      </c>
      <c r="E388" s="10">
        <v>0.49861111111111112</v>
      </c>
      <c r="F388" s="15">
        <f t="shared" si="18"/>
        <v>9</v>
      </c>
      <c r="G388" s="10" t="str">
        <f t="shared" si="19"/>
        <v>Thursday</v>
      </c>
      <c r="H388" s="9" t="str">
        <f t="shared" si="20"/>
        <v>September</v>
      </c>
      <c r="I388" t="s">
        <v>97</v>
      </c>
      <c r="J388" t="s">
        <v>14</v>
      </c>
      <c r="K388">
        <v>8633</v>
      </c>
      <c r="L388" s="5" t="str">
        <f>IF(OR(K388&lt;Answers!$C$16,Orders!K388&gt;Answers!$C$17),"Yes","No")</f>
        <v>No</v>
      </c>
      <c r="M388" s="14">
        <f>VLOOKUP(B388,Customers!$A$1:$E$2501,4,0)</f>
        <v>26</v>
      </c>
    </row>
    <row r="389" spans="1:13" x14ac:dyDescent="0.3">
      <c r="A389">
        <v>276698</v>
      </c>
      <c r="B389">
        <v>43</v>
      </c>
      <c r="C389" s="1" t="s">
        <v>105</v>
      </c>
      <c r="D389" s="5">
        <v>45057</v>
      </c>
      <c r="E389" s="10">
        <v>36647</v>
      </c>
      <c r="F389" s="15">
        <f t="shared" si="18"/>
        <v>5</v>
      </c>
      <c r="G389" s="10" t="str">
        <f t="shared" si="19"/>
        <v>Thursday</v>
      </c>
      <c r="H389" s="9" t="str">
        <f t="shared" si="20"/>
        <v>May</v>
      </c>
      <c r="I389" t="s">
        <v>95</v>
      </c>
      <c r="J389" t="s">
        <v>65</v>
      </c>
      <c r="K389">
        <v>9942</v>
      </c>
      <c r="L389" s="5" t="str">
        <f>IF(OR(K389&lt;Answers!$C$16,Orders!K389&gt;Answers!$C$17),"Yes","No")</f>
        <v>No</v>
      </c>
      <c r="M389" s="14">
        <f>VLOOKUP(B389,Customers!$A$1:$E$2501,4,0)</f>
        <v>55</v>
      </c>
    </row>
    <row r="390" spans="1:13" x14ac:dyDescent="0.3">
      <c r="A390">
        <v>277038</v>
      </c>
      <c r="B390">
        <v>1677</v>
      </c>
      <c r="C390" s="1" t="s">
        <v>106</v>
      </c>
      <c r="D390" s="5">
        <v>45139</v>
      </c>
      <c r="E390" s="10">
        <v>0.43888888888888888</v>
      </c>
      <c r="F390" s="15">
        <f t="shared" si="18"/>
        <v>8</v>
      </c>
      <c r="G390" s="10" t="str">
        <f t="shared" si="19"/>
        <v>Tuesday</v>
      </c>
      <c r="H390" s="9" t="str">
        <f t="shared" si="20"/>
        <v>August</v>
      </c>
      <c r="I390" t="s">
        <v>97</v>
      </c>
      <c r="J390" t="s">
        <v>77</v>
      </c>
      <c r="K390">
        <v>2455</v>
      </c>
      <c r="L390" s="5" t="str">
        <f>IF(OR(K390&lt;Answers!$C$16,Orders!K390&gt;Answers!$C$17),"Yes","No")</f>
        <v>No</v>
      </c>
      <c r="M390" s="14">
        <f>VLOOKUP(B390,Customers!$A$1:$E$2501,4,0)</f>
        <v>51</v>
      </c>
    </row>
    <row r="391" spans="1:13" x14ac:dyDescent="0.3">
      <c r="A391">
        <v>279106</v>
      </c>
      <c r="B391">
        <v>104</v>
      </c>
      <c r="C391" s="1" t="s">
        <v>100</v>
      </c>
      <c r="D391" s="5">
        <v>44940</v>
      </c>
      <c r="E391" s="10">
        <v>0.53749999999999998</v>
      </c>
      <c r="F391" s="15">
        <f t="shared" si="18"/>
        <v>1</v>
      </c>
      <c r="G391" s="10" t="str">
        <f t="shared" si="19"/>
        <v>Saturday</v>
      </c>
      <c r="H391" s="9" t="str">
        <f t="shared" si="20"/>
        <v>January</v>
      </c>
      <c r="I391" t="s">
        <v>97</v>
      </c>
      <c r="J391" t="s">
        <v>26</v>
      </c>
      <c r="K391">
        <v>4768</v>
      </c>
      <c r="L391" s="5" t="str">
        <f>IF(OR(K391&lt;Answers!$C$16,Orders!K391&gt;Answers!$C$17),"Yes","No")</f>
        <v>No</v>
      </c>
      <c r="M391" s="14">
        <f>VLOOKUP(B391,Customers!$A$1:$E$2501,4,0)</f>
        <v>46</v>
      </c>
    </row>
    <row r="392" spans="1:13" x14ac:dyDescent="0.3">
      <c r="A392">
        <v>279515</v>
      </c>
      <c r="B392">
        <v>713</v>
      </c>
      <c r="C392" s="1" t="s">
        <v>101</v>
      </c>
      <c r="D392" s="5">
        <v>45184</v>
      </c>
      <c r="E392" s="10">
        <v>0.45833333333333331</v>
      </c>
      <c r="F392" s="15">
        <f t="shared" si="18"/>
        <v>9</v>
      </c>
      <c r="G392" s="10" t="str">
        <f t="shared" si="19"/>
        <v>Friday</v>
      </c>
      <c r="H392" s="9" t="str">
        <f t="shared" si="20"/>
        <v>September</v>
      </c>
      <c r="I392" t="s">
        <v>96</v>
      </c>
      <c r="J392" t="s">
        <v>42</v>
      </c>
      <c r="K392">
        <v>4633</v>
      </c>
      <c r="L392" s="5" t="str">
        <f>IF(OR(K392&lt;Answers!$C$16,Orders!K392&gt;Answers!$C$17),"Yes","No")</f>
        <v>No</v>
      </c>
      <c r="M392" s="14">
        <f>VLOOKUP(B392,Customers!$A$1:$E$2501,4,0)</f>
        <v>89</v>
      </c>
    </row>
    <row r="393" spans="1:13" x14ac:dyDescent="0.3">
      <c r="A393">
        <v>279963</v>
      </c>
      <c r="B393">
        <v>1775</v>
      </c>
      <c r="C393" s="1" t="s">
        <v>98</v>
      </c>
      <c r="D393" s="5">
        <v>45226</v>
      </c>
      <c r="E393" s="10">
        <v>36628</v>
      </c>
      <c r="F393" s="15">
        <f t="shared" si="18"/>
        <v>10</v>
      </c>
      <c r="G393" s="10" t="str">
        <f t="shared" si="19"/>
        <v>Friday</v>
      </c>
      <c r="H393" s="9" t="str">
        <f t="shared" si="20"/>
        <v>October</v>
      </c>
      <c r="I393" t="s">
        <v>96</v>
      </c>
      <c r="J393" t="s">
        <v>42</v>
      </c>
      <c r="K393">
        <v>7812</v>
      </c>
      <c r="L393" s="5" t="str">
        <f>IF(OR(K393&lt;Answers!$C$16,Orders!K393&gt;Answers!$C$17),"Yes","No")</f>
        <v>No</v>
      </c>
      <c r="M393" s="14">
        <f>VLOOKUP(B393,Customers!$A$1:$E$2501,4,0)</f>
        <v>42</v>
      </c>
    </row>
    <row r="394" spans="1:13" x14ac:dyDescent="0.3">
      <c r="A394">
        <v>280459</v>
      </c>
      <c r="B394">
        <v>457</v>
      </c>
      <c r="C394" s="1" t="s">
        <v>107</v>
      </c>
      <c r="D394" s="5">
        <v>45195</v>
      </c>
      <c r="E394" s="10">
        <v>0.48749999999999999</v>
      </c>
      <c r="F394" s="15">
        <f t="shared" si="18"/>
        <v>9</v>
      </c>
      <c r="G394" s="10" t="str">
        <f t="shared" si="19"/>
        <v>Tuesday</v>
      </c>
      <c r="H394" s="9" t="str">
        <f t="shared" si="20"/>
        <v>September</v>
      </c>
      <c r="I394" t="s">
        <v>190</v>
      </c>
      <c r="J394" t="s">
        <v>26</v>
      </c>
      <c r="K394">
        <v>3197</v>
      </c>
      <c r="L394" s="5" t="str">
        <f>IF(OR(K394&lt;Answers!$C$16,Orders!K394&gt;Answers!$C$17),"Yes","No")</f>
        <v>No</v>
      </c>
      <c r="M394" s="14">
        <f>VLOOKUP(B394,Customers!$A$1:$E$2501,4,0)</f>
        <v>54</v>
      </c>
    </row>
    <row r="395" spans="1:13" x14ac:dyDescent="0.3">
      <c r="A395">
        <v>280739</v>
      </c>
      <c r="B395">
        <v>138</v>
      </c>
      <c r="C395" s="1" t="s">
        <v>98</v>
      </c>
      <c r="D395" s="5">
        <v>45113</v>
      </c>
      <c r="E395" s="10">
        <v>0.48402777777777778</v>
      </c>
      <c r="F395" s="15">
        <f t="shared" si="18"/>
        <v>7</v>
      </c>
      <c r="G395" s="10" t="str">
        <f t="shared" si="19"/>
        <v>Thursday</v>
      </c>
      <c r="H395" s="9" t="str">
        <f t="shared" si="20"/>
        <v>July</v>
      </c>
      <c r="I395" t="s">
        <v>190</v>
      </c>
      <c r="J395" t="s">
        <v>17</v>
      </c>
      <c r="K395">
        <v>2453</v>
      </c>
      <c r="L395" s="5" t="str">
        <f>IF(OR(K395&lt;Answers!$C$16,Orders!K395&gt;Answers!$C$17),"Yes","No")</f>
        <v>No</v>
      </c>
      <c r="M395" s="14">
        <f>VLOOKUP(B395,Customers!$A$1:$E$2501,4,0)</f>
        <v>27</v>
      </c>
    </row>
    <row r="396" spans="1:13" x14ac:dyDescent="0.3">
      <c r="A396">
        <v>281193</v>
      </c>
      <c r="B396">
        <v>1522</v>
      </c>
      <c r="C396" s="1" t="s">
        <v>98</v>
      </c>
      <c r="D396" s="5">
        <v>45002</v>
      </c>
      <c r="E396" s="10">
        <v>0.50972222222222219</v>
      </c>
      <c r="F396" s="15">
        <f t="shared" si="18"/>
        <v>3</v>
      </c>
      <c r="G396" s="10" t="str">
        <f t="shared" si="19"/>
        <v>Friday</v>
      </c>
      <c r="H396" s="9" t="str">
        <f t="shared" si="20"/>
        <v>March</v>
      </c>
      <c r="I396" t="s">
        <v>97</v>
      </c>
      <c r="J396" t="s">
        <v>69</v>
      </c>
      <c r="K396">
        <v>6173</v>
      </c>
      <c r="L396" s="5" t="str">
        <f>IF(OR(K396&lt;Answers!$C$16,Orders!K396&gt;Answers!$C$17),"Yes","No")</f>
        <v>No</v>
      </c>
      <c r="M396" s="14">
        <f>VLOOKUP(B396,Customers!$A$1:$E$2501,4,0)</f>
        <v>81</v>
      </c>
    </row>
    <row r="397" spans="1:13" x14ac:dyDescent="0.3">
      <c r="A397">
        <v>281454</v>
      </c>
      <c r="B397">
        <v>1413</v>
      </c>
      <c r="C397" s="1" t="s">
        <v>104</v>
      </c>
      <c r="D397" s="5">
        <v>45186</v>
      </c>
      <c r="E397" s="10">
        <v>0.49375000000000002</v>
      </c>
      <c r="F397" s="15">
        <f t="shared" si="18"/>
        <v>9</v>
      </c>
      <c r="G397" s="10" t="str">
        <f t="shared" si="19"/>
        <v>Sunday</v>
      </c>
      <c r="H397" s="9" t="str">
        <f t="shared" si="20"/>
        <v>September</v>
      </c>
      <c r="I397" t="s">
        <v>95</v>
      </c>
      <c r="J397" t="s">
        <v>70</v>
      </c>
      <c r="K397">
        <v>5802</v>
      </c>
      <c r="L397" s="5" t="str">
        <f>IF(OR(K397&lt;Answers!$C$16,Orders!K397&gt;Answers!$C$17),"Yes","No")</f>
        <v>No</v>
      </c>
      <c r="M397" s="14">
        <f>VLOOKUP(B397,Customers!$A$1:$E$2501,4,0)</f>
        <v>26</v>
      </c>
    </row>
    <row r="398" spans="1:13" x14ac:dyDescent="0.3">
      <c r="A398">
        <v>281813</v>
      </c>
      <c r="B398">
        <v>331</v>
      </c>
      <c r="C398" s="1" t="s">
        <v>105</v>
      </c>
      <c r="D398" s="5">
        <v>45098</v>
      </c>
      <c r="E398" s="10">
        <v>8.1944444444444445E-2</v>
      </c>
      <c r="F398" s="15">
        <f t="shared" si="18"/>
        <v>6</v>
      </c>
      <c r="G398" s="10" t="str">
        <f t="shared" si="19"/>
        <v>Wednesday</v>
      </c>
      <c r="H398" s="9" t="str">
        <f t="shared" si="20"/>
        <v>June</v>
      </c>
      <c r="I398" t="s">
        <v>96</v>
      </c>
      <c r="J398" t="s">
        <v>42</v>
      </c>
      <c r="K398">
        <v>5117</v>
      </c>
      <c r="L398" s="5" t="str">
        <f>IF(OR(K398&lt;Answers!$C$16,Orders!K398&gt;Answers!$C$17),"Yes","No")</f>
        <v>No</v>
      </c>
      <c r="M398" s="14">
        <f>VLOOKUP(B398,Customers!$A$1:$E$2501,4,0)</f>
        <v>24</v>
      </c>
    </row>
    <row r="399" spans="1:13" x14ac:dyDescent="0.3">
      <c r="A399">
        <v>283066</v>
      </c>
      <c r="B399">
        <v>956</v>
      </c>
      <c r="C399" s="1" t="s">
        <v>99</v>
      </c>
      <c r="D399" s="5">
        <v>44963</v>
      </c>
      <c r="E399" s="10">
        <v>7.8472222222222221E-2</v>
      </c>
      <c r="F399" s="15">
        <f t="shared" si="18"/>
        <v>2</v>
      </c>
      <c r="G399" s="10" t="str">
        <f t="shared" si="19"/>
        <v>Monday</v>
      </c>
      <c r="H399" s="9" t="str">
        <f t="shared" si="20"/>
        <v>February</v>
      </c>
      <c r="I399" t="s">
        <v>96</v>
      </c>
      <c r="J399" t="s">
        <v>44</v>
      </c>
      <c r="K399">
        <v>5819</v>
      </c>
      <c r="L399" s="5" t="str">
        <f>IF(OR(K399&lt;Answers!$C$16,Orders!K399&gt;Answers!$C$17),"Yes","No")</f>
        <v>No</v>
      </c>
      <c r="M399" s="14">
        <f>VLOOKUP(B399,Customers!$A$1:$E$2501,4,0)</f>
        <v>27</v>
      </c>
    </row>
    <row r="400" spans="1:13" x14ac:dyDescent="0.3">
      <c r="A400">
        <v>283068</v>
      </c>
      <c r="B400">
        <v>1967</v>
      </c>
      <c r="C400" s="1" t="s">
        <v>104</v>
      </c>
      <c r="D400" s="5">
        <v>45259</v>
      </c>
      <c r="E400" s="10">
        <v>36872</v>
      </c>
      <c r="F400" s="15">
        <f t="shared" si="18"/>
        <v>11</v>
      </c>
      <c r="G400" s="10" t="str">
        <f t="shared" si="19"/>
        <v>Wednesday</v>
      </c>
      <c r="H400" s="9" t="str">
        <f t="shared" si="20"/>
        <v>November</v>
      </c>
      <c r="I400" t="s">
        <v>95</v>
      </c>
      <c r="J400" t="s">
        <v>57</v>
      </c>
      <c r="K400">
        <v>3805</v>
      </c>
      <c r="L400" s="5" t="str">
        <f>IF(OR(K400&lt;Answers!$C$16,Orders!K400&gt;Answers!$C$17),"Yes","No")</f>
        <v>No</v>
      </c>
      <c r="M400" s="14">
        <f>VLOOKUP(B400,Customers!$A$1:$E$2501,4,0)</f>
        <v>89</v>
      </c>
    </row>
    <row r="401" spans="1:13" x14ac:dyDescent="0.3">
      <c r="A401">
        <v>283610</v>
      </c>
      <c r="B401">
        <v>1401</v>
      </c>
      <c r="C401" s="1" t="s">
        <v>101</v>
      </c>
      <c r="D401" s="5">
        <v>44956</v>
      </c>
      <c r="E401" s="10">
        <v>0.49444444444444446</v>
      </c>
      <c r="F401" s="15">
        <f t="shared" si="18"/>
        <v>1</v>
      </c>
      <c r="G401" s="10" t="str">
        <f t="shared" si="19"/>
        <v>Monday</v>
      </c>
      <c r="H401" s="9" t="str">
        <f t="shared" si="20"/>
        <v>January</v>
      </c>
      <c r="I401" t="s">
        <v>190</v>
      </c>
      <c r="J401" t="s">
        <v>66</v>
      </c>
      <c r="K401">
        <v>3862</v>
      </c>
      <c r="L401" s="5" t="str">
        <f>IF(OR(K401&lt;Answers!$C$16,Orders!K401&gt;Answers!$C$17),"Yes","No")</f>
        <v>No</v>
      </c>
      <c r="M401" s="14">
        <f>VLOOKUP(B401,Customers!$A$1:$E$2501,4,0)</f>
        <v>53</v>
      </c>
    </row>
    <row r="402" spans="1:13" x14ac:dyDescent="0.3">
      <c r="A402">
        <v>284363</v>
      </c>
      <c r="B402">
        <v>100</v>
      </c>
      <c r="C402" s="1" t="s">
        <v>110</v>
      </c>
      <c r="D402" s="5">
        <v>45006</v>
      </c>
      <c r="E402" s="10">
        <v>0.4777777777777778</v>
      </c>
      <c r="F402" s="15">
        <f t="shared" si="18"/>
        <v>3</v>
      </c>
      <c r="G402" s="10" t="str">
        <f t="shared" si="19"/>
        <v>Tuesday</v>
      </c>
      <c r="H402" s="9" t="str">
        <f t="shared" si="20"/>
        <v>March</v>
      </c>
      <c r="I402" t="s">
        <v>97</v>
      </c>
      <c r="J402" t="s">
        <v>10</v>
      </c>
      <c r="K402">
        <v>3844</v>
      </c>
      <c r="L402" s="5" t="str">
        <f>IF(OR(K402&lt;Answers!$C$16,Orders!K402&gt;Answers!$C$17),"Yes","No")</f>
        <v>No</v>
      </c>
      <c r="M402" s="14">
        <f>VLOOKUP(B402,Customers!$A$1:$E$2501,4,0)</f>
        <v>85</v>
      </c>
    </row>
    <row r="403" spans="1:13" x14ac:dyDescent="0.3">
      <c r="A403">
        <v>284974</v>
      </c>
      <c r="B403">
        <v>1218</v>
      </c>
      <c r="C403" s="1" t="s">
        <v>98</v>
      </c>
      <c r="D403" s="5">
        <v>45180</v>
      </c>
      <c r="E403" s="10">
        <v>6.6666666666666666E-2</v>
      </c>
      <c r="F403" s="15">
        <f t="shared" si="18"/>
        <v>9</v>
      </c>
      <c r="G403" s="10" t="str">
        <f t="shared" si="19"/>
        <v>Monday</v>
      </c>
      <c r="H403" s="9" t="str">
        <f t="shared" si="20"/>
        <v>September</v>
      </c>
      <c r="I403" t="s">
        <v>97</v>
      </c>
      <c r="J403" t="s">
        <v>43</v>
      </c>
      <c r="K403">
        <v>5755</v>
      </c>
      <c r="L403" s="5" t="str">
        <f>IF(OR(K403&lt;Answers!$C$16,Orders!K403&gt;Answers!$C$17),"Yes","No")</f>
        <v>No</v>
      </c>
      <c r="M403" s="14">
        <f>VLOOKUP(B403,Customers!$A$1:$E$2501,4,0)</f>
        <v>68</v>
      </c>
    </row>
    <row r="404" spans="1:13" x14ac:dyDescent="0.3">
      <c r="A404">
        <v>286598</v>
      </c>
      <c r="B404">
        <v>1903</v>
      </c>
      <c r="C404" s="1" t="s">
        <v>100</v>
      </c>
      <c r="D404" s="5">
        <v>44997</v>
      </c>
      <c r="E404" s="10">
        <v>0.53749999999999998</v>
      </c>
      <c r="F404" s="15">
        <f t="shared" si="18"/>
        <v>3</v>
      </c>
      <c r="G404" s="10" t="str">
        <f t="shared" si="19"/>
        <v>Sunday</v>
      </c>
      <c r="H404" s="9" t="str">
        <f t="shared" si="20"/>
        <v>March</v>
      </c>
      <c r="I404" t="s">
        <v>190</v>
      </c>
      <c r="J404" t="s">
        <v>26</v>
      </c>
      <c r="K404">
        <v>8252</v>
      </c>
      <c r="L404" s="5" t="str">
        <f>IF(OR(K404&lt;Answers!$C$16,Orders!K404&gt;Answers!$C$17),"Yes","No")</f>
        <v>No</v>
      </c>
      <c r="M404" s="14">
        <f>VLOOKUP(B404,Customers!$A$1:$E$2501,4,0)</f>
        <v>71</v>
      </c>
    </row>
    <row r="405" spans="1:13" x14ac:dyDescent="0.3">
      <c r="A405">
        <v>287761</v>
      </c>
      <c r="B405">
        <v>91</v>
      </c>
      <c r="C405" s="1" t="s">
        <v>104</v>
      </c>
      <c r="D405" s="5">
        <v>45053</v>
      </c>
      <c r="E405" s="10">
        <v>5.486111111111111E-2</v>
      </c>
      <c r="F405" s="15">
        <f t="shared" si="18"/>
        <v>5</v>
      </c>
      <c r="G405" s="10" t="str">
        <f t="shared" si="19"/>
        <v>Sunday</v>
      </c>
      <c r="H405" s="9" t="str">
        <f t="shared" si="20"/>
        <v>May</v>
      </c>
      <c r="I405" t="s">
        <v>96</v>
      </c>
      <c r="J405" t="s">
        <v>26</v>
      </c>
      <c r="K405">
        <v>3891</v>
      </c>
      <c r="L405" s="5" t="str">
        <f>IF(OR(K405&lt;Answers!$C$16,Orders!K405&gt;Answers!$C$17),"Yes","No")</f>
        <v>No</v>
      </c>
      <c r="M405" s="14">
        <f>VLOOKUP(B405,Customers!$A$1:$E$2501,4,0)</f>
        <v>61</v>
      </c>
    </row>
    <row r="406" spans="1:13" x14ac:dyDescent="0.3">
      <c r="A406">
        <v>288186</v>
      </c>
      <c r="B406">
        <v>415</v>
      </c>
      <c r="C406" s="1" t="s">
        <v>112</v>
      </c>
      <c r="D406" s="5">
        <v>45076</v>
      </c>
      <c r="E406" s="10">
        <v>0.49791666666666667</v>
      </c>
      <c r="F406" s="15">
        <f t="shared" si="18"/>
        <v>5</v>
      </c>
      <c r="G406" s="10" t="str">
        <f t="shared" si="19"/>
        <v>Tuesday</v>
      </c>
      <c r="H406" s="9" t="str">
        <f t="shared" si="20"/>
        <v>May</v>
      </c>
      <c r="I406" t="s">
        <v>190</v>
      </c>
      <c r="J406" t="s">
        <v>72</v>
      </c>
      <c r="K406">
        <v>4166</v>
      </c>
      <c r="L406" s="5" t="str">
        <f>IF(OR(K406&lt;Answers!$C$16,Orders!K406&gt;Answers!$C$17),"Yes","No")</f>
        <v>No</v>
      </c>
      <c r="M406" s="14">
        <f>VLOOKUP(B406,Customers!$A$1:$E$2501,4,0)</f>
        <v>60</v>
      </c>
    </row>
    <row r="407" spans="1:13" x14ac:dyDescent="0.3">
      <c r="A407">
        <v>288332</v>
      </c>
      <c r="B407">
        <v>1069</v>
      </c>
      <c r="C407" s="1" t="s">
        <v>100</v>
      </c>
      <c r="D407" s="5">
        <v>44942</v>
      </c>
      <c r="E407" s="10">
        <v>0.51597222222222228</v>
      </c>
      <c r="F407" s="15">
        <f t="shared" si="18"/>
        <v>1</v>
      </c>
      <c r="G407" s="10" t="str">
        <f t="shared" si="19"/>
        <v>Monday</v>
      </c>
      <c r="H407" s="9" t="str">
        <f t="shared" si="20"/>
        <v>January</v>
      </c>
      <c r="I407" t="s">
        <v>97</v>
      </c>
      <c r="J407" t="s">
        <v>63</v>
      </c>
      <c r="K407">
        <v>610</v>
      </c>
      <c r="L407" s="5" t="str">
        <f>IF(OR(K407&lt;Answers!$C$16,Orders!K407&gt;Answers!$C$17),"Yes","No")</f>
        <v>No</v>
      </c>
      <c r="M407" s="14">
        <f>VLOOKUP(B407,Customers!$A$1:$E$2501,4,0)</f>
        <v>80</v>
      </c>
    </row>
    <row r="408" spans="1:13" x14ac:dyDescent="0.3">
      <c r="A408">
        <v>288335</v>
      </c>
      <c r="B408">
        <v>1703</v>
      </c>
      <c r="C408" s="1" t="s">
        <v>99</v>
      </c>
      <c r="D408" s="5">
        <v>45122</v>
      </c>
      <c r="E408" s="10">
        <v>0.53194444444444444</v>
      </c>
      <c r="F408" s="15">
        <f t="shared" si="18"/>
        <v>7</v>
      </c>
      <c r="G408" s="10" t="str">
        <f t="shared" si="19"/>
        <v>Saturday</v>
      </c>
      <c r="H408" s="9" t="str">
        <f t="shared" si="20"/>
        <v>July</v>
      </c>
      <c r="I408" t="s">
        <v>95</v>
      </c>
      <c r="J408" t="s">
        <v>25</v>
      </c>
      <c r="K408">
        <v>362</v>
      </c>
      <c r="L408" s="5" t="str">
        <f>IF(OR(K408&lt;Answers!$C$16,Orders!K408&gt;Answers!$C$17),"Yes","No")</f>
        <v>No</v>
      </c>
      <c r="M408" s="14">
        <f>VLOOKUP(B408,Customers!$A$1:$E$2501,4,0)</f>
        <v>85</v>
      </c>
    </row>
    <row r="409" spans="1:13" x14ac:dyDescent="0.3">
      <c r="A409">
        <v>289882</v>
      </c>
      <c r="B409">
        <v>1177</v>
      </c>
      <c r="C409" s="1" t="s">
        <v>107</v>
      </c>
      <c r="D409" s="5">
        <v>45234</v>
      </c>
      <c r="E409" s="10">
        <v>36617</v>
      </c>
      <c r="F409" s="15">
        <f t="shared" si="18"/>
        <v>11</v>
      </c>
      <c r="G409" s="10" t="str">
        <f t="shared" si="19"/>
        <v>Saturday</v>
      </c>
      <c r="H409" s="9" t="str">
        <f t="shared" si="20"/>
        <v>November</v>
      </c>
      <c r="I409" t="s">
        <v>190</v>
      </c>
      <c r="J409" t="s">
        <v>73</v>
      </c>
      <c r="K409">
        <v>4569</v>
      </c>
      <c r="L409" s="5" t="str">
        <f>IF(OR(K409&lt;Answers!$C$16,Orders!K409&gt;Answers!$C$17),"Yes","No")</f>
        <v>No</v>
      </c>
      <c r="M409" s="14">
        <f>VLOOKUP(B409,Customers!$A$1:$E$2501,4,0)</f>
        <v>90</v>
      </c>
    </row>
    <row r="410" spans="1:13" x14ac:dyDescent="0.3">
      <c r="A410">
        <v>289906</v>
      </c>
      <c r="B410">
        <v>1349</v>
      </c>
      <c r="C410" s="1" t="s">
        <v>100</v>
      </c>
      <c r="D410" s="5">
        <v>45031</v>
      </c>
      <c r="E410" s="10">
        <v>0.49583333333333335</v>
      </c>
      <c r="F410" s="15">
        <f t="shared" si="18"/>
        <v>4</v>
      </c>
      <c r="G410" s="10" t="str">
        <f t="shared" si="19"/>
        <v>Saturday</v>
      </c>
      <c r="H410" s="9" t="str">
        <f t="shared" si="20"/>
        <v>April</v>
      </c>
      <c r="I410" t="s">
        <v>95</v>
      </c>
      <c r="J410" t="s">
        <v>29</v>
      </c>
      <c r="K410">
        <v>2771</v>
      </c>
      <c r="L410" s="5" t="str">
        <f>IF(OR(K410&lt;Answers!$C$16,Orders!K410&gt;Answers!$C$17),"Yes","No")</f>
        <v>No</v>
      </c>
      <c r="M410" s="14">
        <f>VLOOKUP(B410,Customers!$A$1:$E$2501,4,0)</f>
        <v>66</v>
      </c>
    </row>
    <row r="411" spans="1:13" x14ac:dyDescent="0.3">
      <c r="A411">
        <v>290270</v>
      </c>
      <c r="B411">
        <v>1955</v>
      </c>
      <c r="C411" s="1" t="s">
        <v>104</v>
      </c>
      <c r="D411" s="5">
        <v>44960</v>
      </c>
      <c r="E411" s="10">
        <v>7.9166666666666663E-2</v>
      </c>
      <c r="F411" s="15">
        <f t="shared" si="18"/>
        <v>2</v>
      </c>
      <c r="G411" s="10" t="str">
        <f t="shared" si="19"/>
        <v>Friday</v>
      </c>
      <c r="H411" s="9" t="str">
        <f t="shared" si="20"/>
        <v>February</v>
      </c>
      <c r="I411" t="s">
        <v>96</v>
      </c>
      <c r="J411" t="s">
        <v>72</v>
      </c>
      <c r="K411">
        <v>2355</v>
      </c>
      <c r="L411" s="5" t="str">
        <f>IF(OR(K411&lt;Answers!$C$16,Orders!K411&gt;Answers!$C$17),"Yes","No")</f>
        <v>No</v>
      </c>
      <c r="M411" s="14">
        <f>VLOOKUP(B411,Customers!$A$1:$E$2501,4,0)</f>
        <v>68</v>
      </c>
    </row>
    <row r="412" spans="1:13" x14ac:dyDescent="0.3">
      <c r="A412">
        <v>292907</v>
      </c>
      <c r="B412">
        <v>1829</v>
      </c>
      <c r="C412" s="1" t="s">
        <v>100</v>
      </c>
      <c r="D412" s="5">
        <v>45038</v>
      </c>
      <c r="E412" s="10">
        <v>36658</v>
      </c>
      <c r="F412" s="15">
        <f t="shared" si="18"/>
        <v>4</v>
      </c>
      <c r="G412" s="10" t="str">
        <f t="shared" si="19"/>
        <v>Saturday</v>
      </c>
      <c r="H412" s="9" t="str">
        <f t="shared" si="20"/>
        <v>April</v>
      </c>
      <c r="I412" t="s">
        <v>97</v>
      </c>
      <c r="J412" t="s">
        <v>75</v>
      </c>
      <c r="K412">
        <v>4040</v>
      </c>
      <c r="L412" s="5" t="str">
        <f>IF(OR(K412&lt;Answers!$C$16,Orders!K412&gt;Answers!$C$17),"Yes","No")</f>
        <v>No</v>
      </c>
      <c r="M412" s="14">
        <f>VLOOKUP(B412,Customers!$A$1:$E$2501,4,0)</f>
        <v>82</v>
      </c>
    </row>
    <row r="413" spans="1:13" x14ac:dyDescent="0.3">
      <c r="A413">
        <v>294015</v>
      </c>
      <c r="B413">
        <v>669</v>
      </c>
      <c r="C413" s="1" t="s">
        <v>98</v>
      </c>
      <c r="D413" s="5">
        <v>45172</v>
      </c>
      <c r="E413" s="10">
        <v>0.47708333333333336</v>
      </c>
      <c r="F413" s="15">
        <f t="shared" si="18"/>
        <v>9</v>
      </c>
      <c r="G413" s="10" t="str">
        <f t="shared" si="19"/>
        <v>Sunday</v>
      </c>
      <c r="H413" s="9" t="str">
        <f t="shared" si="20"/>
        <v>September</v>
      </c>
      <c r="I413" t="s">
        <v>96</v>
      </c>
      <c r="J413" t="s">
        <v>71</v>
      </c>
      <c r="K413">
        <v>9046</v>
      </c>
      <c r="L413" s="5" t="str">
        <f>IF(OR(K413&lt;Answers!$C$16,Orders!K413&gt;Answers!$C$17),"Yes","No")</f>
        <v>No</v>
      </c>
      <c r="M413" s="14">
        <f>VLOOKUP(B413,Customers!$A$1:$E$2501,4,0)</f>
        <v>33</v>
      </c>
    </row>
    <row r="414" spans="1:13" x14ac:dyDescent="0.3">
      <c r="A414">
        <v>295823</v>
      </c>
      <c r="B414">
        <v>1085</v>
      </c>
      <c r="C414" s="1" t="s">
        <v>104</v>
      </c>
      <c r="D414" s="5">
        <v>44944</v>
      </c>
      <c r="E414" s="10">
        <v>36842</v>
      </c>
      <c r="F414" s="15">
        <f t="shared" si="18"/>
        <v>1</v>
      </c>
      <c r="G414" s="10" t="str">
        <f t="shared" si="19"/>
        <v>Wednesday</v>
      </c>
      <c r="H414" s="9" t="str">
        <f t="shared" si="20"/>
        <v>January</v>
      </c>
      <c r="I414" t="s">
        <v>95</v>
      </c>
      <c r="J414" t="s">
        <v>24</v>
      </c>
      <c r="K414">
        <v>2562</v>
      </c>
      <c r="L414" s="5" t="str">
        <f>IF(OR(K414&lt;Answers!$C$16,Orders!K414&gt;Answers!$C$17),"Yes","No")</f>
        <v>No</v>
      </c>
      <c r="M414" s="14">
        <f>VLOOKUP(B414,Customers!$A$1:$E$2501,4,0)</f>
        <v>78</v>
      </c>
    </row>
    <row r="415" spans="1:13" x14ac:dyDescent="0.3">
      <c r="A415">
        <v>296042</v>
      </c>
      <c r="B415">
        <v>722</v>
      </c>
      <c r="C415" s="1" t="s">
        <v>98</v>
      </c>
      <c r="D415" s="5">
        <v>45167</v>
      </c>
      <c r="E415" s="10">
        <v>0.53333333333333333</v>
      </c>
      <c r="F415" s="15">
        <f t="shared" si="18"/>
        <v>8</v>
      </c>
      <c r="G415" s="10" t="str">
        <f t="shared" si="19"/>
        <v>Tuesday</v>
      </c>
      <c r="H415" s="9" t="str">
        <f t="shared" si="20"/>
        <v>August</v>
      </c>
      <c r="I415" t="s">
        <v>190</v>
      </c>
      <c r="J415" t="s">
        <v>3</v>
      </c>
      <c r="K415">
        <v>3962</v>
      </c>
      <c r="L415" s="5" t="str">
        <f>IF(OR(K415&lt;Answers!$C$16,Orders!K415&gt;Answers!$C$17),"Yes","No")</f>
        <v>No</v>
      </c>
      <c r="M415" s="14">
        <f>VLOOKUP(B415,Customers!$A$1:$E$2501,4,0)</f>
        <v>27</v>
      </c>
    </row>
    <row r="416" spans="1:13" x14ac:dyDescent="0.3">
      <c r="A416">
        <v>296324</v>
      </c>
      <c r="B416">
        <v>167</v>
      </c>
      <c r="C416" s="1" t="s">
        <v>100</v>
      </c>
      <c r="D416" s="5">
        <v>45059</v>
      </c>
      <c r="E416" s="10">
        <v>36780</v>
      </c>
      <c r="F416" s="15">
        <f t="shared" si="18"/>
        <v>5</v>
      </c>
      <c r="G416" s="10" t="str">
        <f t="shared" si="19"/>
        <v>Saturday</v>
      </c>
      <c r="H416" s="9" t="str">
        <f t="shared" si="20"/>
        <v>May</v>
      </c>
      <c r="I416" t="s">
        <v>190</v>
      </c>
      <c r="J416" t="s">
        <v>22</v>
      </c>
      <c r="K416">
        <v>5732</v>
      </c>
      <c r="L416" s="5" t="str">
        <f>IF(OR(K416&lt;Answers!$C$16,Orders!K416&gt;Answers!$C$17),"Yes","No")</f>
        <v>No</v>
      </c>
      <c r="M416" s="14">
        <f>VLOOKUP(B416,Customers!$A$1:$E$2501,4,0)</f>
        <v>27</v>
      </c>
    </row>
    <row r="417" spans="1:13" x14ac:dyDescent="0.3">
      <c r="A417">
        <v>298715</v>
      </c>
      <c r="B417">
        <v>1706</v>
      </c>
      <c r="C417" s="1" t="s">
        <v>98</v>
      </c>
      <c r="D417" s="5">
        <v>45017</v>
      </c>
      <c r="E417" s="10">
        <v>0.49444444444444446</v>
      </c>
      <c r="F417" s="15">
        <f t="shared" si="18"/>
        <v>4</v>
      </c>
      <c r="G417" s="10" t="str">
        <f t="shared" si="19"/>
        <v>Saturday</v>
      </c>
      <c r="H417" s="9" t="str">
        <f t="shared" si="20"/>
        <v>April</v>
      </c>
      <c r="I417" t="s">
        <v>95</v>
      </c>
      <c r="J417" t="s">
        <v>76</v>
      </c>
      <c r="K417">
        <v>5256</v>
      </c>
      <c r="L417" s="5" t="str">
        <f>IF(OR(K417&lt;Answers!$C$16,Orders!K417&gt;Answers!$C$17),"Yes","No")</f>
        <v>No</v>
      </c>
      <c r="M417" s="14">
        <f>VLOOKUP(B417,Customers!$A$1:$E$2501,4,0)</f>
        <v>47</v>
      </c>
    </row>
    <row r="418" spans="1:13" x14ac:dyDescent="0.3">
      <c r="A418">
        <v>299065</v>
      </c>
      <c r="B418">
        <v>177</v>
      </c>
      <c r="C418" s="1" t="s">
        <v>112</v>
      </c>
      <c r="D418" s="5">
        <v>45027</v>
      </c>
      <c r="E418" s="10">
        <v>0.44930555555555557</v>
      </c>
      <c r="F418" s="15">
        <f t="shared" si="18"/>
        <v>4</v>
      </c>
      <c r="G418" s="10" t="str">
        <f t="shared" si="19"/>
        <v>Tuesday</v>
      </c>
      <c r="H418" s="9" t="str">
        <f t="shared" si="20"/>
        <v>April</v>
      </c>
      <c r="I418" t="s">
        <v>95</v>
      </c>
      <c r="J418" t="s">
        <v>19</v>
      </c>
      <c r="K418">
        <v>7292</v>
      </c>
      <c r="L418" s="5" t="str">
        <f>IF(OR(K418&lt;Answers!$C$16,Orders!K418&gt;Answers!$C$17),"Yes","No")</f>
        <v>No</v>
      </c>
      <c r="M418" s="14">
        <f>VLOOKUP(B418,Customers!$A$1:$E$2501,4,0)</f>
        <v>75</v>
      </c>
    </row>
    <row r="419" spans="1:13" x14ac:dyDescent="0.3">
      <c r="A419">
        <v>299700</v>
      </c>
      <c r="B419">
        <v>533</v>
      </c>
      <c r="C419" s="1" t="s">
        <v>98</v>
      </c>
      <c r="D419" s="5">
        <v>45208</v>
      </c>
      <c r="E419" s="10">
        <v>6.3888888888888884E-2</v>
      </c>
      <c r="F419" s="15">
        <f t="shared" si="18"/>
        <v>10</v>
      </c>
      <c r="G419" s="10" t="str">
        <f t="shared" si="19"/>
        <v>Monday</v>
      </c>
      <c r="H419" s="9" t="str">
        <f t="shared" si="20"/>
        <v>October</v>
      </c>
      <c r="I419" t="s">
        <v>190</v>
      </c>
      <c r="J419" t="s">
        <v>40</v>
      </c>
      <c r="K419">
        <v>7166</v>
      </c>
      <c r="L419" s="5" t="str">
        <f>IF(OR(K419&lt;Answers!$C$16,Orders!K419&gt;Answers!$C$17),"Yes","No")</f>
        <v>No</v>
      </c>
      <c r="M419" s="14">
        <f>VLOOKUP(B419,Customers!$A$1:$E$2501,4,0)</f>
        <v>55</v>
      </c>
    </row>
    <row r="420" spans="1:13" x14ac:dyDescent="0.3">
      <c r="A420">
        <v>300907</v>
      </c>
      <c r="B420">
        <v>383</v>
      </c>
      <c r="C420" s="1" t="s">
        <v>99</v>
      </c>
      <c r="D420" s="5">
        <v>45242</v>
      </c>
      <c r="E420" s="10">
        <v>0.45833333333333331</v>
      </c>
      <c r="F420" s="15">
        <f t="shared" si="18"/>
        <v>11</v>
      </c>
      <c r="G420" s="10" t="str">
        <f t="shared" si="19"/>
        <v>Sunday</v>
      </c>
      <c r="H420" s="9" t="str">
        <f t="shared" si="20"/>
        <v>November</v>
      </c>
      <c r="I420" t="s">
        <v>190</v>
      </c>
      <c r="J420" t="s">
        <v>86</v>
      </c>
      <c r="K420">
        <v>346</v>
      </c>
      <c r="L420" s="5" t="str">
        <f>IF(OR(K420&lt;Answers!$C$16,Orders!K420&gt;Answers!$C$17),"Yes","No")</f>
        <v>No</v>
      </c>
      <c r="M420" s="14">
        <f>VLOOKUP(B420,Customers!$A$1:$E$2501,4,0)</f>
        <v>57</v>
      </c>
    </row>
    <row r="421" spans="1:13" x14ac:dyDescent="0.3">
      <c r="A421">
        <v>302110</v>
      </c>
      <c r="B421">
        <v>1357</v>
      </c>
      <c r="C421" s="1" t="s">
        <v>110</v>
      </c>
      <c r="D421" s="5">
        <v>45214</v>
      </c>
      <c r="E421" s="10">
        <v>5.9722222222222225E-2</v>
      </c>
      <c r="F421" s="15">
        <f t="shared" si="18"/>
        <v>10</v>
      </c>
      <c r="G421" s="10" t="str">
        <f t="shared" si="19"/>
        <v>Sunday</v>
      </c>
      <c r="H421" s="9" t="str">
        <f t="shared" si="20"/>
        <v>October</v>
      </c>
      <c r="I421" t="s">
        <v>96</v>
      </c>
      <c r="J421" t="s">
        <v>22</v>
      </c>
      <c r="K421">
        <v>4576</v>
      </c>
      <c r="L421" s="5" t="str">
        <f>IF(OR(K421&lt;Answers!$C$16,Orders!K421&gt;Answers!$C$17),"Yes","No")</f>
        <v>No</v>
      </c>
      <c r="M421" s="14">
        <f>VLOOKUP(B421,Customers!$A$1:$E$2501,4,0)</f>
        <v>43</v>
      </c>
    </row>
    <row r="422" spans="1:13" x14ac:dyDescent="0.3">
      <c r="A422">
        <v>303207</v>
      </c>
      <c r="B422">
        <v>1052</v>
      </c>
      <c r="C422" s="1" t="s">
        <v>108</v>
      </c>
      <c r="D422" s="5">
        <v>45249</v>
      </c>
      <c r="E422" s="10">
        <v>0.49583333333333335</v>
      </c>
      <c r="F422" s="15">
        <f t="shared" si="18"/>
        <v>11</v>
      </c>
      <c r="G422" s="10" t="str">
        <f t="shared" si="19"/>
        <v>Sunday</v>
      </c>
      <c r="H422" s="9" t="str">
        <f t="shared" si="20"/>
        <v>November</v>
      </c>
      <c r="I422" t="s">
        <v>96</v>
      </c>
      <c r="J422" t="s">
        <v>20</v>
      </c>
      <c r="K422">
        <v>1054</v>
      </c>
      <c r="L422" s="5" t="str">
        <f>IF(OR(K422&lt;Answers!$C$16,Orders!K422&gt;Answers!$C$17),"Yes","No")</f>
        <v>No</v>
      </c>
      <c r="M422" s="14">
        <f>VLOOKUP(B422,Customers!$A$1:$E$2501,4,0)</f>
        <v>66</v>
      </c>
    </row>
    <row r="423" spans="1:13" x14ac:dyDescent="0.3">
      <c r="A423">
        <v>303923</v>
      </c>
      <c r="B423">
        <v>691</v>
      </c>
      <c r="C423" s="1" t="s">
        <v>102</v>
      </c>
      <c r="D423" s="5">
        <v>45076</v>
      </c>
      <c r="E423" s="10">
        <v>36567</v>
      </c>
      <c r="F423" s="15">
        <f t="shared" si="18"/>
        <v>5</v>
      </c>
      <c r="G423" s="10" t="str">
        <f t="shared" si="19"/>
        <v>Tuesday</v>
      </c>
      <c r="H423" s="9" t="str">
        <f t="shared" si="20"/>
        <v>May</v>
      </c>
      <c r="I423" t="s">
        <v>97</v>
      </c>
      <c r="J423" t="s">
        <v>42</v>
      </c>
      <c r="K423">
        <v>5642</v>
      </c>
      <c r="L423" s="5" t="str">
        <f>IF(OR(K423&lt;Answers!$C$16,Orders!K423&gt;Answers!$C$17),"Yes","No")</f>
        <v>No</v>
      </c>
      <c r="M423" s="14">
        <f>VLOOKUP(B423,Customers!$A$1:$E$2501,4,0)</f>
        <v>33</v>
      </c>
    </row>
    <row r="424" spans="1:13" x14ac:dyDescent="0.3">
      <c r="A424">
        <v>304668</v>
      </c>
      <c r="B424">
        <v>835</v>
      </c>
      <c r="C424" s="1" t="s">
        <v>100</v>
      </c>
      <c r="D424" s="5">
        <v>44969</v>
      </c>
      <c r="E424" s="10">
        <v>0.53055555555555556</v>
      </c>
      <c r="F424" s="15">
        <f t="shared" si="18"/>
        <v>2</v>
      </c>
      <c r="G424" s="10" t="str">
        <f t="shared" si="19"/>
        <v>Sunday</v>
      </c>
      <c r="H424" s="9" t="str">
        <f t="shared" si="20"/>
        <v>February</v>
      </c>
      <c r="I424" t="s">
        <v>96</v>
      </c>
      <c r="J424" t="s">
        <v>28</v>
      </c>
      <c r="K424">
        <v>3450</v>
      </c>
      <c r="L424" s="5" t="str">
        <f>IF(OR(K424&lt;Answers!$C$16,Orders!K424&gt;Answers!$C$17),"Yes","No")</f>
        <v>No</v>
      </c>
      <c r="M424" s="14">
        <f>VLOOKUP(B424,Customers!$A$1:$E$2501,4,0)</f>
        <v>50</v>
      </c>
    </row>
    <row r="425" spans="1:13" x14ac:dyDescent="0.3">
      <c r="A425">
        <v>305175</v>
      </c>
      <c r="B425">
        <v>766</v>
      </c>
      <c r="C425" s="1" t="s">
        <v>98</v>
      </c>
      <c r="D425" s="5">
        <v>45144</v>
      </c>
      <c r="E425" s="10">
        <v>0.51180555555555551</v>
      </c>
      <c r="F425" s="15">
        <f t="shared" si="18"/>
        <v>8</v>
      </c>
      <c r="G425" s="10" t="str">
        <f t="shared" si="19"/>
        <v>Sunday</v>
      </c>
      <c r="H425" s="9" t="str">
        <f t="shared" si="20"/>
        <v>August</v>
      </c>
      <c r="I425" t="s">
        <v>190</v>
      </c>
      <c r="J425" t="s">
        <v>8</v>
      </c>
      <c r="K425">
        <v>1876</v>
      </c>
      <c r="L425" s="5" t="str">
        <f>IF(OR(K425&lt;Answers!$C$16,Orders!K425&gt;Answers!$C$17),"Yes","No")</f>
        <v>No</v>
      </c>
      <c r="M425" s="14">
        <f>VLOOKUP(B425,Customers!$A$1:$E$2501,4,0)</f>
        <v>89</v>
      </c>
    </row>
    <row r="426" spans="1:13" x14ac:dyDescent="0.3">
      <c r="A426">
        <v>305282</v>
      </c>
      <c r="B426">
        <v>1594</v>
      </c>
      <c r="C426" s="1" t="s">
        <v>100</v>
      </c>
      <c r="D426" s="5">
        <v>44996</v>
      </c>
      <c r="E426" s="10">
        <v>0.51388888888888884</v>
      </c>
      <c r="F426" s="15">
        <f t="shared" si="18"/>
        <v>3</v>
      </c>
      <c r="G426" s="10" t="str">
        <f t="shared" si="19"/>
        <v>Saturday</v>
      </c>
      <c r="H426" s="9" t="str">
        <f t="shared" si="20"/>
        <v>March</v>
      </c>
      <c r="I426" t="s">
        <v>96</v>
      </c>
      <c r="J426" t="s">
        <v>29</v>
      </c>
      <c r="K426">
        <v>2529</v>
      </c>
      <c r="L426" s="5" t="str">
        <f>IF(OR(K426&lt;Answers!$C$16,Orders!K426&gt;Answers!$C$17),"Yes","No")</f>
        <v>No</v>
      </c>
      <c r="M426" s="14">
        <f>VLOOKUP(B426,Customers!$A$1:$E$2501,4,0)</f>
        <v>27</v>
      </c>
    </row>
    <row r="427" spans="1:13" x14ac:dyDescent="0.3">
      <c r="A427">
        <v>305291</v>
      </c>
      <c r="B427">
        <v>1519</v>
      </c>
      <c r="C427" s="1" t="s">
        <v>104</v>
      </c>
      <c r="D427" s="5">
        <v>45160</v>
      </c>
      <c r="E427" s="10">
        <v>36810</v>
      </c>
      <c r="F427" s="15">
        <f t="shared" si="18"/>
        <v>8</v>
      </c>
      <c r="G427" s="10" t="str">
        <f t="shared" si="19"/>
        <v>Tuesday</v>
      </c>
      <c r="H427" s="9" t="str">
        <f t="shared" si="20"/>
        <v>August</v>
      </c>
      <c r="I427" t="s">
        <v>190</v>
      </c>
      <c r="J427" t="s">
        <v>66</v>
      </c>
      <c r="K427">
        <v>3778</v>
      </c>
      <c r="L427" s="5" t="str">
        <f>IF(OR(K427&lt;Answers!$C$16,Orders!K427&gt;Answers!$C$17),"Yes","No")</f>
        <v>No</v>
      </c>
      <c r="M427" s="14">
        <f>VLOOKUP(B427,Customers!$A$1:$E$2501,4,0)</f>
        <v>20</v>
      </c>
    </row>
    <row r="428" spans="1:13" x14ac:dyDescent="0.3">
      <c r="A428">
        <v>305510</v>
      </c>
      <c r="B428">
        <v>935</v>
      </c>
      <c r="C428" s="1" t="s">
        <v>99</v>
      </c>
      <c r="D428" s="5">
        <v>45251</v>
      </c>
      <c r="E428" s="10">
        <v>8.3333333333333329E-2</v>
      </c>
      <c r="F428" s="15">
        <f t="shared" si="18"/>
        <v>11</v>
      </c>
      <c r="G428" s="10" t="str">
        <f t="shared" si="19"/>
        <v>Tuesday</v>
      </c>
      <c r="H428" s="9" t="str">
        <f t="shared" si="20"/>
        <v>November</v>
      </c>
      <c r="I428" t="s">
        <v>97</v>
      </c>
      <c r="J428" t="s">
        <v>31</v>
      </c>
      <c r="K428">
        <v>6989</v>
      </c>
      <c r="L428" s="5" t="str">
        <f>IF(OR(K428&lt;Answers!$C$16,Orders!K428&gt;Answers!$C$17),"Yes","No")</f>
        <v>No</v>
      </c>
      <c r="M428" s="14">
        <f>VLOOKUP(B428,Customers!$A$1:$E$2501,4,0)</f>
        <v>38</v>
      </c>
    </row>
    <row r="429" spans="1:13" x14ac:dyDescent="0.3">
      <c r="A429">
        <v>306677</v>
      </c>
      <c r="B429">
        <v>1145</v>
      </c>
      <c r="C429" s="1" t="s">
        <v>98</v>
      </c>
      <c r="D429" s="5">
        <v>45158</v>
      </c>
      <c r="E429" s="10">
        <v>0.48958333333333331</v>
      </c>
      <c r="F429" s="15">
        <f t="shared" si="18"/>
        <v>8</v>
      </c>
      <c r="G429" s="10" t="str">
        <f t="shared" si="19"/>
        <v>Sunday</v>
      </c>
      <c r="H429" s="9" t="str">
        <f t="shared" si="20"/>
        <v>August</v>
      </c>
      <c r="I429" t="s">
        <v>95</v>
      </c>
      <c r="J429" t="s">
        <v>32</v>
      </c>
      <c r="K429">
        <v>6771</v>
      </c>
      <c r="L429" s="5" t="str">
        <f>IF(OR(K429&lt;Answers!$C$16,Orders!K429&gt;Answers!$C$17),"Yes","No")</f>
        <v>No</v>
      </c>
      <c r="M429" s="14">
        <f>VLOOKUP(B429,Customers!$A$1:$E$2501,4,0)</f>
        <v>50</v>
      </c>
    </row>
    <row r="430" spans="1:13" x14ac:dyDescent="0.3">
      <c r="A430">
        <v>306798</v>
      </c>
      <c r="B430">
        <v>132</v>
      </c>
      <c r="C430" s="1" t="s">
        <v>104</v>
      </c>
      <c r="D430" s="5">
        <v>44940</v>
      </c>
      <c r="E430" s="10">
        <v>0.52013888888888893</v>
      </c>
      <c r="F430" s="15">
        <f t="shared" si="18"/>
        <v>1</v>
      </c>
      <c r="G430" s="10" t="str">
        <f t="shared" si="19"/>
        <v>Saturday</v>
      </c>
      <c r="H430" s="9" t="str">
        <f t="shared" si="20"/>
        <v>January</v>
      </c>
      <c r="I430" t="s">
        <v>190</v>
      </c>
      <c r="J430" t="s">
        <v>33</v>
      </c>
      <c r="K430">
        <v>291</v>
      </c>
      <c r="L430" s="5" t="str">
        <f>IF(OR(K430&lt;Answers!$C$16,Orders!K430&gt;Answers!$C$17),"Yes","No")</f>
        <v>No</v>
      </c>
      <c r="M430" s="14">
        <f>VLOOKUP(B430,Customers!$A$1:$E$2501,4,0)</f>
        <v>50</v>
      </c>
    </row>
    <row r="431" spans="1:13" x14ac:dyDescent="0.3">
      <c r="A431">
        <v>306831</v>
      </c>
      <c r="B431">
        <v>1135</v>
      </c>
      <c r="C431" s="1" t="s">
        <v>112</v>
      </c>
      <c r="D431" s="5">
        <v>45090</v>
      </c>
      <c r="E431" s="10">
        <v>0.52430555555555558</v>
      </c>
      <c r="F431" s="15">
        <f t="shared" si="18"/>
        <v>6</v>
      </c>
      <c r="G431" s="10" t="str">
        <f t="shared" si="19"/>
        <v>Tuesday</v>
      </c>
      <c r="H431" s="9" t="str">
        <f t="shared" si="20"/>
        <v>June</v>
      </c>
      <c r="I431" t="s">
        <v>190</v>
      </c>
      <c r="J431" t="s">
        <v>34</v>
      </c>
      <c r="K431">
        <v>4730</v>
      </c>
      <c r="L431" s="5" t="str">
        <f>IF(OR(K431&lt;Answers!$C$16,Orders!K431&gt;Answers!$C$17),"Yes","No")</f>
        <v>No</v>
      </c>
      <c r="M431" s="14">
        <f>VLOOKUP(B431,Customers!$A$1:$E$2501,4,0)</f>
        <v>74</v>
      </c>
    </row>
    <row r="432" spans="1:13" x14ac:dyDescent="0.3">
      <c r="A432">
        <v>307999</v>
      </c>
      <c r="B432">
        <v>1476</v>
      </c>
      <c r="C432" s="1" t="s">
        <v>106</v>
      </c>
      <c r="D432" s="5">
        <v>45111</v>
      </c>
      <c r="E432" s="10">
        <v>0.48125000000000001</v>
      </c>
      <c r="F432" s="15">
        <f t="shared" si="18"/>
        <v>7</v>
      </c>
      <c r="G432" s="10" t="str">
        <f t="shared" si="19"/>
        <v>Tuesday</v>
      </c>
      <c r="H432" s="9" t="str">
        <f t="shared" si="20"/>
        <v>July</v>
      </c>
      <c r="I432" t="s">
        <v>95</v>
      </c>
      <c r="J432" t="s">
        <v>35</v>
      </c>
      <c r="K432">
        <v>5434</v>
      </c>
      <c r="L432" s="5" t="str">
        <f>IF(OR(K432&lt;Answers!$C$16,Orders!K432&gt;Answers!$C$17),"Yes","No")</f>
        <v>No</v>
      </c>
      <c r="M432" s="14">
        <f>VLOOKUP(B432,Customers!$A$1:$E$2501,4,0)</f>
        <v>23</v>
      </c>
    </row>
    <row r="433" spans="1:13" x14ac:dyDescent="0.3">
      <c r="A433">
        <v>308888</v>
      </c>
      <c r="B433">
        <v>731</v>
      </c>
      <c r="C433" s="1" t="s">
        <v>99</v>
      </c>
      <c r="D433" s="5">
        <v>45022</v>
      </c>
      <c r="E433" s="10">
        <v>36770</v>
      </c>
      <c r="F433" s="15">
        <f t="shared" si="18"/>
        <v>4</v>
      </c>
      <c r="G433" s="10" t="str">
        <f t="shared" si="19"/>
        <v>Thursday</v>
      </c>
      <c r="H433" s="9" t="str">
        <f t="shared" si="20"/>
        <v>April</v>
      </c>
      <c r="I433" t="s">
        <v>97</v>
      </c>
      <c r="J433" t="s">
        <v>36</v>
      </c>
      <c r="K433">
        <v>5383</v>
      </c>
      <c r="L433" s="5" t="str">
        <f>IF(OR(K433&lt;Answers!$C$16,Orders!K433&gt;Answers!$C$17),"Yes","No")</f>
        <v>No</v>
      </c>
      <c r="M433" s="14">
        <f>VLOOKUP(B433,Customers!$A$1:$E$2501,4,0)</f>
        <v>78</v>
      </c>
    </row>
    <row r="434" spans="1:13" x14ac:dyDescent="0.3">
      <c r="A434">
        <v>309642</v>
      </c>
      <c r="B434">
        <v>1222</v>
      </c>
      <c r="C434" s="1" t="s">
        <v>104</v>
      </c>
      <c r="D434" s="5">
        <v>45185</v>
      </c>
      <c r="E434" s="10">
        <v>0.52361111111111114</v>
      </c>
      <c r="F434" s="15">
        <f t="shared" si="18"/>
        <v>9</v>
      </c>
      <c r="G434" s="10" t="str">
        <f t="shared" si="19"/>
        <v>Saturday</v>
      </c>
      <c r="H434" s="9" t="str">
        <f t="shared" si="20"/>
        <v>September</v>
      </c>
      <c r="I434" t="s">
        <v>95</v>
      </c>
      <c r="J434" t="s">
        <v>37</v>
      </c>
      <c r="K434">
        <v>2898</v>
      </c>
      <c r="L434" s="5" t="str">
        <f>IF(OR(K434&lt;Answers!$C$16,Orders!K434&gt;Answers!$C$17),"Yes","No")</f>
        <v>No</v>
      </c>
      <c r="M434" s="14">
        <f>VLOOKUP(B434,Customers!$A$1:$E$2501,4,0)</f>
        <v>58</v>
      </c>
    </row>
    <row r="435" spans="1:13" x14ac:dyDescent="0.3">
      <c r="A435">
        <v>310236</v>
      </c>
      <c r="B435">
        <v>839</v>
      </c>
      <c r="C435" s="1" t="s">
        <v>112</v>
      </c>
      <c r="D435" s="5">
        <v>45034</v>
      </c>
      <c r="E435" s="10">
        <v>36628</v>
      </c>
      <c r="F435" s="15">
        <f t="shared" si="18"/>
        <v>4</v>
      </c>
      <c r="G435" s="10" t="str">
        <f t="shared" si="19"/>
        <v>Tuesday</v>
      </c>
      <c r="H435" s="9" t="str">
        <f t="shared" si="20"/>
        <v>April</v>
      </c>
      <c r="I435" t="s">
        <v>97</v>
      </c>
      <c r="J435" t="s">
        <v>38</v>
      </c>
      <c r="K435">
        <v>221</v>
      </c>
      <c r="L435" s="5" t="str">
        <f>IF(OR(K435&lt;Answers!$C$16,Orders!K435&gt;Answers!$C$17),"Yes","No")</f>
        <v>No</v>
      </c>
      <c r="M435" s="14">
        <f>VLOOKUP(B435,Customers!$A$1:$E$2501,4,0)</f>
        <v>36</v>
      </c>
    </row>
    <row r="436" spans="1:13" x14ac:dyDescent="0.3">
      <c r="A436">
        <v>310303</v>
      </c>
      <c r="B436">
        <v>42</v>
      </c>
      <c r="C436" s="1" t="s">
        <v>104</v>
      </c>
      <c r="D436" s="5">
        <v>45135</v>
      </c>
      <c r="E436" s="10">
        <v>0.51944444444444449</v>
      </c>
      <c r="F436" s="15">
        <f t="shared" si="18"/>
        <v>7</v>
      </c>
      <c r="G436" s="10" t="str">
        <f t="shared" si="19"/>
        <v>Friday</v>
      </c>
      <c r="H436" s="9" t="str">
        <f t="shared" si="20"/>
        <v>July</v>
      </c>
      <c r="I436" t="s">
        <v>95</v>
      </c>
      <c r="J436" t="s">
        <v>23</v>
      </c>
      <c r="K436">
        <v>369</v>
      </c>
      <c r="L436" s="5" t="str">
        <f>IF(OR(K436&lt;Answers!$C$16,Orders!K436&gt;Answers!$C$17),"Yes","No")</f>
        <v>No</v>
      </c>
      <c r="M436" s="14">
        <f>VLOOKUP(B436,Customers!$A$1:$E$2501,4,0)</f>
        <v>43</v>
      </c>
    </row>
    <row r="437" spans="1:13" x14ac:dyDescent="0.3">
      <c r="A437">
        <v>311285</v>
      </c>
      <c r="B437">
        <v>511</v>
      </c>
      <c r="C437" s="1" t="s">
        <v>98</v>
      </c>
      <c r="D437" s="5">
        <v>45213</v>
      </c>
      <c r="E437" s="10">
        <v>0.4909722222222222</v>
      </c>
      <c r="F437" s="15">
        <f t="shared" si="18"/>
        <v>10</v>
      </c>
      <c r="G437" s="10" t="str">
        <f t="shared" si="19"/>
        <v>Saturday</v>
      </c>
      <c r="H437" s="9" t="str">
        <f t="shared" si="20"/>
        <v>October</v>
      </c>
      <c r="I437" t="s">
        <v>97</v>
      </c>
      <c r="J437" t="s">
        <v>39</v>
      </c>
      <c r="K437">
        <v>3345</v>
      </c>
      <c r="L437" s="5" t="str">
        <f>IF(OR(K437&lt;Answers!$C$16,Orders!K437&gt;Answers!$C$17),"Yes","No")</f>
        <v>No</v>
      </c>
      <c r="M437" s="14">
        <f>VLOOKUP(B437,Customers!$A$1:$E$2501,4,0)</f>
        <v>60</v>
      </c>
    </row>
    <row r="438" spans="1:13" x14ac:dyDescent="0.3">
      <c r="A438">
        <v>312250</v>
      </c>
      <c r="B438">
        <v>343</v>
      </c>
      <c r="C438" s="1" t="s">
        <v>112</v>
      </c>
      <c r="D438" s="5">
        <v>45248</v>
      </c>
      <c r="E438" s="10">
        <v>0.51944444444444449</v>
      </c>
      <c r="F438" s="15">
        <f t="shared" si="18"/>
        <v>11</v>
      </c>
      <c r="G438" s="10" t="str">
        <f t="shared" si="19"/>
        <v>Saturday</v>
      </c>
      <c r="H438" s="9" t="str">
        <f t="shared" si="20"/>
        <v>November</v>
      </c>
      <c r="I438" t="s">
        <v>97</v>
      </c>
      <c r="J438" t="s">
        <v>40</v>
      </c>
      <c r="K438">
        <v>8056</v>
      </c>
      <c r="L438" s="5" t="str">
        <f>IF(OR(K438&lt;Answers!$C$16,Orders!K438&gt;Answers!$C$17),"Yes","No")</f>
        <v>No</v>
      </c>
      <c r="M438" s="14">
        <f>VLOOKUP(B438,Customers!$A$1:$E$2501,4,0)</f>
        <v>88</v>
      </c>
    </row>
    <row r="439" spans="1:13" x14ac:dyDescent="0.3">
      <c r="A439">
        <v>312391</v>
      </c>
      <c r="B439">
        <v>780</v>
      </c>
      <c r="C439" s="1" t="s">
        <v>112</v>
      </c>
      <c r="D439" s="5">
        <v>45276</v>
      </c>
      <c r="E439" s="10">
        <v>36657</v>
      </c>
      <c r="F439" s="15">
        <f t="shared" si="18"/>
        <v>12</v>
      </c>
      <c r="G439" s="10" t="str">
        <f t="shared" si="19"/>
        <v>Saturday</v>
      </c>
      <c r="H439" s="9" t="str">
        <f t="shared" si="20"/>
        <v>December</v>
      </c>
      <c r="I439" t="s">
        <v>97</v>
      </c>
      <c r="J439" t="s">
        <v>41</v>
      </c>
      <c r="K439">
        <v>3848</v>
      </c>
      <c r="L439" s="5" t="str">
        <f>IF(OR(K439&lt;Answers!$C$16,Orders!K439&gt;Answers!$C$17),"Yes","No")</f>
        <v>No</v>
      </c>
      <c r="M439" s="14">
        <f>VLOOKUP(B439,Customers!$A$1:$E$2501,4,0)</f>
        <v>43</v>
      </c>
    </row>
    <row r="440" spans="1:13" x14ac:dyDescent="0.3">
      <c r="A440">
        <v>312413</v>
      </c>
      <c r="B440">
        <v>1696</v>
      </c>
      <c r="C440" s="1" t="s">
        <v>98</v>
      </c>
      <c r="D440" s="5">
        <v>45185</v>
      </c>
      <c r="E440" s="10">
        <v>0.51180555555555551</v>
      </c>
      <c r="F440" s="15">
        <f t="shared" si="18"/>
        <v>9</v>
      </c>
      <c r="G440" s="10" t="str">
        <f t="shared" si="19"/>
        <v>Saturday</v>
      </c>
      <c r="H440" s="9" t="str">
        <f t="shared" si="20"/>
        <v>September</v>
      </c>
      <c r="I440" t="s">
        <v>96</v>
      </c>
      <c r="J440" t="s">
        <v>42</v>
      </c>
      <c r="K440">
        <v>7605</v>
      </c>
      <c r="L440" s="5" t="str">
        <f>IF(OR(K440&lt;Answers!$C$16,Orders!K440&gt;Answers!$C$17),"Yes","No")</f>
        <v>No</v>
      </c>
      <c r="M440" s="14">
        <f>VLOOKUP(B440,Customers!$A$1:$E$2501,4,0)</f>
        <v>68</v>
      </c>
    </row>
    <row r="441" spans="1:13" x14ac:dyDescent="0.3">
      <c r="A441">
        <v>312581</v>
      </c>
      <c r="B441">
        <v>624</v>
      </c>
      <c r="C441" s="1" t="s">
        <v>100</v>
      </c>
      <c r="D441" s="5">
        <v>45145</v>
      </c>
      <c r="E441" s="10">
        <v>0.53333333333333333</v>
      </c>
      <c r="F441" s="15">
        <f t="shared" si="18"/>
        <v>8</v>
      </c>
      <c r="G441" s="10" t="str">
        <f t="shared" si="19"/>
        <v>Monday</v>
      </c>
      <c r="H441" s="9" t="str">
        <f t="shared" si="20"/>
        <v>August</v>
      </c>
      <c r="I441" t="s">
        <v>190</v>
      </c>
      <c r="J441" t="s">
        <v>43</v>
      </c>
      <c r="K441">
        <v>5721</v>
      </c>
      <c r="L441" s="5" t="str">
        <f>IF(OR(K441&lt;Answers!$C$16,Orders!K441&gt;Answers!$C$17),"Yes","No")</f>
        <v>No</v>
      </c>
      <c r="M441" s="14">
        <f>VLOOKUP(B441,Customers!$A$1:$E$2501,4,0)</f>
        <v>43</v>
      </c>
    </row>
    <row r="442" spans="1:13" x14ac:dyDescent="0.3">
      <c r="A442">
        <v>313294</v>
      </c>
      <c r="B442">
        <v>1513</v>
      </c>
      <c r="C442" s="1" t="s">
        <v>98</v>
      </c>
      <c r="D442" s="5">
        <v>45101</v>
      </c>
      <c r="E442" s="10">
        <v>36781</v>
      </c>
      <c r="F442" s="15">
        <f t="shared" si="18"/>
        <v>6</v>
      </c>
      <c r="G442" s="10" t="str">
        <f t="shared" si="19"/>
        <v>Saturday</v>
      </c>
      <c r="H442" s="9" t="str">
        <f t="shared" si="20"/>
        <v>June</v>
      </c>
      <c r="I442" t="s">
        <v>96</v>
      </c>
      <c r="J442" t="s">
        <v>11</v>
      </c>
      <c r="K442">
        <v>3975</v>
      </c>
      <c r="L442" s="5" t="str">
        <f>IF(OR(K442&lt;Answers!$C$16,Orders!K442&gt;Answers!$C$17),"Yes","No")</f>
        <v>No</v>
      </c>
      <c r="M442" s="14">
        <f>VLOOKUP(B442,Customers!$A$1:$E$2501,4,0)</f>
        <v>76</v>
      </c>
    </row>
    <row r="443" spans="1:13" x14ac:dyDescent="0.3">
      <c r="A443">
        <v>313756</v>
      </c>
      <c r="B443">
        <v>1032</v>
      </c>
      <c r="C443" s="1" t="s">
        <v>99</v>
      </c>
      <c r="D443" s="5">
        <v>45288</v>
      </c>
      <c r="E443" s="10">
        <v>6.3194444444444442E-2</v>
      </c>
      <c r="F443" s="15">
        <f t="shared" si="18"/>
        <v>12</v>
      </c>
      <c r="G443" s="10" t="str">
        <f t="shared" si="19"/>
        <v>Thursday</v>
      </c>
      <c r="H443" s="9" t="str">
        <f t="shared" si="20"/>
        <v>December</v>
      </c>
      <c r="I443" t="s">
        <v>96</v>
      </c>
      <c r="J443" t="s">
        <v>13</v>
      </c>
      <c r="K443">
        <v>1340</v>
      </c>
      <c r="L443" s="5" t="str">
        <f>IF(OR(K443&lt;Answers!$C$16,Orders!K443&gt;Answers!$C$17),"Yes","No")</f>
        <v>No</v>
      </c>
      <c r="M443" s="14">
        <f>VLOOKUP(B443,Customers!$A$1:$E$2501,4,0)</f>
        <v>21</v>
      </c>
    </row>
    <row r="444" spans="1:13" x14ac:dyDescent="0.3">
      <c r="A444">
        <v>314254</v>
      </c>
      <c r="B444">
        <v>224</v>
      </c>
      <c r="C444" s="1" t="s">
        <v>112</v>
      </c>
      <c r="D444" s="5">
        <v>45133</v>
      </c>
      <c r="E444" s="10">
        <v>0.51388888888888884</v>
      </c>
      <c r="F444" s="15">
        <f t="shared" si="18"/>
        <v>7</v>
      </c>
      <c r="G444" s="10" t="str">
        <f t="shared" si="19"/>
        <v>Wednesday</v>
      </c>
      <c r="H444" s="9" t="str">
        <f t="shared" si="20"/>
        <v>July</v>
      </c>
      <c r="I444" t="s">
        <v>95</v>
      </c>
      <c r="J444" t="s">
        <v>42</v>
      </c>
      <c r="K444">
        <v>2043</v>
      </c>
      <c r="L444" s="5" t="str">
        <f>IF(OR(K444&lt;Answers!$C$16,Orders!K444&gt;Answers!$C$17),"Yes","No")</f>
        <v>No</v>
      </c>
      <c r="M444" s="14">
        <f>VLOOKUP(B444,Customers!$A$1:$E$2501,4,0)</f>
        <v>64</v>
      </c>
    </row>
    <row r="445" spans="1:13" x14ac:dyDescent="0.3">
      <c r="A445">
        <v>314530</v>
      </c>
      <c r="B445">
        <v>967</v>
      </c>
      <c r="C445" s="1" t="s">
        <v>100</v>
      </c>
      <c r="D445" s="5">
        <v>45241</v>
      </c>
      <c r="E445" s="10">
        <v>0.53472222222222221</v>
      </c>
      <c r="F445" s="15">
        <f t="shared" si="18"/>
        <v>11</v>
      </c>
      <c r="G445" s="10" t="str">
        <f t="shared" si="19"/>
        <v>Saturday</v>
      </c>
      <c r="H445" s="9" t="str">
        <f t="shared" si="20"/>
        <v>November</v>
      </c>
      <c r="I445" t="s">
        <v>190</v>
      </c>
      <c r="J445" t="s">
        <v>45</v>
      </c>
      <c r="K445">
        <v>4214</v>
      </c>
      <c r="L445" s="5" t="str">
        <f>IF(OR(K445&lt;Answers!$C$16,Orders!K445&gt;Answers!$C$17),"Yes","No")</f>
        <v>No</v>
      </c>
      <c r="M445" s="14">
        <f>VLOOKUP(B445,Customers!$A$1:$E$2501,4,0)</f>
        <v>54</v>
      </c>
    </row>
    <row r="446" spans="1:13" x14ac:dyDescent="0.3">
      <c r="A446">
        <v>315549</v>
      </c>
      <c r="B446">
        <v>108</v>
      </c>
      <c r="C446" s="1" t="s">
        <v>104</v>
      </c>
      <c r="D446" s="5">
        <v>45004</v>
      </c>
      <c r="E446" s="10">
        <v>0.48541666666666666</v>
      </c>
      <c r="F446" s="15">
        <f t="shared" si="18"/>
        <v>3</v>
      </c>
      <c r="G446" s="10" t="str">
        <f t="shared" si="19"/>
        <v>Sunday</v>
      </c>
      <c r="H446" s="9" t="str">
        <f t="shared" si="20"/>
        <v>March</v>
      </c>
      <c r="I446" t="s">
        <v>190</v>
      </c>
      <c r="J446" t="s">
        <v>7</v>
      </c>
      <c r="K446">
        <v>7653</v>
      </c>
      <c r="L446" s="5" t="str">
        <f>IF(OR(K446&lt;Answers!$C$16,Orders!K446&gt;Answers!$C$17),"Yes","No")</f>
        <v>No</v>
      </c>
      <c r="M446" s="14">
        <f>VLOOKUP(B446,Customers!$A$1:$E$2501,4,0)</f>
        <v>63</v>
      </c>
    </row>
    <row r="447" spans="1:13" x14ac:dyDescent="0.3">
      <c r="A447">
        <v>315899</v>
      </c>
      <c r="B447">
        <v>1934</v>
      </c>
      <c r="C447" s="1" t="s">
        <v>104</v>
      </c>
      <c r="D447" s="5">
        <v>45208</v>
      </c>
      <c r="E447" s="10">
        <v>0.53888888888888886</v>
      </c>
      <c r="F447" s="15">
        <f t="shared" si="18"/>
        <v>10</v>
      </c>
      <c r="G447" s="10" t="str">
        <f t="shared" si="19"/>
        <v>Monday</v>
      </c>
      <c r="H447" s="9" t="str">
        <f t="shared" si="20"/>
        <v>October</v>
      </c>
      <c r="I447" t="s">
        <v>190</v>
      </c>
      <c r="J447" t="s">
        <v>45</v>
      </c>
      <c r="K447">
        <v>6965</v>
      </c>
      <c r="L447" s="5" t="str">
        <f>IF(OR(K447&lt;Answers!$C$16,Orders!K447&gt;Answers!$C$17),"Yes","No")</f>
        <v>No</v>
      </c>
      <c r="M447" s="14">
        <f>VLOOKUP(B447,Customers!$A$1:$E$2501,4,0)</f>
        <v>25</v>
      </c>
    </row>
    <row r="448" spans="1:13" x14ac:dyDescent="0.3">
      <c r="A448">
        <v>315977</v>
      </c>
      <c r="B448">
        <v>1837</v>
      </c>
      <c r="C448" s="1" t="s">
        <v>109</v>
      </c>
      <c r="D448" s="5">
        <v>45172</v>
      </c>
      <c r="E448" s="10">
        <v>36537</v>
      </c>
      <c r="F448" s="15">
        <f t="shared" si="18"/>
        <v>9</v>
      </c>
      <c r="G448" s="10" t="str">
        <f t="shared" si="19"/>
        <v>Sunday</v>
      </c>
      <c r="H448" s="9" t="str">
        <f t="shared" si="20"/>
        <v>September</v>
      </c>
      <c r="I448" t="s">
        <v>97</v>
      </c>
      <c r="J448" t="s">
        <v>46</v>
      </c>
      <c r="K448">
        <v>8432</v>
      </c>
      <c r="L448" s="5" t="str">
        <f>IF(OR(K448&lt;Answers!$C$16,Orders!K448&gt;Answers!$C$17),"Yes","No")</f>
        <v>No</v>
      </c>
      <c r="M448" s="14">
        <f>VLOOKUP(B448,Customers!$A$1:$E$2501,4,0)</f>
        <v>87</v>
      </c>
    </row>
    <row r="449" spans="1:13" x14ac:dyDescent="0.3">
      <c r="A449">
        <v>316324</v>
      </c>
      <c r="B449">
        <v>1564</v>
      </c>
      <c r="C449" s="1" t="s">
        <v>105</v>
      </c>
      <c r="D449" s="5">
        <v>44992</v>
      </c>
      <c r="E449" s="10">
        <v>0.51388888888888884</v>
      </c>
      <c r="F449" s="15">
        <f t="shared" si="18"/>
        <v>3</v>
      </c>
      <c r="G449" s="10" t="str">
        <f t="shared" si="19"/>
        <v>Tuesday</v>
      </c>
      <c r="H449" s="9" t="str">
        <f t="shared" si="20"/>
        <v>March</v>
      </c>
      <c r="I449" t="s">
        <v>190</v>
      </c>
      <c r="J449" t="s">
        <v>26</v>
      </c>
      <c r="K449">
        <v>1285</v>
      </c>
      <c r="L449" s="5" t="str">
        <f>IF(OR(K449&lt;Answers!$C$16,Orders!K449&gt;Answers!$C$17),"Yes","No")</f>
        <v>No</v>
      </c>
      <c r="M449" s="14">
        <f>VLOOKUP(B449,Customers!$A$1:$E$2501,4,0)</f>
        <v>89</v>
      </c>
    </row>
    <row r="450" spans="1:13" x14ac:dyDescent="0.3">
      <c r="A450">
        <v>316364</v>
      </c>
      <c r="B450">
        <v>486</v>
      </c>
      <c r="C450" s="1" t="s">
        <v>103</v>
      </c>
      <c r="D450" s="5">
        <v>45239</v>
      </c>
      <c r="E450" s="10">
        <v>0.5131944444444444</v>
      </c>
      <c r="F450" s="15">
        <f t="shared" si="18"/>
        <v>11</v>
      </c>
      <c r="G450" s="10" t="str">
        <f t="shared" si="19"/>
        <v>Thursday</v>
      </c>
      <c r="H450" s="9" t="str">
        <f t="shared" si="20"/>
        <v>November</v>
      </c>
      <c r="I450" t="s">
        <v>97</v>
      </c>
      <c r="J450" t="s">
        <v>48</v>
      </c>
      <c r="K450">
        <v>1699</v>
      </c>
      <c r="L450" s="5" t="str">
        <f>IF(OR(K450&lt;Answers!$C$16,Orders!K450&gt;Answers!$C$17),"Yes","No")</f>
        <v>No</v>
      </c>
      <c r="M450" s="14">
        <f>VLOOKUP(B450,Customers!$A$1:$E$2501,4,0)</f>
        <v>66</v>
      </c>
    </row>
    <row r="451" spans="1:13" x14ac:dyDescent="0.3">
      <c r="A451">
        <v>316858</v>
      </c>
      <c r="B451">
        <v>1140</v>
      </c>
      <c r="C451" s="1" t="s">
        <v>101</v>
      </c>
      <c r="D451" s="5">
        <v>45003</v>
      </c>
      <c r="E451" s="10">
        <v>0.52708333333333335</v>
      </c>
      <c r="F451" s="15">
        <f t="shared" ref="F451:F514" si="21">MONTH(D451)</f>
        <v>3</v>
      </c>
      <c r="G451" s="10" t="str">
        <f t="shared" ref="G451:G514" si="22">TEXT(D451,"dddd")</f>
        <v>Saturday</v>
      </c>
      <c r="H451" s="9" t="str">
        <f t="shared" ref="H451:H514" si="23">TEXT(D451,"mmmm")</f>
        <v>March</v>
      </c>
      <c r="I451" t="s">
        <v>95</v>
      </c>
      <c r="J451" t="s">
        <v>70</v>
      </c>
      <c r="K451">
        <v>3160</v>
      </c>
      <c r="L451" s="5" t="str">
        <f>IF(OR(K451&lt;Answers!$C$16,Orders!K451&gt;Answers!$C$17),"Yes","No")</f>
        <v>No</v>
      </c>
      <c r="M451" s="14">
        <f>VLOOKUP(B451,Customers!$A$1:$E$2501,4,0)</f>
        <v>69</v>
      </c>
    </row>
    <row r="452" spans="1:13" x14ac:dyDescent="0.3">
      <c r="A452">
        <v>318630</v>
      </c>
      <c r="B452">
        <v>137</v>
      </c>
      <c r="C452" s="1" t="s">
        <v>112</v>
      </c>
      <c r="D452" s="5">
        <v>45029</v>
      </c>
      <c r="E452" s="10">
        <v>0.47361111111111109</v>
      </c>
      <c r="F452" s="15">
        <f t="shared" si="21"/>
        <v>4</v>
      </c>
      <c r="G452" s="10" t="str">
        <f t="shared" si="22"/>
        <v>Thursday</v>
      </c>
      <c r="H452" s="9" t="str">
        <f t="shared" si="23"/>
        <v>April</v>
      </c>
      <c r="I452" t="s">
        <v>190</v>
      </c>
      <c r="J452" t="s">
        <v>54</v>
      </c>
      <c r="K452">
        <v>9655</v>
      </c>
      <c r="L452" s="5" t="str">
        <f>IF(OR(K452&lt;Answers!$C$16,Orders!K452&gt;Answers!$C$17),"Yes","No")</f>
        <v>No</v>
      </c>
      <c r="M452" s="14">
        <f>VLOOKUP(B452,Customers!$A$1:$E$2501,4,0)</f>
        <v>25</v>
      </c>
    </row>
    <row r="453" spans="1:13" x14ac:dyDescent="0.3">
      <c r="A453">
        <v>318961</v>
      </c>
      <c r="B453">
        <v>821</v>
      </c>
      <c r="C453" s="1" t="s">
        <v>106</v>
      </c>
      <c r="D453" s="5">
        <v>45055</v>
      </c>
      <c r="E453" s="10">
        <v>5.1388888888888887E-2</v>
      </c>
      <c r="F453" s="15">
        <f t="shared" si="21"/>
        <v>5</v>
      </c>
      <c r="G453" s="10" t="str">
        <f t="shared" si="22"/>
        <v>Tuesday</v>
      </c>
      <c r="H453" s="9" t="str">
        <f t="shared" si="23"/>
        <v>May</v>
      </c>
      <c r="I453" t="s">
        <v>97</v>
      </c>
      <c r="J453" t="s">
        <v>45</v>
      </c>
      <c r="K453">
        <v>7028</v>
      </c>
      <c r="L453" s="5" t="str">
        <f>IF(OR(K453&lt;Answers!$C$16,Orders!K453&gt;Answers!$C$17),"Yes","No")</f>
        <v>No</v>
      </c>
      <c r="M453" s="14">
        <f>VLOOKUP(B453,Customers!$A$1:$E$2501,4,0)</f>
        <v>53</v>
      </c>
    </row>
    <row r="454" spans="1:13" x14ac:dyDescent="0.3">
      <c r="A454">
        <v>319587</v>
      </c>
      <c r="B454">
        <v>1505</v>
      </c>
      <c r="C454" s="1" t="s">
        <v>98</v>
      </c>
      <c r="D454" s="5">
        <v>45199</v>
      </c>
      <c r="E454" s="10">
        <v>36628</v>
      </c>
      <c r="F454" s="15">
        <f t="shared" si="21"/>
        <v>9</v>
      </c>
      <c r="G454" s="10" t="str">
        <f t="shared" si="22"/>
        <v>Saturday</v>
      </c>
      <c r="H454" s="9" t="str">
        <f t="shared" si="23"/>
        <v>September</v>
      </c>
      <c r="I454" t="s">
        <v>95</v>
      </c>
      <c r="J454" t="s">
        <v>81</v>
      </c>
      <c r="K454">
        <v>1648</v>
      </c>
      <c r="L454" s="5" t="str">
        <f>IF(OR(K454&lt;Answers!$C$16,Orders!K454&gt;Answers!$C$17),"Yes","No")</f>
        <v>No</v>
      </c>
      <c r="M454" s="14">
        <f>VLOOKUP(B454,Customers!$A$1:$E$2501,4,0)</f>
        <v>48</v>
      </c>
    </row>
    <row r="455" spans="1:13" x14ac:dyDescent="0.3">
      <c r="A455">
        <v>320251</v>
      </c>
      <c r="B455">
        <v>648</v>
      </c>
      <c r="C455" s="1" t="s">
        <v>103</v>
      </c>
      <c r="D455" s="5">
        <v>45241</v>
      </c>
      <c r="E455" s="10">
        <v>6.9444444444444448E-2</v>
      </c>
      <c r="F455" s="15">
        <f t="shared" si="21"/>
        <v>11</v>
      </c>
      <c r="G455" s="10" t="str">
        <f t="shared" si="22"/>
        <v>Saturday</v>
      </c>
      <c r="H455" s="9" t="str">
        <f t="shared" si="23"/>
        <v>November</v>
      </c>
      <c r="I455" t="s">
        <v>96</v>
      </c>
      <c r="J455" t="s">
        <v>46</v>
      </c>
      <c r="K455">
        <v>8979</v>
      </c>
      <c r="L455" s="5" t="str">
        <f>IF(OR(K455&lt;Answers!$C$16,Orders!K455&gt;Answers!$C$17),"Yes","No")</f>
        <v>No</v>
      </c>
      <c r="M455" s="14">
        <f>VLOOKUP(B455,Customers!$A$1:$E$2501,4,0)</f>
        <v>34</v>
      </c>
    </row>
    <row r="456" spans="1:13" x14ac:dyDescent="0.3">
      <c r="A456">
        <v>320353</v>
      </c>
      <c r="B456">
        <v>173</v>
      </c>
      <c r="C456" s="1" t="s">
        <v>112</v>
      </c>
      <c r="D456" s="5">
        <v>45071</v>
      </c>
      <c r="E456" s="10">
        <v>0.52847222222222223</v>
      </c>
      <c r="F456" s="15">
        <f t="shared" si="21"/>
        <v>5</v>
      </c>
      <c r="G456" s="10" t="str">
        <f t="shared" si="22"/>
        <v>Thursday</v>
      </c>
      <c r="H456" s="9" t="str">
        <f t="shared" si="23"/>
        <v>May</v>
      </c>
      <c r="I456" t="s">
        <v>96</v>
      </c>
      <c r="J456" t="s">
        <v>10</v>
      </c>
      <c r="K456">
        <v>7229</v>
      </c>
      <c r="L456" s="5" t="str">
        <f>IF(OR(K456&lt;Answers!$C$16,Orders!K456&gt;Answers!$C$17),"Yes","No")</f>
        <v>No</v>
      </c>
      <c r="M456" s="14">
        <f>VLOOKUP(B456,Customers!$A$1:$E$2501,4,0)</f>
        <v>59</v>
      </c>
    </row>
    <row r="457" spans="1:13" x14ac:dyDescent="0.3">
      <c r="A457">
        <v>322784</v>
      </c>
      <c r="B457">
        <v>132</v>
      </c>
      <c r="C457" s="1" t="s">
        <v>104</v>
      </c>
      <c r="D457" s="5">
        <v>44928</v>
      </c>
      <c r="E457" s="10">
        <v>0.47291666666666665</v>
      </c>
      <c r="F457" s="15">
        <f t="shared" si="21"/>
        <v>1</v>
      </c>
      <c r="G457" s="10" t="str">
        <f t="shared" si="22"/>
        <v>Monday</v>
      </c>
      <c r="H457" s="9" t="str">
        <f t="shared" si="23"/>
        <v>January</v>
      </c>
      <c r="I457" t="s">
        <v>190</v>
      </c>
      <c r="J457" t="s">
        <v>43</v>
      </c>
      <c r="K457">
        <v>5201</v>
      </c>
      <c r="L457" s="5" t="str">
        <f>IF(OR(K457&lt;Answers!$C$16,Orders!K457&gt;Answers!$C$17),"Yes","No")</f>
        <v>No</v>
      </c>
      <c r="M457" s="14">
        <f>VLOOKUP(B457,Customers!$A$1:$E$2501,4,0)</f>
        <v>50</v>
      </c>
    </row>
    <row r="458" spans="1:13" x14ac:dyDescent="0.3">
      <c r="A458">
        <v>323100</v>
      </c>
      <c r="B458">
        <v>867</v>
      </c>
      <c r="C458" s="1" t="s">
        <v>98</v>
      </c>
      <c r="D458" s="5">
        <v>45075</v>
      </c>
      <c r="E458" s="10">
        <v>0.51041666666666663</v>
      </c>
      <c r="F458" s="15">
        <f t="shared" si="21"/>
        <v>5</v>
      </c>
      <c r="G458" s="10" t="str">
        <f t="shared" si="22"/>
        <v>Monday</v>
      </c>
      <c r="H458" s="9" t="str">
        <f t="shared" si="23"/>
        <v>May</v>
      </c>
      <c r="I458" t="s">
        <v>95</v>
      </c>
      <c r="J458" t="s">
        <v>77</v>
      </c>
      <c r="K458">
        <v>6684</v>
      </c>
      <c r="L458" s="5" t="str">
        <f>IF(OR(K458&lt;Answers!$C$16,Orders!K458&gt;Answers!$C$17),"Yes","No")</f>
        <v>No</v>
      </c>
      <c r="M458" s="14">
        <f>VLOOKUP(B458,Customers!$A$1:$E$2501,4,0)</f>
        <v>76</v>
      </c>
    </row>
    <row r="459" spans="1:13" x14ac:dyDescent="0.3">
      <c r="A459">
        <v>325850</v>
      </c>
      <c r="B459">
        <v>166</v>
      </c>
      <c r="C459" s="1" t="s">
        <v>99</v>
      </c>
      <c r="D459" s="5">
        <v>45055</v>
      </c>
      <c r="E459" s="10">
        <v>0.53263888888888888</v>
      </c>
      <c r="F459" s="15">
        <f t="shared" si="21"/>
        <v>5</v>
      </c>
      <c r="G459" s="10" t="str">
        <f t="shared" si="22"/>
        <v>Tuesday</v>
      </c>
      <c r="H459" s="9" t="str">
        <f t="shared" si="23"/>
        <v>May</v>
      </c>
      <c r="I459" t="s">
        <v>190</v>
      </c>
      <c r="J459" t="s">
        <v>26</v>
      </c>
      <c r="K459">
        <v>7311</v>
      </c>
      <c r="L459" s="5" t="str">
        <f>IF(OR(K459&lt;Answers!$C$16,Orders!K459&gt;Answers!$C$17),"Yes","No")</f>
        <v>No</v>
      </c>
      <c r="M459" s="14">
        <f>VLOOKUP(B459,Customers!$A$1:$E$2501,4,0)</f>
        <v>27</v>
      </c>
    </row>
    <row r="460" spans="1:13" x14ac:dyDescent="0.3">
      <c r="A460">
        <v>325939</v>
      </c>
      <c r="B460">
        <v>1285</v>
      </c>
      <c r="C460" s="1" t="s">
        <v>104</v>
      </c>
      <c r="D460" s="5">
        <v>45284</v>
      </c>
      <c r="E460" s="10">
        <v>0.45347222222222222</v>
      </c>
      <c r="F460" s="15">
        <f t="shared" si="21"/>
        <v>12</v>
      </c>
      <c r="G460" s="10" t="str">
        <f t="shared" si="22"/>
        <v>Sunday</v>
      </c>
      <c r="H460" s="9" t="str">
        <f t="shared" si="23"/>
        <v>December</v>
      </c>
      <c r="I460" t="s">
        <v>190</v>
      </c>
      <c r="J460" t="s">
        <v>72</v>
      </c>
      <c r="K460">
        <v>4569</v>
      </c>
      <c r="L460" s="5" t="str">
        <f>IF(OR(K460&lt;Answers!$C$16,Orders!K460&gt;Answers!$C$17),"Yes","No")</f>
        <v>No</v>
      </c>
      <c r="M460" s="14">
        <f>VLOOKUP(B460,Customers!$A$1:$E$2501,4,0)</f>
        <v>56</v>
      </c>
    </row>
    <row r="461" spans="1:13" x14ac:dyDescent="0.3">
      <c r="A461">
        <v>327243</v>
      </c>
      <c r="B461">
        <v>595</v>
      </c>
      <c r="C461" s="1" t="s">
        <v>98</v>
      </c>
      <c r="D461" s="5">
        <v>45054</v>
      </c>
      <c r="E461" s="10">
        <v>0.53749999999999998</v>
      </c>
      <c r="F461" s="15">
        <f t="shared" si="21"/>
        <v>5</v>
      </c>
      <c r="G461" s="10" t="str">
        <f t="shared" si="22"/>
        <v>Monday</v>
      </c>
      <c r="H461" s="9" t="str">
        <f t="shared" si="23"/>
        <v>May</v>
      </c>
      <c r="I461" t="s">
        <v>95</v>
      </c>
      <c r="J461" t="s">
        <v>47</v>
      </c>
      <c r="K461">
        <v>8969</v>
      </c>
      <c r="L461" s="5" t="str">
        <f>IF(OR(K461&lt;Answers!$C$16,Orders!K461&gt;Answers!$C$17),"Yes","No")</f>
        <v>No</v>
      </c>
      <c r="M461" s="14">
        <f>VLOOKUP(B461,Customers!$A$1:$E$2501,4,0)</f>
        <v>90</v>
      </c>
    </row>
    <row r="462" spans="1:13" x14ac:dyDescent="0.3">
      <c r="A462">
        <v>327268</v>
      </c>
      <c r="B462">
        <v>1038</v>
      </c>
      <c r="C462" s="1" t="s">
        <v>99</v>
      </c>
      <c r="D462" s="5">
        <v>45236</v>
      </c>
      <c r="E462" s="10">
        <v>5.1388888888888887E-2</v>
      </c>
      <c r="F462" s="15">
        <f t="shared" si="21"/>
        <v>11</v>
      </c>
      <c r="G462" s="10" t="str">
        <f t="shared" si="22"/>
        <v>Monday</v>
      </c>
      <c r="H462" s="9" t="str">
        <f t="shared" si="23"/>
        <v>November</v>
      </c>
      <c r="I462" t="s">
        <v>97</v>
      </c>
      <c r="J462" t="s">
        <v>25</v>
      </c>
      <c r="K462">
        <v>6977</v>
      </c>
      <c r="L462" s="5" t="str">
        <f>IF(OR(K462&lt;Answers!$C$16,Orders!K462&gt;Answers!$C$17),"Yes","No")</f>
        <v>No</v>
      </c>
      <c r="M462" s="14">
        <f>VLOOKUP(B462,Customers!$A$1:$E$2501,4,0)</f>
        <v>32</v>
      </c>
    </row>
    <row r="463" spans="1:13" x14ac:dyDescent="0.3">
      <c r="A463">
        <v>328597</v>
      </c>
      <c r="B463">
        <v>221</v>
      </c>
      <c r="C463" s="1" t="s">
        <v>100</v>
      </c>
      <c r="D463" s="5">
        <v>45205</v>
      </c>
      <c r="E463" s="10">
        <v>7.3611111111111113E-2</v>
      </c>
      <c r="F463" s="15">
        <f t="shared" si="21"/>
        <v>10</v>
      </c>
      <c r="G463" s="10" t="str">
        <f t="shared" si="22"/>
        <v>Friday</v>
      </c>
      <c r="H463" s="9" t="str">
        <f t="shared" si="23"/>
        <v>October</v>
      </c>
      <c r="I463" t="s">
        <v>190</v>
      </c>
      <c r="J463" t="s">
        <v>73</v>
      </c>
      <c r="K463">
        <v>5537</v>
      </c>
      <c r="L463" s="5" t="str">
        <f>IF(OR(K463&lt;Answers!$C$16,Orders!K463&gt;Answers!$C$17),"Yes","No")</f>
        <v>No</v>
      </c>
      <c r="M463" s="14">
        <f>VLOOKUP(B463,Customers!$A$1:$E$2501,4,0)</f>
        <v>64</v>
      </c>
    </row>
    <row r="464" spans="1:13" x14ac:dyDescent="0.3">
      <c r="A464">
        <v>329474</v>
      </c>
      <c r="B464">
        <v>1133</v>
      </c>
      <c r="C464" s="1" t="s">
        <v>112</v>
      </c>
      <c r="D464" s="5">
        <v>45268</v>
      </c>
      <c r="E464" s="10">
        <v>0.52222222222222225</v>
      </c>
      <c r="F464" s="15">
        <f t="shared" si="21"/>
        <v>12</v>
      </c>
      <c r="G464" s="10" t="str">
        <f t="shared" si="22"/>
        <v>Friday</v>
      </c>
      <c r="H464" s="9" t="str">
        <f t="shared" si="23"/>
        <v>December</v>
      </c>
      <c r="I464" t="s">
        <v>97</v>
      </c>
      <c r="J464" t="s">
        <v>87</v>
      </c>
      <c r="K464">
        <v>7243</v>
      </c>
      <c r="L464" s="5" t="str">
        <f>IF(OR(K464&lt;Answers!$C$16,Orders!K464&gt;Answers!$C$17),"Yes","No")</f>
        <v>No</v>
      </c>
      <c r="M464" s="14">
        <f>VLOOKUP(B464,Customers!$A$1:$E$2501,4,0)</f>
        <v>59</v>
      </c>
    </row>
    <row r="465" spans="1:13" x14ac:dyDescent="0.3">
      <c r="A465">
        <v>331297</v>
      </c>
      <c r="B465">
        <v>1595</v>
      </c>
      <c r="C465" s="1" t="s">
        <v>98</v>
      </c>
      <c r="D465" s="5">
        <v>45002</v>
      </c>
      <c r="E465" s="10">
        <v>0.51111111111111107</v>
      </c>
      <c r="F465" s="15">
        <f t="shared" si="21"/>
        <v>3</v>
      </c>
      <c r="G465" s="10" t="str">
        <f t="shared" si="22"/>
        <v>Friday</v>
      </c>
      <c r="H465" s="9" t="str">
        <f t="shared" si="23"/>
        <v>March</v>
      </c>
      <c r="I465" t="s">
        <v>96</v>
      </c>
      <c r="J465" t="s">
        <v>72</v>
      </c>
      <c r="K465">
        <v>7756</v>
      </c>
      <c r="L465" s="5" t="str">
        <f>IF(OR(K465&lt;Answers!$C$16,Orders!K465&gt;Answers!$C$17),"Yes","No")</f>
        <v>No</v>
      </c>
      <c r="M465" s="14">
        <f>VLOOKUP(B465,Customers!$A$1:$E$2501,4,0)</f>
        <v>67</v>
      </c>
    </row>
    <row r="466" spans="1:13" x14ac:dyDescent="0.3">
      <c r="A466">
        <v>331797</v>
      </c>
      <c r="B466">
        <v>1190</v>
      </c>
      <c r="C466" s="1" t="s">
        <v>102</v>
      </c>
      <c r="D466" s="5">
        <v>45214</v>
      </c>
      <c r="E466" s="10">
        <v>7.3611111111111113E-2</v>
      </c>
      <c r="F466" s="15">
        <f t="shared" si="21"/>
        <v>10</v>
      </c>
      <c r="G466" s="10" t="str">
        <f t="shared" si="22"/>
        <v>Sunday</v>
      </c>
      <c r="H466" s="9" t="str">
        <f t="shared" si="23"/>
        <v>October</v>
      </c>
      <c r="I466" t="s">
        <v>190</v>
      </c>
      <c r="J466" t="s">
        <v>88</v>
      </c>
      <c r="K466">
        <v>5185</v>
      </c>
      <c r="L466" s="5" t="str">
        <f>IF(OR(K466&lt;Answers!$C$16,Orders!K466&gt;Answers!$C$17),"Yes","No")</f>
        <v>No</v>
      </c>
      <c r="M466" s="14">
        <f>VLOOKUP(B466,Customers!$A$1:$E$2501,4,0)</f>
        <v>50</v>
      </c>
    </row>
    <row r="467" spans="1:13" x14ac:dyDescent="0.3">
      <c r="A467">
        <v>332513</v>
      </c>
      <c r="B467">
        <v>164</v>
      </c>
      <c r="C467" s="1" t="s">
        <v>98</v>
      </c>
      <c r="D467" s="5">
        <v>45002</v>
      </c>
      <c r="E467" s="10">
        <v>5.2777777777777778E-2</v>
      </c>
      <c r="F467" s="15">
        <f t="shared" si="21"/>
        <v>3</v>
      </c>
      <c r="G467" s="10" t="str">
        <f t="shared" si="22"/>
        <v>Friday</v>
      </c>
      <c r="H467" s="9" t="str">
        <f t="shared" si="23"/>
        <v>March</v>
      </c>
      <c r="I467" t="s">
        <v>96</v>
      </c>
      <c r="J467" t="s">
        <v>71</v>
      </c>
      <c r="K467">
        <v>9265</v>
      </c>
      <c r="L467" s="5" t="str">
        <f>IF(OR(K467&lt;Answers!$C$16,Orders!K467&gt;Answers!$C$17),"Yes","No")</f>
        <v>No</v>
      </c>
      <c r="M467" s="14">
        <f>VLOOKUP(B467,Customers!$A$1:$E$2501,4,0)</f>
        <v>36</v>
      </c>
    </row>
    <row r="468" spans="1:13" x14ac:dyDescent="0.3">
      <c r="A468">
        <v>333900</v>
      </c>
      <c r="B468">
        <v>629</v>
      </c>
      <c r="C468" s="1" t="s">
        <v>98</v>
      </c>
      <c r="D468" s="5">
        <v>45242</v>
      </c>
      <c r="E468" s="10">
        <v>36739</v>
      </c>
      <c r="F468" s="15">
        <f t="shared" si="21"/>
        <v>11</v>
      </c>
      <c r="G468" s="10" t="str">
        <f t="shared" si="22"/>
        <v>Sunday</v>
      </c>
      <c r="H468" s="9" t="str">
        <f t="shared" si="23"/>
        <v>November</v>
      </c>
      <c r="I468" t="s">
        <v>95</v>
      </c>
      <c r="J468" t="s">
        <v>24</v>
      </c>
      <c r="K468">
        <v>8694</v>
      </c>
      <c r="L468" s="5" t="str">
        <f>IF(OR(K468&lt;Answers!$C$16,Orders!K468&gt;Answers!$C$17),"Yes","No")</f>
        <v>No</v>
      </c>
      <c r="M468" s="14">
        <f>VLOOKUP(B468,Customers!$A$1:$E$2501,4,0)</f>
        <v>82</v>
      </c>
    </row>
    <row r="469" spans="1:13" x14ac:dyDescent="0.3">
      <c r="A469">
        <v>334028</v>
      </c>
      <c r="B469">
        <v>323</v>
      </c>
      <c r="C469" s="1" t="s">
        <v>99</v>
      </c>
      <c r="D469" s="5">
        <v>45114</v>
      </c>
      <c r="E469" s="10">
        <v>5.6250000000000001E-2</v>
      </c>
      <c r="F469" s="15">
        <f t="shared" si="21"/>
        <v>7</v>
      </c>
      <c r="G469" s="10" t="str">
        <f t="shared" si="22"/>
        <v>Friday</v>
      </c>
      <c r="H469" s="9" t="str">
        <f t="shared" si="23"/>
        <v>July</v>
      </c>
      <c r="I469" t="s">
        <v>96</v>
      </c>
      <c r="J469" t="s">
        <v>48</v>
      </c>
      <c r="K469">
        <v>9365</v>
      </c>
      <c r="L469" s="5" t="str">
        <f>IF(OR(K469&lt;Answers!$C$16,Orders!K469&gt;Answers!$C$17),"Yes","No")</f>
        <v>No</v>
      </c>
      <c r="M469" s="14">
        <f>VLOOKUP(B469,Customers!$A$1:$E$2501,4,0)</f>
        <v>49</v>
      </c>
    </row>
    <row r="470" spans="1:13" x14ac:dyDescent="0.3">
      <c r="A470">
        <v>335011</v>
      </c>
      <c r="B470">
        <v>1188</v>
      </c>
      <c r="C470" s="1" t="s">
        <v>98</v>
      </c>
      <c r="D470" s="5">
        <v>45257</v>
      </c>
      <c r="E470" s="10">
        <v>0.48819444444444443</v>
      </c>
      <c r="F470" s="15">
        <f t="shared" si="21"/>
        <v>11</v>
      </c>
      <c r="G470" s="10" t="str">
        <f t="shared" si="22"/>
        <v>Monday</v>
      </c>
      <c r="H470" s="9" t="str">
        <f t="shared" si="23"/>
        <v>November</v>
      </c>
      <c r="I470" t="s">
        <v>96</v>
      </c>
      <c r="J470" t="s">
        <v>13</v>
      </c>
      <c r="K470">
        <v>4882</v>
      </c>
      <c r="L470" s="5" t="str">
        <f>IF(OR(K470&lt;Answers!$C$16,Orders!K470&gt;Answers!$C$17),"Yes","No")</f>
        <v>No</v>
      </c>
      <c r="M470" s="14">
        <f>VLOOKUP(B470,Customers!$A$1:$E$2501,4,0)</f>
        <v>89</v>
      </c>
    </row>
    <row r="471" spans="1:13" x14ac:dyDescent="0.3">
      <c r="A471">
        <v>336670</v>
      </c>
      <c r="B471">
        <v>1963</v>
      </c>
      <c r="C471" s="1" t="s">
        <v>100</v>
      </c>
      <c r="D471" s="5">
        <v>45116</v>
      </c>
      <c r="E471" s="10">
        <v>5.5555555555555552E-2</v>
      </c>
      <c r="F471" s="15">
        <f t="shared" si="21"/>
        <v>7</v>
      </c>
      <c r="G471" s="10" t="str">
        <f t="shared" si="22"/>
        <v>Sunday</v>
      </c>
      <c r="H471" s="9" t="str">
        <f t="shared" si="23"/>
        <v>July</v>
      </c>
      <c r="I471" t="s">
        <v>97</v>
      </c>
      <c r="J471" t="s">
        <v>5</v>
      </c>
      <c r="K471">
        <v>7178</v>
      </c>
      <c r="L471" s="5" t="str">
        <f>IF(OR(K471&lt;Answers!$C$16,Orders!K471&gt;Answers!$C$17),"Yes","No")</f>
        <v>No</v>
      </c>
      <c r="M471" s="14">
        <f>VLOOKUP(B471,Customers!$A$1:$E$2501,4,0)</f>
        <v>25</v>
      </c>
    </row>
    <row r="472" spans="1:13" x14ac:dyDescent="0.3">
      <c r="A472">
        <v>337678</v>
      </c>
      <c r="B472">
        <v>231</v>
      </c>
      <c r="C472" s="1" t="s">
        <v>98</v>
      </c>
      <c r="D472" s="5">
        <v>45102</v>
      </c>
      <c r="E472" s="10">
        <v>36842</v>
      </c>
      <c r="F472" s="15">
        <f t="shared" si="21"/>
        <v>6</v>
      </c>
      <c r="G472" s="10" t="str">
        <f t="shared" si="22"/>
        <v>Sunday</v>
      </c>
      <c r="H472" s="9" t="str">
        <f t="shared" si="23"/>
        <v>June</v>
      </c>
      <c r="I472" t="s">
        <v>97</v>
      </c>
      <c r="J472" t="s">
        <v>53</v>
      </c>
      <c r="K472">
        <v>6888</v>
      </c>
      <c r="L472" s="5" t="str">
        <f>IF(OR(K472&lt;Answers!$C$16,Orders!K472&gt;Answers!$C$17),"Yes","No")</f>
        <v>No</v>
      </c>
      <c r="M472" s="14">
        <f>VLOOKUP(B472,Customers!$A$1:$E$2501,4,0)</f>
        <v>41</v>
      </c>
    </row>
    <row r="473" spans="1:13" x14ac:dyDescent="0.3">
      <c r="A473">
        <v>338433</v>
      </c>
      <c r="B473">
        <v>1583</v>
      </c>
      <c r="C473" s="1" t="s">
        <v>105</v>
      </c>
      <c r="D473" s="5">
        <v>45066</v>
      </c>
      <c r="E473" s="10">
        <v>0.47986111111111113</v>
      </c>
      <c r="F473" s="15">
        <f t="shared" si="21"/>
        <v>5</v>
      </c>
      <c r="G473" s="10" t="str">
        <f t="shared" si="22"/>
        <v>Saturday</v>
      </c>
      <c r="H473" s="9" t="str">
        <f t="shared" si="23"/>
        <v>May</v>
      </c>
      <c r="I473" t="s">
        <v>190</v>
      </c>
      <c r="J473" t="s">
        <v>19</v>
      </c>
      <c r="K473">
        <v>2588</v>
      </c>
      <c r="L473" s="5" t="str">
        <f>IF(OR(K473&lt;Answers!$C$16,Orders!K473&gt;Answers!$C$17),"Yes","No")</f>
        <v>No</v>
      </c>
      <c r="M473" s="14">
        <f>VLOOKUP(B473,Customers!$A$1:$E$2501,4,0)</f>
        <v>73</v>
      </c>
    </row>
    <row r="474" spans="1:13" x14ac:dyDescent="0.3">
      <c r="A474">
        <v>338722</v>
      </c>
      <c r="B474">
        <v>1401</v>
      </c>
      <c r="C474" s="1" t="s">
        <v>101</v>
      </c>
      <c r="D474" s="5">
        <v>45109</v>
      </c>
      <c r="E474" s="10">
        <v>36617</v>
      </c>
      <c r="F474" s="15">
        <f t="shared" si="21"/>
        <v>7</v>
      </c>
      <c r="G474" s="10" t="str">
        <f t="shared" si="22"/>
        <v>Sunday</v>
      </c>
      <c r="H474" s="9" t="str">
        <f t="shared" si="23"/>
        <v>July</v>
      </c>
      <c r="I474" t="s">
        <v>95</v>
      </c>
      <c r="J474" t="s">
        <v>42</v>
      </c>
      <c r="K474">
        <v>8554</v>
      </c>
      <c r="L474" s="5" t="str">
        <f>IF(OR(K474&lt;Answers!$C$16,Orders!K474&gt;Answers!$C$17),"Yes","No")</f>
        <v>No</v>
      </c>
      <c r="M474" s="14">
        <f>VLOOKUP(B474,Customers!$A$1:$E$2501,4,0)</f>
        <v>53</v>
      </c>
    </row>
    <row r="475" spans="1:13" x14ac:dyDescent="0.3">
      <c r="A475">
        <v>339088</v>
      </c>
      <c r="B475">
        <v>904</v>
      </c>
      <c r="C475" s="1" t="s">
        <v>112</v>
      </c>
      <c r="D475" s="5">
        <v>45138</v>
      </c>
      <c r="E475" s="10">
        <v>0.53402777777777777</v>
      </c>
      <c r="F475" s="15">
        <f t="shared" si="21"/>
        <v>7</v>
      </c>
      <c r="G475" s="10" t="str">
        <f t="shared" si="22"/>
        <v>Monday</v>
      </c>
      <c r="H475" s="9" t="str">
        <f t="shared" si="23"/>
        <v>July</v>
      </c>
      <c r="I475" t="s">
        <v>96</v>
      </c>
      <c r="J475" t="s">
        <v>51</v>
      </c>
      <c r="K475">
        <v>4909</v>
      </c>
      <c r="L475" s="5" t="str">
        <f>IF(OR(K475&lt;Answers!$C$16,Orders!K475&gt;Answers!$C$17),"Yes","No")</f>
        <v>No</v>
      </c>
      <c r="M475" s="14">
        <f>VLOOKUP(B475,Customers!$A$1:$E$2501,4,0)</f>
        <v>34</v>
      </c>
    </row>
    <row r="476" spans="1:13" x14ac:dyDescent="0.3">
      <c r="A476">
        <v>340986</v>
      </c>
      <c r="B476">
        <v>1570</v>
      </c>
      <c r="C476" s="1" t="s">
        <v>98</v>
      </c>
      <c r="D476" s="5">
        <v>45191</v>
      </c>
      <c r="E476" s="10">
        <v>0.48333333333333334</v>
      </c>
      <c r="F476" s="15">
        <f t="shared" si="21"/>
        <v>9</v>
      </c>
      <c r="G476" s="10" t="str">
        <f t="shared" si="22"/>
        <v>Friday</v>
      </c>
      <c r="H476" s="9" t="str">
        <f t="shared" si="23"/>
        <v>September</v>
      </c>
      <c r="I476" t="s">
        <v>190</v>
      </c>
      <c r="J476" t="s">
        <v>22</v>
      </c>
      <c r="K476">
        <v>3502</v>
      </c>
      <c r="L476" s="5" t="str">
        <f>IF(OR(K476&lt;Answers!$C$16,Orders!K476&gt;Answers!$C$17),"Yes","No")</f>
        <v>No</v>
      </c>
      <c r="M476" s="14">
        <f>VLOOKUP(B476,Customers!$A$1:$E$2501,4,0)</f>
        <v>46</v>
      </c>
    </row>
    <row r="477" spans="1:13" x14ac:dyDescent="0.3">
      <c r="A477">
        <v>341171</v>
      </c>
      <c r="B477">
        <v>1438</v>
      </c>
      <c r="C477" s="1" t="s">
        <v>105</v>
      </c>
      <c r="D477" s="5">
        <v>45231</v>
      </c>
      <c r="E477" s="10">
        <v>7.7777777777777779E-2</v>
      </c>
      <c r="F477" s="15">
        <f t="shared" si="21"/>
        <v>11</v>
      </c>
      <c r="G477" s="10" t="str">
        <f t="shared" si="22"/>
        <v>Wednesday</v>
      </c>
      <c r="H477" s="9" t="str">
        <f t="shared" si="23"/>
        <v>November</v>
      </c>
      <c r="I477" t="s">
        <v>96</v>
      </c>
      <c r="J477" t="s">
        <v>14</v>
      </c>
      <c r="K477">
        <v>1596</v>
      </c>
      <c r="L477" s="5" t="str">
        <f>IF(OR(K477&lt;Answers!$C$16,Orders!K477&gt;Answers!$C$17),"Yes","No")</f>
        <v>No</v>
      </c>
      <c r="M477" s="14">
        <f>VLOOKUP(B477,Customers!$A$1:$E$2501,4,0)</f>
        <v>35</v>
      </c>
    </row>
    <row r="478" spans="1:13" x14ac:dyDescent="0.3">
      <c r="A478">
        <v>341522</v>
      </c>
      <c r="B478">
        <v>1268</v>
      </c>
      <c r="C478" s="1" t="s">
        <v>98</v>
      </c>
      <c r="D478" s="5">
        <v>45150</v>
      </c>
      <c r="E478" s="10">
        <v>0.52361111111111114</v>
      </c>
      <c r="F478" s="15">
        <f t="shared" si="21"/>
        <v>8</v>
      </c>
      <c r="G478" s="10" t="str">
        <f t="shared" si="22"/>
        <v>Saturday</v>
      </c>
      <c r="H478" s="9" t="str">
        <f t="shared" si="23"/>
        <v>August</v>
      </c>
      <c r="I478" t="s">
        <v>190</v>
      </c>
      <c r="J478" t="s">
        <v>11</v>
      </c>
      <c r="K478">
        <v>1649</v>
      </c>
      <c r="L478" s="5" t="str">
        <f>IF(OR(K478&lt;Answers!$C$16,Orders!K478&gt;Answers!$C$17),"Yes","No")</f>
        <v>No</v>
      </c>
      <c r="M478" s="14">
        <f>VLOOKUP(B478,Customers!$A$1:$E$2501,4,0)</f>
        <v>48</v>
      </c>
    </row>
    <row r="479" spans="1:13" x14ac:dyDescent="0.3">
      <c r="A479">
        <v>341838</v>
      </c>
      <c r="B479">
        <v>1367</v>
      </c>
      <c r="C479" s="1" t="s">
        <v>106</v>
      </c>
      <c r="D479" s="5">
        <v>45248</v>
      </c>
      <c r="E479" s="10">
        <v>6.7361111111111108E-2</v>
      </c>
      <c r="F479" s="15">
        <f t="shared" si="21"/>
        <v>11</v>
      </c>
      <c r="G479" s="10" t="str">
        <f t="shared" si="22"/>
        <v>Saturday</v>
      </c>
      <c r="H479" s="9" t="str">
        <f t="shared" si="23"/>
        <v>November</v>
      </c>
      <c r="I479" t="s">
        <v>97</v>
      </c>
      <c r="J479" t="s">
        <v>13</v>
      </c>
      <c r="K479">
        <v>7477</v>
      </c>
      <c r="L479" s="5" t="str">
        <f>IF(OR(K479&lt;Answers!$C$16,Orders!K479&gt;Answers!$C$17),"Yes","No")</f>
        <v>No</v>
      </c>
      <c r="M479" s="14">
        <f>VLOOKUP(B479,Customers!$A$1:$E$2501,4,0)</f>
        <v>25</v>
      </c>
    </row>
    <row r="480" spans="1:13" x14ac:dyDescent="0.3">
      <c r="A480">
        <v>341843</v>
      </c>
      <c r="B480">
        <v>1121</v>
      </c>
      <c r="C480" s="1" t="s">
        <v>112</v>
      </c>
      <c r="D480" s="5">
        <v>45075</v>
      </c>
      <c r="E480" s="10">
        <v>36750</v>
      </c>
      <c r="F480" s="15">
        <f t="shared" si="21"/>
        <v>5</v>
      </c>
      <c r="G480" s="10" t="str">
        <f t="shared" si="22"/>
        <v>Monday</v>
      </c>
      <c r="H480" s="9" t="str">
        <f t="shared" si="23"/>
        <v>May</v>
      </c>
      <c r="I480" t="s">
        <v>95</v>
      </c>
      <c r="J480" t="s">
        <v>23</v>
      </c>
      <c r="K480">
        <v>863</v>
      </c>
      <c r="L480" s="5" t="str">
        <f>IF(OR(K480&lt;Answers!$C$16,Orders!K480&gt;Answers!$C$17),"Yes","No")</f>
        <v>No</v>
      </c>
      <c r="M480" s="14">
        <f>VLOOKUP(B480,Customers!$A$1:$E$2501,4,0)</f>
        <v>51</v>
      </c>
    </row>
    <row r="481" spans="1:13" x14ac:dyDescent="0.3">
      <c r="A481">
        <v>342057</v>
      </c>
      <c r="B481">
        <v>1152</v>
      </c>
      <c r="C481" s="1" t="s">
        <v>104</v>
      </c>
      <c r="D481" s="5">
        <v>45081</v>
      </c>
      <c r="E481" s="10">
        <v>0.53680555555555554</v>
      </c>
      <c r="F481" s="15">
        <f t="shared" si="21"/>
        <v>6</v>
      </c>
      <c r="G481" s="10" t="str">
        <f t="shared" si="22"/>
        <v>Sunday</v>
      </c>
      <c r="H481" s="9" t="str">
        <f t="shared" si="23"/>
        <v>June</v>
      </c>
      <c r="I481" t="s">
        <v>95</v>
      </c>
      <c r="J481" t="s">
        <v>85</v>
      </c>
      <c r="K481">
        <v>9941</v>
      </c>
      <c r="L481" s="5" t="str">
        <f>IF(OR(K481&lt;Answers!$C$16,Orders!K481&gt;Answers!$C$17),"Yes","No")</f>
        <v>No</v>
      </c>
      <c r="M481" s="14">
        <f>VLOOKUP(B481,Customers!$A$1:$E$2501,4,0)</f>
        <v>67</v>
      </c>
    </row>
    <row r="482" spans="1:13" x14ac:dyDescent="0.3">
      <c r="A482">
        <v>342826</v>
      </c>
      <c r="B482">
        <v>1486</v>
      </c>
      <c r="C482" s="1" t="s">
        <v>98</v>
      </c>
      <c r="D482" s="5">
        <v>45097</v>
      </c>
      <c r="E482" s="10">
        <v>0.43958333333333333</v>
      </c>
      <c r="F482" s="15">
        <f t="shared" si="21"/>
        <v>6</v>
      </c>
      <c r="G482" s="10" t="str">
        <f t="shared" si="22"/>
        <v>Tuesday</v>
      </c>
      <c r="H482" s="9" t="str">
        <f t="shared" si="23"/>
        <v>June</v>
      </c>
      <c r="I482" t="s">
        <v>95</v>
      </c>
      <c r="J482" t="s">
        <v>7</v>
      </c>
      <c r="K482">
        <v>3861</v>
      </c>
      <c r="L482" s="5" t="str">
        <f>IF(OR(K482&lt;Answers!$C$16,Orders!K482&gt;Answers!$C$17),"Yes","No")</f>
        <v>No</v>
      </c>
      <c r="M482" s="14">
        <f>VLOOKUP(B482,Customers!$A$1:$E$2501,4,0)</f>
        <v>30</v>
      </c>
    </row>
    <row r="483" spans="1:13" x14ac:dyDescent="0.3">
      <c r="A483">
        <v>343003</v>
      </c>
      <c r="B483">
        <v>1880</v>
      </c>
      <c r="C483" s="1" t="s">
        <v>104</v>
      </c>
      <c r="D483" s="5">
        <v>44976</v>
      </c>
      <c r="E483" s="10">
        <v>5.2777777777777778E-2</v>
      </c>
      <c r="F483" s="15">
        <f t="shared" si="21"/>
        <v>2</v>
      </c>
      <c r="G483" s="10" t="str">
        <f t="shared" si="22"/>
        <v>Sunday</v>
      </c>
      <c r="H483" s="9" t="str">
        <f t="shared" si="23"/>
        <v>February</v>
      </c>
      <c r="I483" t="s">
        <v>97</v>
      </c>
      <c r="J483" t="s">
        <v>89</v>
      </c>
      <c r="K483">
        <v>7628</v>
      </c>
      <c r="L483" s="5" t="str">
        <f>IF(OR(K483&lt;Answers!$C$16,Orders!K483&gt;Answers!$C$17),"Yes","No")</f>
        <v>No</v>
      </c>
      <c r="M483" s="14">
        <f>VLOOKUP(B483,Customers!$A$1:$E$2501,4,0)</f>
        <v>73</v>
      </c>
    </row>
    <row r="484" spans="1:13" x14ac:dyDescent="0.3">
      <c r="A484">
        <v>344182</v>
      </c>
      <c r="B484">
        <v>519</v>
      </c>
      <c r="C484" s="1" t="s">
        <v>99</v>
      </c>
      <c r="D484" s="5">
        <v>45127</v>
      </c>
      <c r="E484" s="10">
        <v>36770</v>
      </c>
      <c r="F484" s="15">
        <f t="shared" si="21"/>
        <v>7</v>
      </c>
      <c r="G484" s="10" t="str">
        <f t="shared" si="22"/>
        <v>Thursday</v>
      </c>
      <c r="H484" s="9" t="str">
        <f t="shared" si="23"/>
        <v>July</v>
      </c>
      <c r="I484" t="s">
        <v>95</v>
      </c>
      <c r="J484" t="s">
        <v>42</v>
      </c>
      <c r="K484">
        <v>9637</v>
      </c>
      <c r="L484" s="5" t="str">
        <f>IF(OR(K484&lt;Answers!$C$16,Orders!K484&gt;Answers!$C$17),"Yes","No")</f>
        <v>No</v>
      </c>
      <c r="M484" s="14">
        <f>VLOOKUP(B484,Customers!$A$1:$E$2501,4,0)</f>
        <v>70</v>
      </c>
    </row>
    <row r="485" spans="1:13" x14ac:dyDescent="0.3">
      <c r="A485">
        <v>347036</v>
      </c>
      <c r="B485">
        <v>1424</v>
      </c>
      <c r="C485" s="1" t="s">
        <v>104</v>
      </c>
      <c r="D485" s="5">
        <v>44971</v>
      </c>
      <c r="E485" s="10">
        <v>0.44930555555555557</v>
      </c>
      <c r="F485" s="15">
        <f t="shared" si="21"/>
        <v>2</v>
      </c>
      <c r="G485" s="10" t="str">
        <f t="shared" si="22"/>
        <v>Tuesday</v>
      </c>
      <c r="H485" s="9" t="str">
        <f t="shared" si="23"/>
        <v>February</v>
      </c>
      <c r="I485" t="s">
        <v>97</v>
      </c>
      <c r="J485" t="s">
        <v>90</v>
      </c>
      <c r="K485">
        <v>1632</v>
      </c>
      <c r="L485" s="5" t="str">
        <f>IF(OR(K485&lt;Answers!$C$16,Orders!K485&gt;Answers!$C$17),"Yes","No")</f>
        <v>No</v>
      </c>
      <c r="M485" s="14">
        <f>VLOOKUP(B485,Customers!$A$1:$E$2501,4,0)</f>
        <v>39</v>
      </c>
    </row>
    <row r="486" spans="1:13" x14ac:dyDescent="0.3">
      <c r="A486">
        <v>347243</v>
      </c>
      <c r="B486">
        <v>470</v>
      </c>
      <c r="C486" s="1" t="s">
        <v>98</v>
      </c>
      <c r="D486" s="5">
        <v>45079</v>
      </c>
      <c r="E486" s="10">
        <v>0.4909722222222222</v>
      </c>
      <c r="F486" s="15">
        <f t="shared" si="21"/>
        <v>6</v>
      </c>
      <c r="G486" s="10" t="str">
        <f t="shared" si="22"/>
        <v>Friday</v>
      </c>
      <c r="H486" s="9" t="str">
        <f t="shared" si="23"/>
        <v>June</v>
      </c>
      <c r="I486" t="s">
        <v>97</v>
      </c>
      <c r="J486" t="s">
        <v>26</v>
      </c>
      <c r="K486">
        <v>5127</v>
      </c>
      <c r="L486" s="5" t="str">
        <f>IF(OR(K486&lt;Answers!$C$16,Orders!K486&gt;Answers!$C$17),"Yes","No")</f>
        <v>No</v>
      </c>
      <c r="M486" s="14">
        <f>VLOOKUP(B486,Customers!$A$1:$E$2501,4,0)</f>
        <v>32</v>
      </c>
    </row>
    <row r="487" spans="1:13" x14ac:dyDescent="0.3">
      <c r="A487">
        <v>347273</v>
      </c>
      <c r="B487">
        <v>654</v>
      </c>
      <c r="C487" s="1" t="s">
        <v>99</v>
      </c>
      <c r="D487" s="5">
        <v>45085</v>
      </c>
      <c r="E487" s="10">
        <v>0.51249999999999996</v>
      </c>
      <c r="F487" s="15">
        <f t="shared" si="21"/>
        <v>6</v>
      </c>
      <c r="G487" s="10" t="str">
        <f t="shared" si="22"/>
        <v>Thursday</v>
      </c>
      <c r="H487" s="9" t="str">
        <f t="shared" si="23"/>
        <v>June</v>
      </c>
      <c r="I487" t="s">
        <v>95</v>
      </c>
      <c r="J487" t="s">
        <v>35</v>
      </c>
      <c r="K487">
        <v>9105</v>
      </c>
      <c r="L487" s="5" t="str">
        <f>IF(OR(K487&lt;Answers!$C$16,Orders!K487&gt;Answers!$C$17),"Yes","No")</f>
        <v>No</v>
      </c>
      <c r="M487" s="14">
        <f>VLOOKUP(B487,Customers!$A$1:$E$2501,4,0)</f>
        <v>51</v>
      </c>
    </row>
    <row r="488" spans="1:13" x14ac:dyDescent="0.3">
      <c r="A488">
        <v>347302</v>
      </c>
      <c r="B488">
        <v>1997</v>
      </c>
      <c r="C488" s="1" t="s">
        <v>104</v>
      </c>
      <c r="D488" s="5">
        <v>44962</v>
      </c>
      <c r="E488" s="10">
        <v>36872</v>
      </c>
      <c r="F488" s="15">
        <f t="shared" si="21"/>
        <v>2</v>
      </c>
      <c r="G488" s="10" t="str">
        <f t="shared" si="22"/>
        <v>Sunday</v>
      </c>
      <c r="H488" s="9" t="str">
        <f t="shared" si="23"/>
        <v>February</v>
      </c>
      <c r="I488" t="s">
        <v>190</v>
      </c>
      <c r="J488" t="s">
        <v>33</v>
      </c>
      <c r="K488">
        <v>4850</v>
      </c>
      <c r="L488" s="5" t="str">
        <f>IF(OR(K488&lt;Answers!$C$16,Orders!K488&gt;Answers!$C$17),"Yes","No")</f>
        <v>No</v>
      </c>
      <c r="M488" s="14">
        <f>VLOOKUP(B488,Customers!$A$1:$E$2501,4,0)</f>
        <v>79</v>
      </c>
    </row>
    <row r="489" spans="1:13" x14ac:dyDescent="0.3">
      <c r="A489">
        <v>347767</v>
      </c>
      <c r="B489">
        <v>299</v>
      </c>
      <c r="C489" s="1" t="s">
        <v>112</v>
      </c>
      <c r="D489" s="5">
        <v>45182</v>
      </c>
      <c r="E489" s="10">
        <v>0.48680555555555555</v>
      </c>
      <c r="F489" s="15">
        <f t="shared" si="21"/>
        <v>9</v>
      </c>
      <c r="G489" s="10" t="str">
        <f t="shared" si="22"/>
        <v>Wednesday</v>
      </c>
      <c r="H489" s="9" t="str">
        <f t="shared" si="23"/>
        <v>September</v>
      </c>
      <c r="I489" t="s">
        <v>96</v>
      </c>
      <c r="J489" t="s">
        <v>26</v>
      </c>
      <c r="K489">
        <v>6931</v>
      </c>
      <c r="L489" s="5" t="str">
        <f>IF(OR(K489&lt;Answers!$C$16,Orders!K489&gt;Answers!$C$17),"Yes","No")</f>
        <v>No</v>
      </c>
      <c r="M489" s="14">
        <f>VLOOKUP(B489,Customers!$A$1:$E$2501,4,0)</f>
        <v>58</v>
      </c>
    </row>
    <row r="490" spans="1:13" x14ac:dyDescent="0.3">
      <c r="A490">
        <v>348694</v>
      </c>
      <c r="B490">
        <v>1726</v>
      </c>
      <c r="C490" s="1" t="s">
        <v>104</v>
      </c>
      <c r="D490" s="5">
        <v>45071</v>
      </c>
      <c r="E490" s="10">
        <v>0.10347222222222222</v>
      </c>
      <c r="F490" s="15">
        <f t="shared" si="21"/>
        <v>5</v>
      </c>
      <c r="G490" s="10" t="str">
        <f t="shared" si="22"/>
        <v>Thursday</v>
      </c>
      <c r="H490" s="9" t="str">
        <f t="shared" si="23"/>
        <v>May</v>
      </c>
      <c r="I490" t="s">
        <v>190</v>
      </c>
      <c r="J490" t="s">
        <v>51</v>
      </c>
      <c r="K490">
        <v>4572</v>
      </c>
      <c r="L490" s="5" t="str">
        <f>IF(OR(K490&lt;Answers!$C$16,Orders!K490&gt;Answers!$C$17),"Yes","No")</f>
        <v>No</v>
      </c>
      <c r="M490" s="14">
        <f>VLOOKUP(B490,Customers!$A$1:$E$2501,4,0)</f>
        <v>36</v>
      </c>
    </row>
    <row r="491" spans="1:13" x14ac:dyDescent="0.3">
      <c r="A491">
        <v>349131</v>
      </c>
      <c r="B491">
        <v>1664</v>
      </c>
      <c r="C491" s="1" t="s">
        <v>98</v>
      </c>
      <c r="D491" s="5">
        <v>45115</v>
      </c>
      <c r="E491" s="10">
        <v>0.49791666666666667</v>
      </c>
      <c r="F491" s="15">
        <f t="shared" si="21"/>
        <v>7</v>
      </c>
      <c r="G491" s="10" t="str">
        <f t="shared" si="22"/>
        <v>Saturday</v>
      </c>
      <c r="H491" s="9" t="str">
        <f t="shared" si="23"/>
        <v>July</v>
      </c>
      <c r="I491" t="s">
        <v>95</v>
      </c>
      <c r="J491" t="s">
        <v>39</v>
      </c>
      <c r="K491">
        <v>7000</v>
      </c>
      <c r="L491" s="5" t="str">
        <f>IF(OR(K491&lt;Answers!$C$16,Orders!K491&gt;Answers!$C$17),"Yes","No")</f>
        <v>No</v>
      </c>
      <c r="M491" s="14">
        <f>VLOOKUP(B491,Customers!$A$1:$E$2501,4,0)</f>
        <v>27</v>
      </c>
    </row>
    <row r="492" spans="1:13" x14ac:dyDescent="0.3">
      <c r="A492">
        <v>350253</v>
      </c>
      <c r="B492">
        <v>1752</v>
      </c>
      <c r="C492" s="1" t="s">
        <v>100</v>
      </c>
      <c r="D492" s="5">
        <v>45156</v>
      </c>
      <c r="E492" s="10">
        <v>0.4548611111111111</v>
      </c>
      <c r="F492" s="15">
        <f t="shared" si="21"/>
        <v>8</v>
      </c>
      <c r="G492" s="10" t="str">
        <f t="shared" si="22"/>
        <v>Friday</v>
      </c>
      <c r="H492" s="9" t="str">
        <f t="shared" si="23"/>
        <v>August</v>
      </c>
      <c r="I492" t="s">
        <v>95</v>
      </c>
      <c r="J492" t="s">
        <v>10</v>
      </c>
      <c r="K492">
        <v>9824</v>
      </c>
      <c r="L492" s="5" t="str">
        <f>IF(OR(K492&lt;Answers!$C$16,Orders!K492&gt;Answers!$C$17),"Yes","No")</f>
        <v>No</v>
      </c>
      <c r="M492" s="14">
        <f>VLOOKUP(B492,Customers!$A$1:$E$2501,4,0)</f>
        <v>50</v>
      </c>
    </row>
    <row r="493" spans="1:13" x14ac:dyDescent="0.3">
      <c r="A493">
        <v>352076</v>
      </c>
      <c r="B493">
        <v>393</v>
      </c>
      <c r="C493" s="1" t="s">
        <v>112</v>
      </c>
      <c r="D493" s="5">
        <v>45011</v>
      </c>
      <c r="E493" s="10">
        <v>0.49722222222222223</v>
      </c>
      <c r="F493" s="15">
        <f t="shared" si="21"/>
        <v>3</v>
      </c>
      <c r="G493" s="10" t="str">
        <f t="shared" si="22"/>
        <v>Sunday</v>
      </c>
      <c r="H493" s="9" t="str">
        <f t="shared" si="23"/>
        <v>March</v>
      </c>
      <c r="I493" t="s">
        <v>96</v>
      </c>
      <c r="J493" t="s">
        <v>41</v>
      </c>
      <c r="K493">
        <v>4290</v>
      </c>
      <c r="L493" s="5" t="str">
        <f>IF(OR(K493&lt;Answers!$C$16,Orders!K493&gt;Answers!$C$17),"Yes","No")</f>
        <v>No</v>
      </c>
      <c r="M493" s="14">
        <f>VLOOKUP(B493,Customers!$A$1:$E$2501,4,0)</f>
        <v>19</v>
      </c>
    </row>
    <row r="494" spans="1:13" x14ac:dyDescent="0.3">
      <c r="A494">
        <v>353096</v>
      </c>
      <c r="B494">
        <v>1590</v>
      </c>
      <c r="C494" s="1" t="s">
        <v>105</v>
      </c>
      <c r="D494" s="5">
        <v>45124</v>
      </c>
      <c r="E494" s="10">
        <v>0.53194444444444444</v>
      </c>
      <c r="F494" s="15">
        <f t="shared" si="21"/>
        <v>7</v>
      </c>
      <c r="G494" s="10" t="str">
        <f t="shared" si="22"/>
        <v>Monday</v>
      </c>
      <c r="H494" s="9" t="str">
        <f t="shared" si="23"/>
        <v>July</v>
      </c>
      <c r="I494" t="s">
        <v>97</v>
      </c>
      <c r="J494" t="s">
        <v>42</v>
      </c>
      <c r="K494">
        <v>8163</v>
      </c>
      <c r="L494" s="5" t="str">
        <f>IF(OR(K494&lt;Answers!$C$16,Orders!K494&gt;Answers!$C$17),"Yes","No")</f>
        <v>No</v>
      </c>
      <c r="M494" s="14">
        <f>VLOOKUP(B494,Customers!$A$1:$E$2501,4,0)</f>
        <v>69</v>
      </c>
    </row>
    <row r="495" spans="1:13" x14ac:dyDescent="0.3">
      <c r="A495">
        <v>353572</v>
      </c>
      <c r="B495">
        <v>1346</v>
      </c>
      <c r="C495" s="1" t="s">
        <v>98</v>
      </c>
      <c r="D495" s="5">
        <v>44981</v>
      </c>
      <c r="E495" s="10">
        <v>0.48333333333333334</v>
      </c>
      <c r="F495" s="15">
        <f t="shared" si="21"/>
        <v>2</v>
      </c>
      <c r="G495" s="10" t="str">
        <f t="shared" si="22"/>
        <v>Friday</v>
      </c>
      <c r="H495" s="9" t="str">
        <f t="shared" si="23"/>
        <v>February</v>
      </c>
      <c r="I495" t="s">
        <v>190</v>
      </c>
      <c r="J495" t="s">
        <v>43</v>
      </c>
      <c r="K495">
        <v>4976</v>
      </c>
      <c r="L495" s="5" t="str">
        <f>IF(OR(K495&lt;Answers!$C$16,Orders!K495&gt;Answers!$C$17),"Yes","No")</f>
        <v>No</v>
      </c>
      <c r="M495" s="14">
        <f>VLOOKUP(B495,Customers!$A$1:$E$2501,4,0)</f>
        <v>81</v>
      </c>
    </row>
    <row r="496" spans="1:13" x14ac:dyDescent="0.3">
      <c r="A496">
        <v>353582</v>
      </c>
      <c r="B496">
        <v>1948</v>
      </c>
      <c r="C496" s="1" t="s">
        <v>98</v>
      </c>
      <c r="D496" s="5">
        <v>45269</v>
      </c>
      <c r="E496" s="10">
        <v>0.49930555555555556</v>
      </c>
      <c r="F496" s="15">
        <f t="shared" si="21"/>
        <v>12</v>
      </c>
      <c r="G496" s="10" t="str">
        <f t="shared" si="22"/>
        <v>Saturday</v>
      </c>
      <c r="H496" s="9" t="str">
        <f t="shared" si="23"/>
        <v>December</v>
      </c>
      <c r="I496" t="s">
        <v>95</v>
      </c>
      <c r="J496" t="s">
        <v>80</v>
      </c>
      <c r="K496">
        <v>5138</v>
      </c>
      <c r="L496" s="5" t="str">
        <f>IF(OR(K496&lt;Answers!$C$16,Orders!K496&gt;Answers!$C$17),"Yes","No")</f>
        <v>No</v>
      </c>
      <c r="M496" s="14">
        <f>VLOOKUP(B496,Customers!$A$1:$E$2501,4,0)</f>
        <v>79</v>
      </c>
    </row>
    <row r="497" spans="1:13" x14ac:dyDescent="0.3">
      <c r="A497">
        <v>354439</v>
      </c>
      <c r="B497">
        <v>1014</v>
      </c>
      <c r="C497" s="1" t="s">
        <v>112</v>
      </c>
      <c r="D497" s="5">
        <v>44930</v>
      </c>
      <c r="E497" s="10">
        <v>0.52013888888888893</v>
      </c>
      <c r="F497" s="15">
        <f t="shared" si="21"/>
        <v>1</v>
      </c>
      <c r="G497" s="10" t="str">
        <f t="shared" si="22"/>
        <v>Wednesday</v>
      </c>
      <c r="H497" s="9" t="str">
        <f t="shared" si="23"/>
        <v>January</v>
      </c>
      <c r="I497" t="s">
        <v>95</v>
      </c>
      <c r="J497" t="s">
        <v>87</v>
      </c>
      <c r="K497">
        <v>2885</v>
      </c>
      <c r="L497" s="5" t="str">
        <f>IF(OR(K497&lt;Answers!$C$16,Orders!K497&gt;Answers!$C$17),"Yes","No")</f>
        <v>No</v>
      </c>
      <c r="M497" s="14">
        <f>VLOOKUP(B497,Customers!$A$1:$E$2501,4,0)</f>
        <v>69</v>
      </c>
    </row>
    <row r="498" spans="1:13" x14ac:dyDescent="0.3">
      <c r="A498">
        <v>354532</v>
      </c>
      <c r="B498">
        <v>419</v>
      </c>
      <c r="C498" s="1" t="s">
        <v>99</v>
      </c>
      <c r="D498" s="5">
        <v>45251</v>
      </c>
      <c r="E498" s="10">
        <v>4.1666666666666664E-2</v>
      </c>
      <c r="F498" s="15">
        <f t="shared" si="21"/>
        <v>11</v>
      </c>
      <c r="G498" s="10" t="str">
        <f t="shared" si="22"/>
        <v>Tuesday</v>
      </c>
      <c r="H498" s="9" t="str">
        <f t="shared" si="23"/>
        <v>November</v>
      </c>
      <c r="I498" t="s">
        <v>96</v>
      </c>
      <c r="J498" t="s">
        <v>5</v>
      </c>
      <c r="K498">
        <v>1673</v>
      </c>
      <c r="L498" s="5" t="str">
        <f>IF(OR(K498&lt;Answers!$C$16,Orders!K498&gt;Answers!$C$17),"Yes","No")</f>
        <v>No</v>
      </c>
      <c r="M498" s="14">
        <f>VLOOKUP(B498,Customers!$A$1:$E$2501,4,0)</f>
        <v>66</v>
      </c>
    </row>
    <row r="499" spans="1:13" x14ac:dyDescent="0.3">
      <c r="A499">
        <v>356612</v>
      </c>
      <c r="B499">
        <v>1636</v>
      </c>
      <c r="C499" s="1" t="s">
        <v>103</v>
      </c>
      <c r="D499" s="5">
        <v>45260</v>
      </c>
      <c r="E499" s="10">
        <v>0.51666666666666672</v>
      </c>
      <c r="F499" s="15">
        <f t="shared" si="21"/>
        <v>11</v>
      </c>
      <c r="G499" s="10" t="str">
        <f t="shared" si="22"/>
        <v>Thursday</v>
      </c>
      <c r="H499" s="9" t="str">
        <f t="shared" si="23"/>
        <v>November</v>
      </c>
      <c r="I499" t="s">
        <v>190</v>
      </c>
      <c r="J499" t="s">
        <v>44</v>
      </c>
      <c r="K499">
        <v>4576</v>
      </c>
      <c r="L499" s="5" t="str">
        <f>IF(OR(K499&lt;Answers!$C$16,Orders!K499&gt;Answers!$C$17),"Yes","No")</f>
        <v>No</v>
      </c>
      <c r="M499" s="14">
        <f>VLOOKUP(B499,Customers!$A$1:$E$2501,4,0)</f>
        <v>20</v>
      </c>
    </row>
    <row r="500" spans="1:13" x14ac:dyDescent="0.3">
      <c r="A500">
        <v>360154</v>
      </c>
      <c r="B500">
        <v>638</v>
      </c>
      <c r="C500" s="1" t="s">
        <v>99</v>
      </c>
      <c r="D500" s="5">
        <v>45070</v>
      </c>
      <c r="E500" s="10">
        <v>0.53472222222222221</v>
      </c>
      <c r="F500" s="15">
        <f t="shared" si="21"/>
        <v>5</v>
      </c>
      <c r="G500" s="10" t="str">
        <f t="shared" si="22"/>
        <v>Wednesday</v>
      </c>
      <c r="H500" s="9" t="str">
        <f t="shared" si="23"/>
        <v>May</v>
      </c>
      <c r="I500" t="s">
        <v>95</v>
      </c>
      <c r="J500" t="s">
        <v>26</v>
      </c>
      <c r="K500">
        <v>9618</v>
      </c>
      <c r="L500" s="5" t="str">
        <f>IF(OR(K500&lt;Answers!$C$16,Orders!K500&gt;Answers!$C$17),"Yes","No")</f>
        <v>No</v>
      </c>
      <c r="M500" s="14">
        <f>VLOOKUP(B500,Customers!$A$1:$E$2501,4,0)</f>
        <v>65</v>
      </c>
    </row>
    <row r="501" spans="1:13" x14ac:dyDescent="0.3">
      <c r="A501">
        <v>361590</v>
      </c>
      <c r="B501">
        <v>1452</v>
      </c>
      <c r="C501" s="1" t="s">
        <v>99</v>
      </c>
      <c r="D501" s="5">
        <v>45223</v>
      </c>
      <c r="E501" s="10">
        <v>0.47152777777777777</v>
      </c>
      <c r="F501" s="15">
        <f t="shared" si="21"/>
        <v>10</v>
      </c>
      <c r="G501" s="10" t="str">
        <f t="shared" si="22"/>
        <v>Tuesday</v>
      </c>
      <c r="H501" s="9" t="str">
        <f t="shared" si="23"/>
        <v>October</v>
      </c>
      <c r="I501" t="s">
        <v>190</v>
      </c>
      <c r="J501" t="s">
        <v>45</v>
      </c>
      <c r="K501">
        <v>2425</v>
      </c>
      <c r="L501" s="5" t="str">
        <f>IF(OR(K501&lt;Answers!$C$16,Orders!K501&gt;Answers!$C$17),"Yes","No")</f>
        <v>No</v>
      </c>
      <c r="M501" s="14">
        <f>VLOOKUP(B501,Customers!$A$1:$E$2501,4,0)</f>
        <v>22</v>
      </c>
    </row>
    <row r="502" spans="1:13" x14ac:dyDescent="0.3">
      <c r="A502">
        <v>361964</v>
      </c>
      <c r="B502">
        <v>147</v>
      </c>
      <c r="C502" s="1" t="s">
        <v>98</v>
      </c>
      <c r="D502" s="5">
        <v>44977</v>
      </c>
      <c r="E502" s="10">
        <v>0.52500000000000002</v>
      </c>
      <c r="F502" s="15">
        <f t="shared" si="21"/>
        <v>2</v>
      </c>
      <c r="G502" s="10" t="str">
        <f t="shared" si="22"/>
        <v>Monday</v>
      </c>
      <c r="H502" s="9" t="str">
        <f t="shared" si="23"/>
        <v>February</v>
      </c>
      <c r="I502" t="s">
        <v>96</v>
      </c>
      <c r="J502" t="s">
        <v>21</v>
      </c>
      <c r="K502">
        <v>2602</v>
      </c>
      <c r="L502" s="5" t="str">
        <f>IF(OR(K502&lt;Answers!$C$16,Orders!K502&gt;Answers!$C$17),"Yes","No")</f>
        <v>No</v>
      </c>
      <c r="M502" s="14">
        <f>VLOOKUP(B502,Customers!$A$1:$E$2501,4,0)</f>
        <v>29</v>
      </c>
    </row>
    <row r="503" spans="1:13" x14ac:dyDescent="0.3">
      <c r="A503">
        <v>362049</v>
      </c>
      <c r="B503">
        <v>1594</v>
      </c>
      <c r="C503" s="1" t="s">
        <v>100</v>
      </c>
      <c r="D503" s="5">
        <v>44983</v>
      </c>
      <c r="E503" s="10">
        <v>6.1805555555555558E-2</v>
      </c>
      <c r="F503" s="15">
        <f t="shared" si="21"/>
        <v>2</v>
      </c>
      <c r="G503" s="10" t="str">
        <f t="shared" si="22"/>
        <v>Sunday</v>
      </c>
      <c r="H503" s="9" t="str">
        <f t="shared" si="23"/>
        <v>February</v>
      </c>
      <c r="I503" t="s">
        <v>95</v>
      </c>
      <c r="J503" t="s">
        <v>14</v>
      </c>
      <c r="K503">
        <v>4382</v>
      </c>
      <c r="L503" s="5" t="str">
        <f>IF(OR(K503&lt;Answers!$C$16,Orders!K503&gt;Answers!$C$17),"Yes","No")</f>
        <v>No</v>
      </c>
      <c r="M503" s="14">
        <f>VLOOKUP(B503,Customers!$A$1:$E$2501,4,0)</f>
        <v>27</v>
      </c>
    </row>
    <row r="504" spans="1:13" x14ac:dyDescent="0.3">
      <c r="A504">
        <v>363155</v>
      </c>
      <c r="B504">
        <v>416</v>
      </c>
      <c r="C504" s="1" t="s">
        <v>112</v>
      </c>
      <c r="D504" s="5">
        <v>44945</v>
      </c>
      <c r="E504" s="10">
        <v>0.53888888888888886</v>
      </c>
      <c r="F504" s="15">
        <f t="shared" si="21"/>
        <v>1</v>
      </c>
      <c r="G504" s="10" t="str">
        <f t="shared" si="22"/>
        <v>Thursday</v>
      </c>
      <c r="H504" s="9" t="str">
        <f t="shared" si="23"/>
        <v>January</v>
      </c>
      <c r="I504" t="s">
        <v>190</v>
      </c>
      <c r="J504" t="s">
        <v>11</v>
      </c>
      <c r="K504">
        <v>3033</v>
      </c>
      <c r="L504" s="5" t="str">
        <f>IF(OR(K504&lt;Answers!$C$16,Orders!K504&gt;Answers!$C$17),"Yes","No")</f>
        <v>No</v>
      </c>
      <c r="M504" s="14">
        <f>VLOOKUP(B504,Customers!$A$1:$E$2501,4,0)</f>
        <v>64</v>
      </c>
    </row>
    <row r="505" spans="1:13" x14ac:dyDescent="0.3">
      <c r="A505">
        <v>363439</v>
      </c>
      <c r="B505">
        <v>1150</v>
      </c>
      <c r="C505" s="1" t="s">
        <v>98</v>
      </c>
      <c r="D505" s="5">
        <v>45120</v>
      </c>
      <c r="E505" s="10">
        <v>0.49166666666666664</v>
      </c>
      <c r="F505" s="15">
        <f t="shared" si="21"/>
        <v>7</v>
      </c>
      <c r="G505" s="10" t="str">
        <f t="shared" si="22"/>
        <v>Thursday</v>
      </c>
      <c r="H505" s="9" t="str">
        <f t="shared" si="23"/>
        <v>July</v>
      </c>
      <c r="I505" t="s">
        <v>97</v>
      </c>
      <c r="J505" t="s">
        <v>28</v>
      </c>
      <c r="K505">
        <v>8067</v>
      </c>
      <c r="L505" s="5" t="str">
        <f>IF(OR(K505&lt;Answers!$C$16,Orders!K505&gt;Answers!$C$17),"Yes","No")</f>
        <v>No</v>
      </c>
      <c r="M505" s="14">
        <f>VLOOKUP(B505,Customers!$A$1:$E$2501,4,0)</f>
        <v>77</v>
      </c>
    </row>
    <row r="506" spans="1:13" x14ac:dyDescent="0.3">
      <c r="A506">
        <v>363764</v>
      </c>
      <c r="B506">
        <v>927</v>
      </c>
      <c r="C506" s="1" t="s">
        <v>112</v>
      </c>
      <c r="D506" s="5">
        <v>45097</v>
      </c>
      <c r="E506" s="10">
        <v>0.51597222222222228</v>
      </c>
      <c r="F506" s="15">
        <f t="shared" si="21"/>
        <v>6</v>
      </c>
      <c r="G506" s="10" t="str">
        <f t="shared" si="22"/>
        <v>Tuesday</v>
      </c>
      <c r="H506" s="9" t="str">
        <f t="shared" si="23"/>
        <v>June</v>
      </c>
      <c r="I506" t="s">
        <v>97</v>
      </c>
      <c r="J506" t="s">
        <v>23</v>
      </c>
      <c r="K506">
        <v>6014</v>
      </c>
      <c r="L506" s="5" t="str">
        <f>IF(OR(K506&lt;Answers!$C$16,Orders!K506&gt;Answers!$C$17),"Yes","No")</f>
        <v>No</v>
      </c>
      <c r="M506" s="14">
        <f>VLOOKUP(B506,Customers!$A$1:$E$2501,4,0)</f>
        <v>77</v>
      </c>
    </row>
    <row r="507" spans="1:13" x14ac:dyDescent="0.3">
      <c r="A507">
        <v>364332</v>
      </c>
      <c r="B507">
        <v>1169</v>
      </c>
      <c r="C507" s="1" t="s">
        <v>99</v>
      </c>
      <c r="D507" s="5">
        <v>44981</v>
      </c>
      <c r="E507" s="10">
        <v>4.1666666666666664E-2</v>
      </c>
      <c r="F507" s="15">
        <f t="shared" si="21"/>
        <v>2</v>
      </c>
      <c r="G507" s="10" t="str">
        <f t="shared" si="22"/>
        <v>Friday</v>
      </c>
      <c r="H507" s="9" t="str">
        <f t="shared" si="23"/>
        <v>February</v>
      </c>
      <c r="I507" t="s">
        <v>95</v>
      </c>
      <c r="J507" t="s">
        <v>85</v>
      </c>
      <c r="K507">
        <v>6539</v>
      </c>
      <c r="L507" s="5" t="str">
        <f>IF(OR(K507&lt;Answers!$C$16,Orders!K507&gt;Answers!$C$17),"Yes","No")</f>
        <v>No</v>
      </c>
      <c r="M507" s="14">
        <f>VLOOKUP(B507,Customers!$A$1:$E$2501,4,0)</f>
        <v>26</v>
      </c>
    </row>
    <row r="508" spans="1:13" x14ac:dyDescent="0.3">
      <c r="A508">
        <v>365101</v>
      </c>
      <c r="B508">
        <v>1475</v>
      </c>
      <c r="C508" s="1" t="s">
        <v>104</v>
      </c>
      <c r="D508" s="5">
        <v>44971</v>
      </c>
      <c r="E508" s="10">
        <v>36627</v>
      </c>
      <c r="F508" s="15">
        <f t="shared" si="21"/>
        <v>2</v>
      </c>
      <c r="G508" s="10" t="str">
        <f t="shared" si="22"/>
        <v>Tuesday</v>
      </c>
      <c r="H508" s="9" t="str">
        <f t="shared" si="23"/>
        <v>February</v>
      </c>
      <c r="I508" t="s">
        <v>96</v>
      </c>
      <c r="J508" t="s">
        <v>7</v>
      </c>
      <c r="K508">
        <v>433</v>
      </c>
      <c r="L508" s="5" t="str">
        <f>IF(OR(K508&lt;Answers!$C$16,Orders!K508&gt;Answers!$C$17),"Yes","No")</f>
        <v>No</v>
      </c>
      <c r="M508" s="14">
        <f>VLOOKUP(B508,Customers!$A$1:$E$2501,4,0)</f>
        <v>25</v>
      </c>
    </row>
    <row r="509" spans="1:13" x14ac:dyDescent="0.3">
      <c r="A509">
        <v>365117</v>
      </c>
      <c r="B509">
        <v>1415</v>
      </c>
      <c r="C509" s="1" t="s">
        <v>99</v>
      </c>
      <c r="D509" s="5">
        <v>45063</v>
      </c>
      <c r="E509" s="10">
        <v>0.48055555555555557</v>
      </c>
      <c r="F509" s="15">
        <f t="shared" si="21"/>
        <v>5</v>
      </c>
      <c r="G509" s="10" t="str">
        <f t="shared" si="22"/>
        <v>Wednesday</v>
      </c>
      <c r="H509" s="9" t="str">
        <f t="shared" si="23"/>
        <v>May</v>
      </c>
      <c r="I509" t="s">
        <v>96</v>
      </c>
      <c r="J509" t="s">
        <v>89</v>
      </c>
      <c r="K509">
        <v>5905</v>
      </c>
      <c r="L509" s="5" t="str">
        <f>IF(OR(K509&lt;Answers!$C$16,Orders!K509&gt;Answers!$C$17),"Yes","No")</f>
        <v>No</v>
      </c>
      <c r="M509" s="14">
        <f>VLOOKUP(B509,Customers!$A$1:$E$2501,4,0)</f>
        <v>71</v>
      </c>
    </row>
    <row r="510" spans="1:13" x14ac:dyDescent="0.3">
      <c r="A510">
        <v>365718</v>
      </c>
      <c r="B510">
        <v>1080</v>
      </c>
      <c r="C510" s="1" t="s">
        <v>112</v>
      </c>
      <c r="D510" s="5">
        <v>45197</v>
      </c>
      <c r="E510" s="10">
        <v>0.44930555555555557</v>
      </c>
      <c r="F510" s="15">
        <f t="shared" si="21"/>
        <v>9</v>
      </c>
      <c r="G510" s="10" t="str">
        <f t="shared" si="22"/>
        <v>Thursday</v>
      </c>
      <c r="H510" s="9" t="str">
        <f t="shared" si="23"/>
        <v>September</v>
      </c>
      <c r="I510" t="s">
        <v>97</v>
      </c>
      <c r="J510" t="s">
        <v>42</v>
      </c>
      <c r="K510">
        <v>5697</v>
      </c>
      <c r="L510" s="5" t="str">
        <f>IF(OR(K510&lt;Answers!$C$16,Orders!K510&gt;Answers!$C$17),"Yes","No")</f>
        <v>No</v>
      </c>
      <c r="M510" s="14">
        <f>VLOOKUP(B510,Customers!$A$1:$E$2501,4,0)</f>
        <v>78</v>
      </c>
    </row>
    <row r="511" spans="1:13" x14ac:dyDescent="0.3">
      <c r="A511">
        <v>366083</v>
      </c>
      <c r="B511">
        <v>1680</v>
      </c>
      <c r="C511" s="1" t="s">
        <v>98</v>
      </c>
      <c r="D511" s="5">
        <v>44972</v>
      </c>
      <c r="E511" s="10">
        <v>36861</v>
      </c>
      <c r="F511" s="15">
        <f t="shared" si="21"/>
        <v>2</v>
      </c>
      <c r="G511" s="10" t="str">
        <f t="shared" si="22"/>
        <v>Wednesday</v>
      </c>
      <c r="H511" s="9" t="str">
        <f t="shared" si="23"/>
        <v>February</v>
      </c>
      <c r="I511" t="s">
        <v>95</v>
      </c>
      <c r="J511" t="s">
        <v>90</v>
      </c>
      <c r="K511">
        <v>8672</v>
      </c>
      <c r="L511" s="5" t="str">
        <f>IF(OR(K511&lt;Answers!$C$16,Orders!K511&gt;Answers!$C$17),"Yes","No")</f>
        <v>No</v>
      </c>
      <c r="M511" s="14">
        <f>VLOOKUP(B511,Customers!$A$1:$E$2501,4,0)</f>
        <v>41</v>
      </c>
    </row>
    <row r="512" spans="1:13" x14ac:dyDescent="0.3">
      <c r="A512">
        <v>366394</v>
      </c>
      <c r="B512">
        <v>1048</v>
      </c>
      <c r="C512" s="1" t="s">
        <v>112</v>
      </c>
      <c r="D512" s="5">
        <v>45170</v>
      </c>
      <c r="E512" s="10">
        <v>0.53125</v>
      </c>
      <c r="F512" s="15">
        <f t="shared" si="21"/>
        <v>9</v>
      </c>
      <c r="G512" s="10" t="str">
        <f t="shared" si="22"/>
        <v>Friday</v>
      </c>
      <c r="H512" s="9" t="str">
        <f t="shared" si="23"/>
        <v>September</v>
      </c>
      <c r="I512" t="s">
        <v>95</v>
      </c>
      <c r="J512" t="s">
        <v>26</v>
      </c>
      <c r="K512">
        <v>3380</v>
      </c>
      <c r="L512" s="5" t="str">
        <f>IF(OR(K512&lt;Answers!$C$16,Orders!K512&gt;Answers!$C$17),"Yes","No")</f>
        <v>No</v>
      </c>
      <c r="M512" s="14">
        <f>VLOOKUP(B512,Customers!$A$1:$E$2501,4,0)</f>
        <v>26</v>
      </c>
    </row>
    <row r="513" spans="1:13" x14ac:dyDescent="0.3">
      <c r="A513">
        <v>366719</v>
      </c>
      <c r="B513">
        <v>1505</v>
      </c>
      <c r="C513" s="1" t="s">
        <v>98</v>
      </c>
      <c r="D513" s="5">
        <v>44989</v>
      </c>
      <c r="E513" s="10">
        <v>36596</v>
      </c>
      <c r="F513" s="15">
        <f t="shared" si="21"/>
        <v>3</v>
      </c>
      <c r="G513" s="10" t="str">
        <f t="shared" si="22"/>
        <v>Saturday</v>
      </c>
      <c r="H513" s="9" t="str">
        <f t="shared" si="23"/>
        <v>March</v>
      </c>
      <c r="I513" t="s">
        <v>95</v>
      </c>
      <c r="J513" t="s">
        <v>35</v>
      </c>
      <c r="K513">
        <v>7878</v>
      </c>
      <c r="L513" s="5" t="str">
        <f>IF(OR(K513&lt;Answers!$C$16,Orders!K513&gt;Answers!$C$17),"Yes","No")</f>
        <v>No</v>
      </c>
      <c r="M513" s="14">
        <f>VLOOKUP(B513,Customers!$A$1:$E$2501,4,0)</f>
        <v>48</v>
      </c>
    </row>
    <row r="514" spans="1:13" x14ac:dyDescent="0.3">
      <c r="A514">
        <v>367308</v>
      </c>
      <c r="B514">
        <v>1355</v>
      </c>
      <c r="C514" s="1" t="s">
        <v>104</v>
      </c>
      <c r="D514" s="5">
        <v>44941</v>
      </c>
      <c r="E514" s="10">
        <v>9.8611111111111108E-2</v>
      </c>
      <c r="F514" s="15">
        <f t="shared" si="21"/>
        <v>1</v>
      </c>
      <c r="G514" s="10" t="str">
        <f t="shared" si="22"/>
        <v>Sunday</v>
      </c>
      <c r="H514" s="9" t="str">
        <f t="shared" si="23"/>
        <v>January</v>
      </c>
      <c r="I514" t="s">
        <v>95</v>
      </c>
      <c r="J514" t="s">
        <v>33</v>
      </c>
      <c r="K514">
        <v>6648</v>
      </c>
      <c r="L514" s="5" t="str">
        <f>IF(OR(K514&lt;Answers!$C$16,Orders!K514&gt;Answers!$C$17),"Yes","No")</f>
        <v>No</v>
      </c>
      <c r="M514" s="14">
        <f>VLOOKUP(B514,Customers!$A$1:$E$2501,4,0)</f>
        <v>83</v>
      </c>
    </row>
    <row r="515" spans="1:13" x14ac:dyDescent="0.3">
      <c r="A515">
        <v>368229</v>
      </c>
      <c r="B515">
        <v>1318</v>
      </c>
      <c r="C515" s="1" t="s">
        <v>98</v>
      </c>
      <c r="D515" s="5">
        <v>45249</v>
      </c>
      <c r="E515" s="10">
        <v>0.48402777777777778</v>
      </c>
      <c r="F515" s="15">
        <f t="shared" ref="F515:F578" si="24">MONTH(D515)</f>
        <v>11</v>
      </c>
      <c r="G515" s="10" t="str">
        <f t="shared" ref="G515:G578" si="25">TEXT(D515,"dddd")</f>
        <v>Sunday</v>
      </c>
      <c r="H515" s="9" t="str">
        <f t="shared" ref="H515:H578" si="26">TEXT(D515,"mmmm")</f>
        <v>November</v>
      </c>
      <c r="I515" t="s">
        <v>96</v>
      </c>
      <c r="J515" t="s">
        <v>26</v>
      </c>
      <c r="K515">
        <v>4702</v>
      </c>
      <c r="L515" s="5" t="str">
        <f>IF(OR(K515&lt;Answers!$C$16,Orders!K515&gt;Answers!$C$17),"Yes","No")</f>
        <v>No</v>
      </c>
      <c r="M515" s="14">
        <f>VLOOKUP(B515,Customers!$A$1:$E$2501,4,0)</f>
        <v>24</v>
      </c>
    </row>
    <row r="516" spans="1:13" x14ac:dyDescent="0.3">
      <c r="A516">
        <v>368675</v>
      </c>
      <c r="B516">
        <v>1109</v>
      </c>
      <c r="C516" s="1" t="s">
        <v>112</v>
      </c>
      <c r="D516" s="5">
        <v>45216</v>
      </c>
      <c r="E516" s="10">
        <v>0.48888888888888887</v>
      </c>
      <c r="F516" s="15">
        <f t="shared" si="24"/>
        <v>10</v>
      </c>
      <c r="G516" s="10" t="str">
        <f t="shared" si="25"/>
        <v>Tuesday</v>
      </c>
      <c r="H516" s="9" t="str">
        <f t="shared" si="26"/>
        <v>October</v>
      </c>
      <c r="I516" t="s">
        <v>97</v>
      </c>
      <c r="J516" t="s">
        <v>51</v>
      </c>
      <c r="K516">
        <v>6922</v>
      </c>
      <c r="L516" s="5" t="str">
        <f>IF(OR(K516&lt;Answers!$C$16,Orders!K516&gt;Answers!$C$17),"Yes","No")</f>
        <v>No</v>
      </c>
      <c r="M516" s="14">
        <f>VLOOKUP(B516,Customers!$A$1:$E$2501,4,0)</f>
        <v>86</v>
      </c>
    </row>
    <row r="517" spans="1:13" x14ac:dyDescent="0.3">
      <c r="A517">
        <v>369020</v>
      </c>
      <c r="B517">
        <v>1740</v>
      </c>
      <c r="C517" s="1" t="s">
        <v>98</v>
      </c>
      <c r="D517" s="5">
        <v>45189</v>
      </c>
      <c r="E517" s="10">
        <v>36586</v>
      </c>
      <c r="F517" s="15">
        <f t="shared" si="24"/>
        <v>9</v>
      </c>
      <c r="G517" s="10" t="str">
        <f t="shared" si="25"/>
        <v>Wednesday</v>
      </c>
      <c r="H517" s="9" t="str">
        <f t="shared" si="26"/>
        <v>September</v>
      </c>
      <c r="I517" t="s">
        <v>97</v>
      </c>
      <c r="J517" t="s">
        <v>39</v>
      </c>
      <c r="K517">
        <v>8651</v>
      </c>
      <c r="L517" s="5" t="str">
        <f>IF(OR(K517&lt;Answers!$C$16,Orders!K517&gt;Answers!$C$17),"Yes","No")</f>
        <v>No</v>
      </c>
      <c r="M517" s="14">
        <f>VLOOKUP(B517,Customers!$A$1:$E$2501,4,0)</f>
        <v>25</v>
      </c>
    </row>
    <row r="518" spans="1:13" x14ac:dyDescent="0.3">
      <c r="A518">
        <v>369311</v>
      </c>
      <c r="B518">
        <v>1985</v>
      </c>
      <c r="C518" s="1" t="s">
        <v>99</v>
      </c>
      <c r="D518" s="5">
        <v>45259</v>
      </c>
      <c r="E518" s="10">
        <v>5.6250000000000001E-2</v>
      </c>
      <c r="F518" s="15">
        <f t="shared" si="24"/>
        <v>11</v>
      </c>
      <c r="G518" s="10" t="str">
        <f t="shared" si="25"/>
        <v>Wednesday</v>
      </c>
      <c r="H518" s="9" t="str">
        <f t="shared" si="26"/>
        <v>November</v>
      </c>
      <c r="I518" t="s">
        <v>190</v>
      </c>
      <c r="J518" t="s">
        <v>10</v>
      </c>
      <c r="K518">
        <v>5332</v>
      </c>
      <c r="L518" s="5" t="str">
        <f>IF(OR(K518&lt;Answers!$C$16,Orders!K518&gt;Answers!$C$17),"Yes","No")</f>
        <v>No</v>
      </c>
      <c r="M518" s="14">
        <f>VLOOKUP(B518,Customers!$A$1:$E$2501,4,0)</f>
        <v>49</v>
      </c>
    </row>
    <row r="519" spans="1:13" x14ac:dyDescent="0.3">
      <c r="A519">
        <v>370729</v>
      </c>
      <c r="B519">
        <v>1170</v>
      </c>
      <c r="C519" s="1" t="s">
        <v>108</v>
      </c>
      <c r="D519" s="5">
        <v>44982</v>
      </c>
      <c r="E519" s="10">
        <v>8.3333333333333329E-2</v>
      </c>
      <c r="F519" s="15">
        <f t="shared" si="24"/>
        <v>2</v>
      </c>
      <c r="G519" s="10" t="str">
        <f t="shared" si="25"/>
        <v>Saturday</v>
      </c>
      <c r="H519" s="9" t="str">
        <f t="shared" si="26"/>
        <v>February</v>
      </c>
      <c r="I519" t="s">
        <v>96</v>
      </c>
      <c r="J519" t="s">
        <v>41</v>
      </c>
      <c r="K519">
        <v>2725</v>
      </c>
      <c r="L519" s="5" t="str">
        <f>IF(OR(K519&lt;Answers!$C$16,Orders!K519&gt;Answers!$C$17),"Yes","No")</f>
        <v>No</v>
      </c>
      <c r="M519" s="14">
        <f>VLOOKUP(B519,Customers!$A$1:$E$2501,4,0)</f>
        <v>65</v>
      </c>
    </row>
    <row r="520" spans="1:13" x14ac:dyDescent="0.3">
      <c r="A520">
        <v>372217</v>
      </c>
      <c r="B520">
        <v>43</v>
      </c>
      <c r="C520" s="1" t="s">
        <v>105</v>
      </c>
      <c r="D520" s="5">
        <v>45188</v>
      </c>
      <c r="E520" s="10">
        <v>0.47152777777777777</v>
      </c>
      <c r="F520" s="15">
        <f t="shared" si="24"/>
        <v>9</v>
      </c>
      <c r="G520" s="10" t="str">
        <f t="shared" si="25"/>
        <v>Tuesday</v>
      </c>
      <c r="H520" s="9" t="str">
        <f t="shared" si="26"/>
        <v>September</v>
      </c>
      <c r="I520" t="s">
        <v>95</v>
      </c>
      <c r="J520" t="s">
        <v>42</v>
      </c>
      <c r="K520">
        <v>6713</v>
      </c>
      <c r="L520" s="5" t="str">
        <f>IF(OR(K520&lt;Answers!$C$16,Orders!K520&gt;Answers!$C$17),"Yes","No")</f>
        <v>No</v>
      </c>
      <c r="M520" s="14">
        <f>VLOOKUP(B520,Customers!$A$1:$E$2501,4,0)</f>
        <v>55</v>
      </c>
    </row>
    <row r="521" spans="1:13" x14ac:dyDescent="0.3">
      <c r="A521">
        <v>373284</v>
      </c>
      <c r="B521">
        <v>879</v>
      </c>
      <c r="C521" s="1" t="s">
        <v>98</v>
      </c>
      <c r="D521" s="5">
        <v>44950</v>
      </c>
      <c r="E521" s="10">
        <v>0.45208333333333334</v>
      </c>
      <c r="F521" s="15">
        <f t="shared" si="24"/>
        <v>1</v>
      </c>
      <c r="G521" s="10" t="str">
        <f t="shared" si="25"/>
        <v>Tuesday</v>
      </c>
      <c r="H521" s="9" t="str">
        <f t="shared" si="26"/>
        <v>January</v>
      </c>
      <c r="I521" t="s">
        <v>97</v>
      </c>
      <c r="J521" t="s">
        <v>43</v>
      </c>
      <c r="K521">
        <v>4368</v>
      </c>
      <c r="L521" s="5" t="str">
        <f>IF(OR(K521&lt;Answers!$C$16,Orders!K521&gt;Answers!$C$17),"Yes","No")</f>
        <v>No</v>
      </c>
      <c r="M521" s="14">
        <f>VLOOKUP(B521,Customers!$A$1:$E$2501,4,0)</f>
        <v>70</v>
      </c>
    </row>
    <row r="522" spans="1:13" x14ac:dyDescent="0.3">
      <c r="A522">
        <v>373452</v>
      </c>
      <c r="B522">
        <v>1209</v>
      </c>
      <c r="C522" s="1" t="s">
        <v>101</v>
      </c>
      <c r="D522" s="5">
        <v>45135</v>
      </c>
      <c r="E522" s="10">
        <v>36870</v>
      </c>
      <c r="F522" s="15">
        <f t="shared" si="24"/>
        <v>7</v>
      </c>
      <c r="G522" s="10" t="str">
        <f t="shared" si="25"/>
        <v>Friday</v>
      </c>
      <c r="H522" s="9" t="str">
        <f t="shared" si="26"/>
        <v>July</v>
      </c>
      <c r="I522" t="s">
        <v>95</v>
      </c>
      <c r="J522" t="s">
        <v>80</v>
      </c>
      <c r="K522">
        <v>8190</v>
      </c>
      <c r="L522" s="5" t="str">
        <f>IF(OR(K522&lt;Answers!$C$16,Orders!K522&gt;Answers!$C$17),"Yes","No")</f>
        <v>No</v>
      </c>
      <c r="M522" s="14">
        <f>VLOOKUP(B522,Customers!$A$1:$E$2501,4,0)</f>
        <v>38</v>
      </c>
    </row>
    <row r="523" spans="1:13" x14ac:dyDescent="0.3">
      <c r="A523">
        <v>373612</v>
      </c>
      <c r="B523">
        <v>1567</v>
      </c>
      <c r="C523" s="1" t="s">
        <v>98</v>
      </c>
      <c r="D523" s="5">
        <v>45066</v>
      </c>
      <c r="E523" s="10">
        <v>0.48194444444444445</v>
      </c>
      <c r="F523" s="15">
        <f t="shared" si="24"/>
        <v>5</v>
      </c>
      <c r="G523" s="10" t="str">
        <f t="shared" si="25"/>
        <v>Saturday</v>
      </c>
      <c r="H523" s="9" t="str">
        <f t="shared" si="26"/>
        <v>May</v>
      </c>
      <c r="I523" t="s">
        <v>96</v>
      </c>
      <c r="J523" t="s">
        <v>13</v>
      </c>
      <c r="K523">
        <v>9653</v>
      </c>
      <c r="L523" s="5" t="str">
        <f>IF(OR(K523&lt;Answers!$C$16,Orders!K523&gt;Answers!$C$17),"Yes","No")</f>
        <v>No</v>
      </c>
      <c r="M523" s="14">
        <f>VLOOKUP(B523,Customers!$A$1:$E$2501,4,0)</f>
        <v>25</v>
      </c>
    </row>
    <row r="524" spans="1:13" x14ac:dyDescent="0.3">
      <c r="A524">
        <v>374946</v>
      </c>
      <c r="B524">
        <v>931</v>
      </c>
      <c r="C524" s="1" t="s">
        <v>98</v>
      </c>
      <c r="D524" s="5">
        <v>45186</v>
      </c>
      <c r="E524" s="10">
        <v>0.52638888888888891</v>
      </c>
      <c r="F524" s="15">
        <f t="shared" si="24"/>
        <v>9</v>
      </c>
      <c r="G524" s="10" t="str">
        <f t="shared" si="25"/>
        <v>Sunday</v>
      </c>
      <c r="H524" s="9" t="str">
        <f t="shared" si="26"/>
        <v>September</v>
      </c>
      <c r="I524" t="s">
        <v>190</v>
      </c>
      <c r="J524" t="s">
        <v>5</v>
      </c>
      <c r="K524">
        <v>8553</v>
      </c>
      <c r="L524" s="5" t="str">
        <f>IF(OR(K524&lt;Answers!$C$16,Orders!K524&gt;Answers!$C$17),"Yes","No")</f>
        <v>No</v>
      </c>
      <c r="M524" s="14">
        <f>VLOOKUP(B524,Customers!$A$1:$E$2501,4,0)</f>
        <v>58</v>
      </c>
    </row>
    <row r="525" spans="1:13" x14ac:dyDescent="0.3">
      <c r="A525">
        <v>375276</v>
      </c>
      <c r="B525">
        <v>1524</v>
      </c>
      <c r="C525" s="1" t="s">
        <v>99</v>
      </c>
      <c r="D525" s="5">
        <v>45037</v>
      </c>
      <c r="E525" s="10">
        <v>5.2777777777777778E-2</v>
      </c>
      <c r="F525" s="15">
        <f t="shared" si="24"/>
        <v>4</v>
      </c>
      <c r="G525" s="10" t="str">
        <f t="shared" si="25"/>
        <v>Friday</v>
      </c>
      <c r="H525" s="9" t="str">
        <f t="shared" si="26"/>
        <v>April</v>
      </c>
      <c r="I525" t="s">
        <v>96</v>
      </c>
      <c r="J525" t="s">
        <v>44</v>
      </c>
      <c r="K525">
        <v>4766</v>
      </c>
      <c r="L525" s="5" t="str">
        <f>IF(OR(K525&lt;Answers!$C$16,Orders!K525&gt;Answers!$C$17),"Yes","No")</f>
        <v>No</v>
      </c>
      <c r="M525" s="14">
        <f>VLOOKUP(B525,Customers!$A$1:$E$2501,4,0)</f>
        <v>75</v>
      </c>
    </row>
    <row r="526" spans="1:13" x14ac:dyDescent="0.3">
      <c r="A526">
        <v>375561</v>
      </c>
      <c r="B526">
        <v>599</v>
      </c>
      <c r="C526" s="1" t="s">
        <v>100</v>
      </c>
      <c r="D526" s="5">
        <v>45289</v>
      </c>
      <c r="E526" s="10">
        <v>0.51666666666666672</v>
      </c>
      <c r="F526" s="15">
        <f t="shared" si="24"/>
        <v>12</v>
      </c>
      <c r="G526" s="10" t="str">
        <f t="shared" si="25"/>
        <v>Friday</v>
      </c>
      <c r="H526" s="9" t="str">
        <f t="shared" si="26"/>
        <v>December</v>
      </c>
      <c r="I526" t="s">
        <v>96</v>
      </c>
      <c r="J526" t="s">
        <v>7</v>
      </c>
      <c r="K526">
        <v>3609</v>
      </c>
      <c r="L526" s="5" t="str">
        <f>IF(OR(K526&lt;Answers!$C$16,Orders!K526&gt;Answers!$C$17),"Yes","No")</f>
        <v>No</v>
      </c>
      <c r="M526" s="14">
        <f>VLOOKUP(B526,Customers!$A$1:$E$2501,4,0)</f>
        <v>32</v>
      </c>
    </row>
    <row r="527" spans="1:13" x14ac:dyDescent="0.3">
      <c r="A527">
        <v>376848</v>
      </c>
      <c r="B527">
        <v>1893</v>
      </c>
      <c r="C527" s="1" t="s">
        <v>100</v>
      </c>
      <c r="D527" s="5">
        <v>45098</v>
      </c>
      <c r="E527" s="10">
        <v>0.53055555555555556</v>
      </c>
      <c r="F527" s="15">
        <f t="shared" si="24"/>
        <v>6</v>
      </c>
      <c r="G527" s="10" t="str">
        <f t="shared" si="25"/>
        <v>Wednesday</v>
      </c>
      <c r="H527" s="9" t="str">
        <f t="shared" si="26"/>
        <v>June</v>
      </c>
      <c r="I527" t="s">
        <v>190</v>
      </c>
      <c r="J527" t="s">
        <v>45</v>
      </c>
      <c r="K527">
        <v>2298</v>
      </c>
      <c r="L527" s="5" t="str">
        <f>IF(OR(K527&lt;Answers!$C$16,Orders!K527&gt;Answers!$C$17),"Yes","No")</f>
        <v>No</v>
      </c>
      <c r="M527" s="14">
        <f>VLOOKUP(B527,Customers!$A$1:$E$2501,4,0)</f>
        <v>47</v>
      </c>
    </row>
    <row r="528" spans="1:13" x14ac:dyDescent="0.3">
      <c r="A528">
        <v>378945</v>
      </c>
      <c r="B528">
        <v>1964</v>
      </c>
      <c r="C528" s="1" t="s">
        <v>104</v>
      </c>
      <c r="D528" s="5">
        <v>45139</v>
      </c>
      <c r="E528" s="10">
        <v>0.48541666666666666</v>
      </c>
      <c r="F528" s="15">
        <f t="shared" si="24"/>
        <v>8</v>
      </c>
      <c r="G528" s="10" t="str">
        <f t="shared" si="25"/>
        <v>Tuesday</v>
      </c>
      <c r="H528" s="9" t="str">
        <f t="shared" si="26"/>
        <v>August</v>
      </c>
      <c r="I528" t="s">
        <v>95</v>
      </c>
      <c r="J528" t="s">
        <v>21</v>
      </c>
      <c r="K528">
        <v>2444</v>
      </c>
      <c r="L528" s="5" t="str">
        <f>IF(OR(K528&lt;Answers!$C$16,Orders!K528&gt;Answers!$C$17),"Yes","No")</f>
        <v>No</v>
      </c>
      <c r="M528" s="14">
        <f>VLOOKUP(B528,Customers!$A$1:$E$2501,4,0)</f>
        <v>32</v>
      </c>
    </row>
    <row r="529" spans="1:13" x14ac:dyDescent="0.3">
      <c r="A529">
        <v>379416</v>
      </c>
      <c r="B529">
        <v>1873</v>
      </c>
      <c r="C529" s="1" t="s">
        <v>100</v>
      </c>
      <c r="D529" s="5">
        <v>45073</v>
      </c>
      <c r="E529" s="10">
        <v>0.51736111111111116</v>
      </c>
      <c r="F529" s="15">
        <f t="shared" si="24"/>
        <v>5</v>
      </c>
      <c r="G529" s="10" t="str">
        <f t="shared" si="25"/>
        <v>Saturday</v>
      </c>
      <c r="H529" s="9" t="str">
        <f t="shared" si="26"/>
        <v>May</v>
      </c>
      <c r="I529" t="s">
        <v>95</v>
      </c>
      <c r="J529" t="s">
        <v>80</v>
      </c>
      <c r="K529">
        <v>7996</v>
      </c>
      <c r="L529" s="5" t="str">
        <f>IF(OR(K529&lt;Answers!$C$16,Orders!K529&gt;Answers!$C$17),"Yes","No")</f>
        <v>No</v>
      </c>
      <c r="M529" s="14">
        <f>VLOOKUP(B529,Customers!$A$1:$E$2501,4,0)</f>
        <v>20</v>
      </c>
    </row>
    <row r="530" spans="1:13" x14ac:dyDescent="0.3">
      <c r="A530">
        <v>380866</v>
      </c>
      <c r="B530">
        <v>202</v>
      </c>
      <c r="C530" s="1" t="s">
        <v>98</v>
      </c>
      <c r="D530" s="5">
        <v>45291</v>
      </c>
      <c r="E530" s="10">
        <v>36557</v>
      </c>
      <c r="F530" s="15">
        <f t="shared" si="24"/>
        <v>12</v>
      </c>
      <c r="G530" s="10" t="str">
        <f t="shared" si="25"/>
        <v>Sunday</v>
      </c>
      <c r="H530" s="9" t="str">
        <f t="shared" si="26"/>
        <v>December</v>
      </c>
      <c r="I530" t="s">
        <v>95</v>
      </c>
      <c r="J530" t="s">
        <v>49</v>
      </c>
      <c r="K530">
        <v>526</v>
      </c>
      <c r="L530" s="5" t="str">
        <f>IF(OR(K530&lt;Answers!$C$16,Orders!K530&gt;Answers!$C$17),"Yes","No")</f>
        <v>No</v>
      </c>
      <c r="M530" s="14">
        <f>VLOOKUP(B530,Customers!$A$1:$E$2501,4,0)</f>
        <v>86</v>
      </c>
    </row>
    <row r="531" spans="1:13" x14ac:dyDescent="0.3">
      <c r="A531">
        <v>381897</v>
      </c>
      <c r="B531">
        <v>1314</v>
      </c>
      <c r="C531" s="1" t="s">
        <v>98</v>
      </c>
      <c r="D531" s="5">
        <v>45120</v>
      </c>
      <c r="E531" s="10">
        <v>0.49513888888888891</v>
      </c>
      <c r="F531" s="15">
        <f t="shared" si="24"/>
        <v>7</v>
      </c>
      <c r="G531" s="10" t="str">
        <f t="shared" si="25"/>
        <v>Thursday</v>
      </c>
      <c r="H531" s="9" t="str">
        <f t="shared" si="26"/>
        <v>July</v>
      </c>
      <c r="I531" t="s">
        <v>190</v>
      </c>
      <c r="J531" t="s">
        <v>4</v>
      </c>
      <c r="K531">
        <v>3916</v>
      </c>
      <c r="L531" s="5" t="str">
        <f>IF(OR(K531&lt;Answers!$C$16,Orders!K531&gt;Answers!$C$17),"Yes","No")</f>
        <v>No</v>
      </c>
      <c r="M531" s="14">
        <f>VLOOKUP(B531,Customers!$A$1:$E$2501,4,0)</f>
        <v>86</v>
      </c>
    </row>
    <row r="532" spans="1:13" x14ac:dyDescent="0.3">
      <c r="A532">
        <v>382563</v>
      </c>
      <c r="B532">
        <v>1070</v>
      </c>
      <c r="C532" s="1" t="s">
        <v>105</v>
      </c>
      <c r="D532" s="5">
        <v>45215</v>
      </c>
      <c r="E532" s="10">
        <v>5.6944444444444443E-2</v>
      </c>
      <c r="F532" s="15">
        <f t="shared" si="24"/>
        <v>10</v>
      </c>
      <c r="G532" s="10" t="str">
        <f t="shared" si="25"/>
        <v>Monday</v>
      </c>
      <c r="H532" s="9" t="str">
        <f t="shared" si="26"/>
        <v>October</v>
      </c>
      <c r="I532" t="s">
        <v>97</v>
      </c>
      <c r="J532" t="s">
        <v>45</v>
      </c>
      <c r="K532">
        <v>471</v>
      </c>
      <c r="L532" s="5" t="str">
        <f>IF(OR(K532&lt;Answers!$C$16,Orders!K532&gt;Answers!$C$17),"Yes","No")</f>
        <v>No</v>
      </c>
      <c r="M532" s="14">
        <f>VLOOKUP(B532,Customers!$A$1:$E$2501,4,0)</f>
        <v>60</v>
      </c>
    </row>
    <row r="533" spans="1:13" x14ac:dyDescent="0.3">
      <c r="A533">
        <v>382755</v>
      </c>
      <c r="B533">
        <v>777</v>
      </c>
      <c r="C533" s="1" t="s">
        <v>98</v>
      </c>
      <c r="D533" s="5">
        <v>45138</v>
      </c>
      <c r="E533" s="10">
        <v>0.46805555555555556</v>
      </c>
      <c r="F533" s="15">
        <f t="shared" si="24"/>
        <v>7</v>
      </c>
      <c r="G533" s="10" t="str">
        <f t="shared" si="25"/>
        <v>Monday</v>
      </c>
      <c r="H533" s="9" t="str">
        <f t="shared" si="26"/>
        <v>July</v>
      </c>
      <c r="I533" t="s">
        <v>96</v>
      </c>
      <c r="J533" t="s">
        <v>81</v>
      </c>
      <c r="K533">
        <v>1008</v>
      </c>
      <c r="L533" s="5" t="str">
        <f>IF(OR(K533&lt;Answers!$C$16,Orders!K533&gt;Answers!$C$17),"Yes","No")</f>
        <v>No</v>
      </c>
      <c r="M533" s="14">
        <f>VLOOKUP(B533,Customers!$A$1:$E$2501,4,0)</f>
        <v>53</v>
      </c>
    </row>
    <row r="534" spans="1:13" x14ac:dyDescent="0.3">
      <c r="A534">
        <v>383194</v>
      </c>
      <c r="B534">
        <v>1167</v>
      </c>
      <c r="C534" s="1" t="s">
        <v>98</v>
      </c>
      <c r="D534" s="5">
        <v>45075</v>
      </c>
      <c r="E534" s="10">
        <v>0.4465277777777778</v>
      </c>
      <c r="F534" s="15">
        <f t="shared" si="24"/>
        <v>5</v>
      </c>
      <c r="G534" s="10" t="str">
        <f t="shared" si="25"/>
        <v>Monday</v>
      </c>
      <c r="H534" s="9" t="str">
        <f t="shared" si="26"/>
        <v>May</v>
      </c>
      <c r="I534" t="s">
        <v>190</v>
      </c>
      <c r="J534" t="s">
        <v>16</v>
      </c>
      <c r="K534">
        <v>6812</v>
      </c>
      <c r="L534" s="5" t="str">
        <f>IF(OR(K534&lt;Answers!$C$16,Orders!K534&gt;Answers!$C$17),"Yes","No")</f>
        <v>No</v>
      </c>
      <c r="M534" s="14">
        <f>VLOOKUP(B534,Customers!$A$1:$E$2501,4,0)</f>
        <v>78</v>
      </c>
    </row>
    <row r="535" spans="1:13" x14ac:dyDescent="0.3">
      <c r="A535">
        <v>383311</v>
      </c>
      <c r="B535">
        <v>1257</v>
      </c>
      <c r="C535" s="1" t="s">
        <v>98</v>
      </c>
      <c r="D535" s="5">
        <v>45154</v>
      </c>
      <c r="E535" s="10">
        <v>0.49513888888888891</v>
      </c>
      <c r="F535" s="15">
        <f t="shared" si="24"/>
        <v>8</v>
      </c>
      <c r="G535" s="10" t="str">
        <f t="shared" si="25"/>
        <v>Wednesday</v>
      </c>
      <c r="H535" s="9" t="str">
        <f t="shared" si="26"/>
        <v>August</v>
      </c>
      <c r="I535" t="s">
        <v>190</v>
      </c>
      <c r="J535" t="s">
        <v>10</v>
      </c>
      <c r="K535">
        <v>362</v>
      </c>
      <c r="L535" s="5" t="str">
        <f>IF(OR(K535&lt;Answers!$C$16,Orders!K535&gt;Answers!$C$17),"Yes","No")</f>
        <v>No</v>
      </c>
      <c r="M535" s="14">
        <f>VLOOKUP(B535,Customers!$A$1:$E$2501,4,0)</f>
        <v>69</v>
      </c>
    </row>
    <row r="536" spans="1:13" x14ac:dyDescent="0.3">
      <c r="A536">
        <v>383781</v>
      </c>
      <c r="B536">
        <v>333</v>
      </c>
      <c r="C536" s="1" t="s">
        <v>108</v>
      </c>
      <c r="D536" s="5">
        <v>45274</v>
      </c>
      <c r="E536" s="10">
        <v>5.7638888888888892E-2</v>
      </c>
      <c r="F536" s="15">
        <f t="shared" si="24"/>
        <v>12</v>
      </c>
      <c r="G536" s="10" t="str">
        <f t="shared" si="25"/>
        <v>Thursday</v>
      </c>
      <c r="H536" s="9" t="str">
        <f t="shared" si="26"/>
        <v>December</v>
      </c>
      <c r="I536" t="s">
        <v>97</v>
      </c>
      <c r="J536" t="s">
        <v>43</v>
      </c>
      <c r="K536">
        <v>75</v>
      </c>
      <c r="L536" s="5" t="str">
        <f>IF(OR(K536&lt;Answers!$C$16,Orders!K536&gt;Answers!$C$17),"Yes","No")</f>
        <v>No</v>
      </c>
      <c r="M536" s="14">
        <f>VLOOKUP(B536,Customers!$A$1:$E$2501,4,0)</f>
        <v>43</v>
      </c>
    </row>
    <row r="537" spans="1:13" x14ac:dyDescent="0.3">
      <c r="A537">
        <v>384942</v>
      </c>
      <c r="B537">
        <v>1938</v>
      </c>
      <c r="C537" s="1" t="s">
        <v>98</v>
      </c>
      <c r="D537" s="5">
        <v>45204</v>
      </c>
      <c r="E537" s="10">
        <v>0.47222222222222221</v>
      </c>
      <c r="F537" s="15">
        <f t="shared" si="24"/>
        <v>10</v>
      </c>
      <c r="G537" s="10" t="str">
        <f t="shared" si="25"/>
        <v>Thursday</v>
      </c>
      <c r="H537" s="9" t="str">
        <f t="shared" si="26"/>
        <v>October</v>
      </c>
      <c r="I537" t="s">
        <v>95</v>
      </c>
      <c r="J537" t="s">
        <v>77</v>
      </c>
      <c r="K537">
        <v>5617</v>
      </c>
      <c r="L537" s="5" t="str">
        <f>IF(OR(K537&lt;Answers!$C$16,Orders!K537&gt;Answers!$C$17),"Yes","No")</f>
        <v>No</v>
      </c>
      <c r="M537" s="14">
        <f>VLOOKUP(B537,Customers!$A$1:$E$2501,4,0)</f>
        <v>70</v>
      </c>
    </row>
    <row r="538" spans="1:13" x14ac:dyDescent="0.3">
      <c r="A538">
        <v>385164</v>
      </c>
      <c r="B538">
        <v>1569</v>
      </c>
      <c r="C538" s="1" t="s">
        <v>104</v>
      </c>
      <c r="D538" s="5">
        <v>45070</v>
      </c>
      <c r="E538" s="10">
        <v>0.5229166666666667</v>
      </c>
      <c r="F538" s="15">
        <f t="shared" si="24"/>
        <v>5</v>
      </c>
      <c r="G538" s="10" t="str">
        <f t="shared" si="25"/>
        <v>Wednesday</v>
      </c>
      <c r="H538" s="9" t="str">
        <f t="shared" si="26"/>
        <v>May</v>
      </c>
      <c r="I538" t="s">
        <v>95</v>
      </c>
      <c r="J538" t="s">
        <v>26</v>
      </c>
      <c r="K538">
        <v>6376</v>
      </c>
      <c r="L538" s="5" t="str">
        <f>IF(OR(K538&lt;Answers!$C$16,Orders!K538&gt;Answers!$C$17),"Yes","No")</f>
        <v>No</v>
      </c>
      <c r="M538" s="14">
        <f>VLOOKUP(B538,Customers!$A$1:$E$2501,4,0)</f>
        <v>20</v>
      </c>
    </row>
    <row r="539" spans="1:13" x14ac:dyDescent="0.3">
      <c r="A539">
        <v>385361</v>
      </c>
      <c r="B539">
        <v>565</v>
      </c>
      <c r="C539" s="1" t="s">
        <v>99</v>
      </c>
      <c r="D539" s="5">
        <v>45249</v>
      </c>
      <c r="E539" s="10">
        <v>0.47499999999999998</v>
      </c>
      <c r="F539" s="15">
        <f t="shared" si="24"/>
        <v>11</v>
      </c>
      <c r="G539" s="10" t="str">
        <f t="shared" si="25"/>
        <v>Sunday</v>
      </c>
      <c r="H539" s="9" t="str">
        <f t="shared" si="26"/>
        <v>November</v>
      </c>
      <c r="I539" t="s">
        <v>96</v>
      </c>
      <c r="J539" t="s">
        <v>58</v>
      </c>
      <c r="K539">
        <v>9005</v>
      </c>
      <c r="L539" s="5" t="str">
        <f>IF(OR(K539&lt;Answers!$C$16,Orders!K539&gt;Answers!$C$17),"Yes","No")</f>
        <v>No</v>
      </c>
      <c r="M539" s="14">
        <f>VLOOKUP(B539,Customers!$A$1:$E$2501,4,0)</f>
        <v>62</v>
      </c>
    </row>
    <row r="540" spans="1:13" x14ac:dyDescent="0.3">
      <c r="A540">
        <v>386283</v>
      </c>
      <c r="B540">
        <v>190</v>
      </c>
      <c r="C540" s="1" t="s">
        <v>99</v>
      </c>
      <c r="D540" s="5">
        <v>44963</v>
      </c>
      <c r="E540" s="10">
        <v>0.48958333333333331</v>
      </c>
      <c r="F540" s="15">
        <f t="shared" si="24"/>
        <v>2</v>
      </c>
      <c r="G540" s="10" t="str">
        <f t="shared" si="25"/>
        <v>Monday</v>
      </c>
      <c r="H540" s="9" t="str">
        <f t="shared" si="26"/>
        <v>February</v>
      </c>
      <c r="I540" t="s">
        <v>96</v>
      </c>
      <c r="J540" t="s">
        <v>86</v>
      </c>
      <c r="K540">
        <v>8183</v>
      </c>
      <c r="L540" s="5" t="str">
        <f>IF(OR(K540&lt;Answers!$C$16,Orders!K540&gt;Answers!$C$17),"Yes","No")</f>
        <v>No</v>
      </c>
      <c r="M540" s="14">
        <f>VLOOKUP(B540,Customers!$A$1:$E$2501,4,0)</f>
        <v>71</v>
      </c>
    </row>
    <row r="541" spans="1:13" x14ac:dyDescent="0.3">
      <c r="A541">
        <v>386673</v>
      </c>
      <c r="B541">
        <v>302</v>
      </c>
      <c r="C541" s="1" t="s">
        <v>108</v>
      </c>
      <c r="D541" s="5">
        <v>45077</v>
      </c>
      <c r="E541" s="10">
        <v>8.1944444444444445E-2</v>
      </c>
      <c r="F541" s="15">
        <f t="shared" si="24"/>
        <v>5</v>
      </c>
      <c r="G541" s="10" t="str">
        <f t="shared" si="25"/>
        <v>Wednesday</v>
      </c>
      <c r="H541" s="9" t="str">
        <f t="shared" si="26"/>
        <v>May</v>
      </c>
      <c r="I541" t="s">
        <v>96</v>
      </c>
      <c r="J541" t="s">
        <v>25</v>
      </c>
      <c r="K541">
        <v>1947</v>
      </c>
      <c r="L541" s="5" t="str">
        <f>IF(OR(K541&lt;Answers!$C$16,Orders!K541&gt;Answers!$C$17),"Yes","No")</f>
        <v>No</v>
      </c>
      <c r="M541" s="14">
        <f>VLOOKUP(B541,Customers!$A$1:$E$2501,4,0)</f>
        <v>29</v>
      </c>
    </row>
    <row r="542" spans="1:13" x14ac:dyDescent="0.3">
      <c r="A542">
        <v>386885</v>
      </c>
      <c r="B542">
        <v>1647</v>
      </c>
      <c r="C542" s="1" t="s">
        <v>98</v>
      </c>
      <c r="D542" s="5">
        <v>44991</v>
      </c>
      <c r="E542" s="10">
        <v>0.52013888888888893</v>
      </c>
      <c r="F542" s="15">
        <f t="shared" si="24"/>
        <v>3</v>
      </c>
      <c r="G542" s="10" t="str">
        <f t="shared" si="25"/>
        <v>Monday</v>
      </c>
      <c r="H542" s="9" t="str">
        <f t="shared" si="26"/>
        <v>March</v>
      </c>
      <c r="I542" t="s">
        <v>96</v>
      </c>
      <c r="J542" t="s">
        <v>73</v>
      </c>
      <c r="K542">
        <v>9165</v>
      </c>
      <c r="L542" s="5" t="str">
        <f>IF(OR(K542&lt;Answers!$C$16,Orders!K542&gt;Answers!$C$17),"Yes","No")</f>
        <v>No</v>
      </c>
      <c r="M542" s="14">
        <f>VLOOKUP(B542,Customers!$A$1:$E$2501,4,0)</f>
        <v>22</v>
      </c>
    </row>
    <row r="543" spans="1:13" x14ac:dyDescent="0.3">
      <c r="A543">
        <v>387103</v>
      </c>
      <c r="B543">
        <v>762</v>
      </c>
      <c r="C543" s="1" t="s">
        <v>107</v>
      </c>
      <c r="D543" s="5">
        <v>45077</v>
      </c>
      <c r="E543" s="10">
        <v>0.51736111111111116</v>
      </c>
      <c r="F543" s="15">
        <f t="shared" si="24"/>
        <v>5</v>
      </c>
      <c r="G543" s="10" t="str">
        <f t="shared" si="25"/>
        <v>Wednesday</v>
      </c>
      <c r="H543" s="9" t="str">
        <f t="shared" si="26"/>
        <v>May</v>
      </c>
      <c r="I543" t="s">
        <v>97</v>
      </c>
      <c r="J543" t="s">
        <v>87</v>
      </c>
      <c r="K543">
        <v>1379</v>
      </c>
      <c r="L543" s="5" t="str">
        <f>IF(OR(K543&lt;Answers!$C$16,Orders!K543&gt;Answers!$C$17),"Yes","No")</f>
        <v>No</v>
      </c>
      <c r="M543" s="14">
        <f>VLOOKUP(B543,Customers!$A$1:$E$2501,4,0)</f>
        <v>21</v>
      </c>
    </row>
    <row r="544" spans="1:13" x14ac:dyDescent="0.3">
      <c r="A544">
        <v>388268</v>
      </c>
      <c r="B544">
        <v>217</v>
      </c>
      <c r="C544" s="1" t="s">
        <v>98</v>
      </c>
      <c r="D544" s="5">
        <v>45220</v>
      </c>
      <c r="E544" s="10">
        <v>0.53333333333333333</v>
      </c>
      <c r="F544" s="15">
        <f t="shared" si="24"/>
        <v>10</v>
      </c>
      <c r="G544" s="10" t="str">
        <f t="shared" si="25"/>
        <v>Saturday</v>
      </c>
      <c r="H544" s="9" t="str">
        <f t="shared" si="26"/>
        <v>October</v>
      </c>
      <c r="I544" t="s">
        <v>96</v>
      </c>
      <c r="J544" t="s">
        <v>68</v>
      </c>
      <c r="K544">
        <v>1780</v>
      </c>
      <c r="L544" s="5" t="str">
        <f>IF(OR(K544&lt;Answers!$C$16,Orders!K544&gt;Answers!$C$17),"Yes","No")</f>
        <v>No</v>
      </c>
      <c r="M544" s="14">
        <f>VLOOKUP(B544,Customers!$A$1:$E$2501,4,0)</f>
        <v>60</v>
      </c>
    </row>
    <row r="545" spans="1:13" x14ac:dyDescent="0.3">
      <c r="A545">
        <v>389519</v>
      </c>
      <c r="B545">
        <v>336</v>
      </c>
      <c r="C545" s="1" t="s">
        <v>104</v>
      </c>
      <c r="D545" s="5">
        <v>45249</v>
      </c>
      <c r="E545" s="10">
        <v>7.7777777777777779E-2</v>
      </c>
      <c r="F545" s="15">
        <f t="shared" si="24"/>
        <v>11</v>
      </c>
      <c r="G545" s="10" t="str">
        <f t="shared" si="25"/>
        <v>Sunday</v>
      </c>
      <c r="H545" s="9" t="str">
        <f t="shared" si="26"/>
        <v>November</v>
      </c>
      <c r="I545" t="s">
        <v>96</v>
      </c>
      <c r="J545" t="s">
        <v>88</v>
      </c>
      <c r="K545">
        <v>5243</v>
      </c>
      <c r="L545" s="5" t="str">
        <f>IF(OR(K545&lt;Answers!$C$16,Orders!K545&gt;Answers!$C$17),"Yes","No")</f>
        <v>No</v>
      </c>
      <c r="M545" s="14">
        <f>VLOOKUP(B545,Customers!$A$1:$E$2501,4,0)</f>
        <v>26</v>
      </c>
    </row>
    <row r="546" spans="1:13" x14ac:dyDescent="0.3">
      <c r="A546">
        <v>389648</v>
      </c>
      <c r="B546">
        <v>1360</v>
      </c>
      <c r="C546" s="1" t="s">
        <v>104</v>
      </c>
      <c r="D546" s="5">
        <v>44940</v>
      </c>
      <c r="E546" s="10">
        <v>0.51180555555555551</v>
      </c>
      <c r="F546" s="15">
        <f t="shared" si="24"/>
        <v>1</v>
      </c>
      <c r="G546" s="10" t="str">
        <f t="shared" si="25"/>
        <v>Saturday</v>
      </c>
      <c r="H546" s="9" t="str">
        <f t="shared" si="26"/>
        <v>January</v>
      </c>
      <c r="I546" t="s">
        <v>96</v>
      </c>
      <c r="J546" t="s">
        <v>26</v>
      </c>
      <c r="K546">
        <v>6153</v>
      </c>
      <c r="L546" s="5" t="str">
        <f>IF(OR(K546&lt;Answers!$C$16,Orders!K546&gt;Answers!$C$17),"Yes","No")</f>
        <v>No</v>
      </c>
      <c r="M546" s="14">
        <f>VLOOKUP(B546,Customers!$A$1:$E$2501,4,0)</f>
        <v>40</v>
      </c>
    </row>
    <row r="547" spans="1:13" x14ac:dyDescent="0.3">
      <c r="A547">
        <v>389725</v>
      </c>
      <c r="B547">
        <v>487</v>
      </c>
      <c r="C547" s="1" t="s">
        <v>100</v>
      </c>
      <c r="D547" s="5">
        <v>45237</v>
      </c>
      <c r="E547" s="10">
        <v>7.4305555555555555E-2</v>
      </c>
      <c r="F547" s="15">
        <f t="shared" si="24"/>
        <v>11</v>
      </c>
      <c r="G547" s="10" t="str">
        <f t="shared" si="25"/>
        <v>Tuesday</v>
      </c>
      <c r="H547" s="9" t="str">
        <f t="shared" si="26"/>
        <v>November</v>
      </c>
      <c r="I547" t="s">
        <v>190</v>
      </c>
      <c r="J547" t="s">
        <v>24</v>
      </c>
      <c r="K547">
        <v>206</v>
      </c>
      <c r="L547" s="5" t="str">
        <f>IF(OR(K547&lt;Answers!$C$16,Orders!K547&gt;Answers!$C$17),"Yes","No")</f>
        <v>No</v>
      </c>
      <c r="M547" s="14">
        <f>VLOOKUP(B547,Customers!$A$1:$E$2501,4,0)</f>
        <v>81</v>
      </c>
    </row>
    <row r="548" spans="1:13" x14ac:dyDescent="0.3">
      <c r="A548">
        <v>390345</v>
      </c>
      <c r="B548">
        <v>245</v>
      </c>
      <c r="C548" s="1" t="s">
        <v>112</v>
      </c>
      <c r="D548" s="5">
        <v>45120</v>
      </c>
      <c r="E548" s="10">
        <v>0.5180555555555556</v>
      </c>
      <c r="F548" s="15">
        <f t="shared" si="24"/>
        <v>7</v>
      </c>
      <c r="G548" s="10" t="str">
        <f t="shared" si="25"/>
        <v>Thursday</v>
      </c>
      <c r="H548" s="9" t="str">
        <f t="shared" si="26"/>
        <v>July</v>
      </c>
      <c r="I548" t="s">
        <v>190</v>
      </c>
      <c r="J548" t="s">
        <v>48</v>
      </c>
      <c r="K548">
        <v>4767</v>
      </c>
      <c r="L548" s="5" t="str">
        <f>IF(OR(K548&lt;Answers!$C$16,Orders!K548&gt;Answers!$C$17),"Yes","No")</f>
        <v>No</v>
      </c>
      <c r="M548" s="14">
        <f>VLOOKUP(B548,Customers!$A$1:$E$2501,4,0)</f>
        <v>63</v>
      </c>
    </row>
    <row r="549" spans="1:13" x14ac:dyDescent="0.3">
      <c r="A549">
        <v>390509</v>
      </c>
      <c r="B549">
        <v>11</v>
      </c>
      <c r="C549" s="1" t="s">
        <v>98</v>
      </c>
      <c r="D549" s="5">
        <v>45147</v>
      </c>
      <c r="E549" s="10">
        <v>0.54027777777777775</v>
      </c>
      <c r="F549" s="15">
        <f t="shared" si="24"/>
        <v>8</v>
      </c>
      <c r="G549" s="10" t="str">
        <f t="shared" si="25"/>
        <v>Wednesday</v>
      </c>
      <c r="H549" s="9" t="str">
        <f t="shared" si="26"/>
        <v>August</v>
      </c>
      <c r="I549" t="s">
        <v>95</v>
      </c>
      <c r="J549" t="s">
        <v>4</v>
      </c>
      <c r="K549">
        <v>2754</v>
      </c>
      <c r="L549" s="5" t="str">
        <f>IF(OR(K549&lt;Answers!$C$16,Orders!K549&gt;Answers!$C$17),"Yes","No")</f>
        <v>No</v>
      </c>
      <c r="M549" s="14">
        <f>VLOOKUP(B549,Customers!$A$1:$E$2501,4,0)</f>
        <v>82</v>
      </c>
    </row>
    <row r="550" spans="1:13" x14ac:dyDescent="0.3">
      <c r="A550">
        <v>390821</v>
      </c>
      <c r="B550">
        <v>291</v>
      </c>
      <c r="C550" s="1" t="s">
        <v>112</v>
      </c>
      <c r="D550" s="5">
        <v>45056</v>
      </c>
      <c r="E550" s="10">
        <v>36617</v>
      </c>
      <c r="F550" s="15">
        <f t="shared" si="24"/>
        <v>5</v>
      </c>
      <c r="G550" s="10" t="str">
        <f t="shared" si="25"/>
        <v>Wednesday</v>
      </c>
      <c r="H550" s="9" t="str">
        <f t="shared" si="26"/>
        <v>May</v>
      </c>
      <c r="I550" t="s">
        <v>97</v>
      </c>
      <c r="J550" t="s">
        <v>6</v>
      </c>
      <c r="K550">
        <v>2140</v>
      </c>
      <c r="L550" s="5" t="str">
        <f>IF(OR(K550&lt;Answers!$C$16,Orders!K550&gt;Answers!$C$17),"Yes","No")</f>
        <v>No</v>
      </c>
      <c r="M550" s="14">
        <f>VLOOKUP(B550,Customers!$A$1:$E$2501,4,0)</f>
        <v>44</v>
      </c>
    </row>
    <row r="551" spans="1:13" x14ac:dyDescent="0.3">
      <c r="A551">
        <v>391564</v>
      </c>
      <c r="B551">
        <v>926</v>
      </c>
      <c r="C551" s="1" t="s">
        <v>98</v>
      </c>
      <c r="D551" s="5">
        <v>45049</v>
      </c>
      <c r="E551" s="10">
        <v>0.48055555555555557</v>
      </c>
      <c r="F551" s="15">
        <f t="shared" si="24"/>
        <v>5</v>
      </c>
      <c r="G551" s="10" t="str">
        <f t="shared" si="25"/>
        <v>Wednesday</v>
      </c>
      <c r="H551" s="9" t="str">
        <f t="shared" si="26"/>
        <v>May</v>
      </c>
      <c r="I551" t="s">
        <v>95</v>
      </c>
      <c r="J551" t="s">
        <v>26</v>
      </c>
      <c r="K551">
        <v>3051</v>
      </c>
      <c r="L551" s="5" t="str">
        <f>IF(OR(K551&lt;Answers!$C$16,Orders!K551&gt;Answers!$C$17),"Yes","No")</f>
        <v>No</v>
      </c>
      <c r="M551" s="14">
        <f>VLOOKUP(B551,Customers!$A$1:$E$2501,4,0)</f>
        <v>19</v>
      </c>
    </row>
    <row r="552" spans="1:13" x14ac:dyDescent="0.3">
      <c r="A552">
        <v>391706</v>
      </c>
      <c r="B552">
        <v>1840</v>
      </c>
      <c r="C552" s="1" t="s">
        <v>98</v>
      </c>
      <c r="D552" s="5">
        <v>44971</v>
      </c>
      <c r="E552" s="10">
        <v>36596</v>
      </c>
      <c r="F552" s="15">
        <f t="shared" si="24"/>
        <v>2</v>
      </c>
      <c r="G552" s="10" t="str">
        <f t="shared" si="25"/>
        <v>Tuesday</v>
      </c>
      <c r="H552" s="9" t="str">
        <f t="shared" si="26"/>
        <v>February</v>
      </c>
      <c r="I552" t="s">
        <v>96</v>
      </c>
      <c r="J552" t="s">
        <v>64</v>
      </c>
      <c r="K552">
        <v>5396</v>
      </c>
      <c r="L552" s="5" t="str">
        <f>IF(OR(K552&lt;Answers!$C$16,Orders!K552&gt;Answers!$C$17),"Yes","No")</f>
        <v>No</v>
      </c>
      <c r="M552" s="14">
        <f>VLOOKUP(B552,Customers!$A$1:$E$2501,4,0)</f>
        <v>83</v>
      </c>
    </row>
    <row r="553" spans="1:13" x14ac:dyDescent="0.3">
      <c r="A553">
        <v>391963</v>
      </c>
      <c r="B553">
        <v>1885</v>
      </c>
      <c r="C553" s="1" t="s">
        <v>103</v>
      </c>
      <c r="D553" s="5">
        <v>45240</v>
      </c>
      <c r="E553" s="10">
        <v>0.47013888888888888</v>
      </c>
      <c r="F553" s="15">
        <f t="shared" si="24"/>
        <v>11</v>
      </c>
      <c r="G553" s="10" t="str">
        <f t="shared" si="25"/>
        <v>Friday</v>
      </c>
      <c r="H553" s="9" t="str">
        <f t="shared" si="26"/>
        <v>November</v>
      </c>
      <c r="I553" t="s">
        <v>97</v>
      </c>
      <c r="J553" t="s">
        <v>22</v>
      </c>
      <c r="K553">
        <v>856</v>
      </c>
      <c r="L553" s="5" t="str">
        <f>IF(OR(K553&lt;Answers!$C$16,Orders!K553&gt;Answers!$C$17),"Yes","No")</f>
        <v>No</v>
      </c>
      <c r="M553" s="14">
        <f>VLOOKUP(B553,Customers!$A$1:$E$2501,4,0)</f>
        <v>27</v>
      </c>
    </row>
    <row r="554" spans="1:13" x14ac:dyDescent="0.3">
      <c r="A554">
        <v>393726</v>
      </c>
      <c r="B554">
        <v>1676</v>
      </c>
      <c r="C554" s="1" t="s">
        <v>103</v>
      </c>
      <c r="D554" s="5">
        <v>45014</v>
      </c>
      <c r="E554" s="10">
        <v>0.49722222222222223</v>
      </c>
      <c r="F554" s="15">
        <f t="shared" si="24"/>
        <v>3</v>
      </c>
      <c r="G554" s="10" t="str">
        <f t="shared" si="25"/>
        <v>Wednesday</v>
      </c>
      <c r="H554" s="9" t="str">
        <f t="shared" si="26"/>
        <v>March</v>
      </c>
      <c r="I554" t="s">
        <v>97</v>
      </c>
      <c r="J554" t="s">
        <v>89</v>
      </c>
      <c r="K554">
        <v>2852</v>
      </c>
      <c r="L554" s="5" t="str">
        <f>IF(OR(K554&lt;Answers!$C$16,Orders!K554&gt;Answers!$C$17),"Yes","No")</f>
        <v>No</v>
      </c>
      <c r="M554" s="14">
        <f>VLOOKUP(B554,Customers!$A$1:$E$2501,4,0)</f>
        <v>25</v>
      </c>
    </row>
    <row r="555" spans="1:13" x14ac:dyDescent="0.3">
      <c r="A555">
        <v>393917</v>
      </c>
      <c r="B555">
        <v>359</v>
      </c>
      <c r="C555" s="1" t="s">
        <v>99</v>
      </c>
      <c r="D555" s="5">
        <v>45105</v>
      </c>
      <c r="E555" s="10">
        <v>0.53472222222222221</v>
      </c>
      <c r="F555" s="15">
        <f t="shared" si="24"/>
        <v>6</v>
      </c>
      <c r="G555" s="10" t="str">
        <f t="shared" si="25"/>
        <v>Wednesday</v>
      </c>
      <c r="H555" s="9" t="str">
        <f t="shared" si="26"/>
        <v>June</v>
      </c>
      <c r="I555" t="s">
        <v>96</v>
      </c>
      <c r="J555" t="s">
        <v>22</v>
      </c>
      <c r="K555">
        <v>2533</v>
      </c>
      <c r="L555" s="5" t="str">
        <f>IF(OR(K555&lt;Answers!$C$16,Orders!K555&gt;Answers!$C$17),"Yes","No")</f>
        <v>No</v>
      </c>
      <c r="M555" s="14">
        <f>VLOOKUP(B555,Customers!$A$1:$E$2501,4,0)</f>
        <v>37</v>
      </c>
    </row>
    <row r="556" spans="1:13" x14ac:dyDescent="0.3">
      <c r="A556">
        <v>394768</v>
      </c>
      <c r="B556">
        <v>224</v>
      </c>
      <c r="C556" s="1" t="s">
        <v>112</v>
      </c>
      <c r="D556" s="5">
        <v>45289</v>
      </c>
      <c r="E556" s="10">
        <v>0.47638888888888886</v>
      </c>
      <c r="F556" s="15">
        <f t="shared" si="24"/>
        <v>12</v>
      </c>
      <c r="G556" s="10" t="str">
        <f t="shared" si="25"/>
        <v>Friday</v>
      </c>
      <c r="H556" s="9" t="str">
        <f t="shared" si="26"/>
        <v>December</v>
      </c>
      <c r="I556" t="s">
        <v>190</v>
      </c>
      <c r="J556" t="s">
        <v>91</v>
      </c>
      <c r="K556">
        <v>3458</v>
      </c>
      <c r="L556" s="5" t="str">
        <f>IF(OR(K556&lt;Answers!$C$16,Orders!K556&gt;Answers!$C$17),"Yes","No")</f>
        <v>No</v>
      </c>
      <c r="M556" s="14">
        <f>VLOOKUP(B556,Customers!$A$1:$E$2501,4,0)</f>
        <v>64</v>
      </c>
    </row>
    <row r="557" spans="1:13" x14ac:dyDescent="0.3">
      <c r="A557">
        <v>394773</v>
      </c>
      <c r="B557">
        <v>1474</v>
      </c>
      <c r="C557" s="1" t="s">
        <v>98</v>
      </c>
      <c r="D557" s="5">
        <v>45231</v>
      </c>
      <c r="E557" s="10">
        <v>0.53055555555555556</v>
      </c>
      <c r="F557" s="15">
        <f t="shared" si="24"/>
        <v>11</v>
      </c>
      <c r="G557" s="10" t="str">
        <f t="shared" si="25"/>
        <v>Wednesday</v>
      </c>
      <c r="H557" s="9" t="str">
        <f t="shared" si="26"/>
        <v>November</v>
      </c>
      <c r="I557" t="s">
        <v>190</v>
      </c>
      <c r="J557" t="s">
        <v>53</v>
      </c>
      <c r="K557">
        <v>9148</v>
      </c>
      <c r="L557" s="5" t="str">
        <f>IF(OR(K557&lt;Answers!$C$16,Orders!K557&gt;Answers!$C$17),"Yes","No")</f>
        <v>No</v>
      </c>
      <c r="M557" s="14">
        <f>VLOOKUP(B557,Customers!$A$1:$E$2501,4,0)</f>
        <v>25</v>
      </c>
    </row>
    <row r="558" spans="1:13" x14ac:dyDescent="0.3">
      <c r="A558">
        <v>394904</v>
      </c>
      <c r="B558">
        <v>1620</v>
      </c>
      <c r="C558" s="1" t="s">
        <v>98</v>
      </c>
      <c r="D558" s="5">
        <v>45206</v>
      </c>
      <c r="E558" s="10">
        <v>7.0833333333333331E-2</v>
      </c>
      <c r="F558" s="15">
        <f t="shared" si="24"/>
        <v>10</v>
      </c>
      <c r="G558" s="10" t="str">
        <f t="shared" si="25"/>
        <v>Saturday</v>
      </c>
      <c r="H558" s="9" t="str">
        <f t="shared" si="26"/>
        <v>October</v>
      </c>
      <c r="I558" t="s">
        <v>96</v>
      </c>
      <c r="J558" t="s">
        <v>19</v>
      </c>
      <c r="K558">
        <v>3234</v>
      </c>
      <c r="L558" s="5" t="str">
        <f>IF(OR(K558&lt;Answers!$C$16,Orders!K558&gt;Answers!$C$17),"Yes","No")</f>
        <v>No</v>
      </c>
      <c r="M558" s="14">
        <f>VLOOKUP(B558,Customers!$A$1:$E$2501,4,0)</f>
        <v>61</v>
      </c>
    </row>
    <row r="559" spans="1:13" x14ac:dyDescent="0.3">
      <c r="A559">
        <v>394940</v>
      </c>
      <c r="B559">
        <v>1815</v>
      </c>
      <c r="C559" s="1" t="s">
        <v>103</v>
      </c>
      <c r="D559" s="5">
        <v>45230</v>
      </c>
      <c r="E559" s="10">
        <v>0.54097222222222219</v>
      </c>
      <c r="F559" s="15">
        <f t="shared" si="24"/>
        <v>10</v>
      </c>
      <c r="G559" s="10" t="str">
        <f t="shared" si="25"/>
        <v>Tuesday</v>
      </c>
      <c r="H559" s="9" t="str">
        <f t="shared" si="26"/>
        <v>October</v>
      </c>
      <c r="I559" t="s">
        <v>190</v>
      </c>
      <c r="J559" t="s">
        <v>40</v>
      </c>
      <c r="K559">
        <v>4437</v>
      </c>
      <c r="L559" s="5" t="str">
        <f>IF(OR(K559&lt;Answers!$C$16,Orders!K559&gt;Answers!$C$17),"Yes","No")</f>
        <v>No</v>
      </c>
      <c r="M559" s="14">
        <f>VLOOKUP(B559,Customers!$A$1:$E$2501,4,0)</f>
        <v>43</v>
      </c>
    </row>
    <row r="560" spans="1:13" x14ac:dyDescent="0.3">
      <c r="A560">
        <v>395235</v>
      </c>
      <c r="B560">
        <v>869</v>
      </c>
      <c r="C560" s="1" t="s">
        <v>103</v>
      </c>
      <c r="D560" s="5">
        <v>45205</v>
      </c>
      <c r="E560" s="10">
        <v>0.5</v>
      </c>
      <c r="F560" s="15">
        <f t="shared" si="24"/>
        <v>10</v>
      </c>
      <c r="G560" s="10" t="str">
        <f t="shared" si="25"/>
        <v>Friday</v>
      </c>
      <c r="H560" s="9" t="str">
        <f t="shared" si="26"/>
        <v>October</v>
      </c>
      <c r="I560" t="s">
        <v>95</v>
      </c>
      <c r="J560" t="s">
        <v>54</v>
      </c>
      <c r="K560">
        <v>6921</v>
      </c>
      <c r="L560" s="5" t="str">
        <f>IF(OR(K560&lt;Answers!$C$16,Orders!K560&gt;Answers!$C$17),"Yes","No")</f>
        <v>No</v>
      </c>
      <c r="M560" s="14">
        <f>VLOOKUP(B560,Customers!$A$1:$E$2501,4,0)</f>
        <v>56</v>
      </c>
    </row>
    <row r="561" spans="1:13" x14ac:dyDescent="0.3">
      <c r="A561">
        <v>396045</v>
      </c>
      <c r="B561">
        <v>892</v>
      </c>
      <c r="C561" s="1" t="s">
        <v>98</v>
      </c>
      <c r="D561" s="5">
        <v>45059</v>
      </c>
      <c r="E561" s="10">
        <v>0.53055555555555556</v>
      </c>
      <c r="F561" s="15">
        <f t="shared" si="24"/>
        <v>5</v>
      </c>
      <c r="G561" s="10" t="str">
        <f t="shared" si="25"/>
        <v>Saturday</v>
      </c>
      <c r="H561" s="9" t="str">
        <f t="shared" si="26"/>
        <v>May</v>
      </c>
      <c r="I561" t="s">
        <v>190</v>
      </c>
      <c r="J561" t="s">
        <v>55</v>
      </c>
      <c r="K561">
        <v>4913</v>
      </c>
      <c r="L561" s="5" t="str">
        <f>IF(OR(K561&lt;Answers!$C$16,Orders!K561&gt;Answers!$C$17),"Yes","No")</f>
        <v>No</v>
      </c>
      <c r="M561" s="14">
        <f>VLOOKUP(B561,Customers!$A$1:$E$2501,4,0)</f>
        <v>34</v>
      </c>
    </row>
    <row r="562" spans="1:13" x14ac:dyDescent="0.3">
      <c r="A562">
        <v>396103</v>
      </c>
      <c r="B562">
        <v>1588</v>
      </c>
      <c r="C562" s="1" t="s">
        <v>99</v>
      </c>
      <c r="D562" s="5">
        <v>45275</v>
      </c>
      <c r="E562" s="10">
        <v>5.7638888888888892E-2</v>
      </c>
      <c r="F562" s="15">
        <f t="shared" si="24"/>
        <v>12</v>
      </c>
      <c r="G562" s="10" t="str">
        <f t="shared" si="25"/>
        <v>Friday</v>
      </c>
      <c r="H562" s="9" t="str">
        <f t="shared" si="26"/>
        <v>December</v>
      </c>
      <c r="I562" t="s">
        <v>97</v>
      </c>
      <c r="J562" t="s">
        <v>69</v>
      </c>
      <c r="K562">
        <v>3558</v>
      </c>
      <c r="L562" s="5" t="str">
        <f>IF(OR(K562&lt;Answers!$C$16,Orders!K562&gt;Answers!$C$17),"Yes","No")</f>
        <v>No</v>
      </c>
      <c r="M562" s="14">
        <f>VLOOKUP(B562,Customers!$A$1:$E$2501,4,0)</f>
        <v>74</v>
      </c>
    </row>
    <row r="563" spans="1:13" x14ac:dyDescent="0.3">
      <c r="A563">
        <v>396352</v>
      </c>
      <c r="B563">
        <v>965</v>
      </c>
      <c r="C563" s="1" t="s">
        <v>100</v>
      </c>
      <c r="D563" s="5">
        <v>45090</v>
      </c>
      <c r="E563" s="10">
        <v>7.3611111111111113E-2</v>
      </c>
      <c r="F563" s="15">
        <f t="shared" si="24"/>
        <v>6</v>
      </c>
      <c r="G563" s="10" t="str">
        <f t="shared" si="25"/>
        <v>Tuesday</v>
      </c>
      <c r="H563" s="9" t="str">
        <f t="shared" si="26"/>
        <v>June</v>
      </c>
      <c r="I563" t="s">
        <v>96</v>
      </c>
      <c r="J563" t="s">
        <v>47</v>
      </c>
      <c r="K563">
        <v>6855</v>
      </c>
      <c r="L563" s="5" t="str">
        <f>IF(OR(K563&lt;Answers!$C$16,Orders!K563&gt;Answers!$C$17),"Yes","No")</f>
        <v>No</v>
      </c>
      <c r="M563" s="14">
        <f>VLOOKUP(B563,Customers!$A$1:$E$2501,4,0)</f>
        <v>50</v>
      </c>
    </row>
    <row r="564" spans="1:13" x14ac:dyDescent="0.3">
      <c r="A564">
        <v>396721</v>
      </c>
      <c r="B564">
        <v>410</v>
      </c>
      <c r="C564" s="1" t="s">
        <v>112</v>
      </c>
      <c r="D564" s="5">
        <v>45192</v>
      </c>
      <c r="E564" s="10">
        <v>0.44791666666666669</v>
      </c>
      <c r="F564" s="15">
        <f t="shared" si="24"/>
        <v>9</v>
      </c>
      <c r="G564" s="10" t="str">
        <f t="shared" si="25"/>
        <v>Saturday</v>
      </c>
      <c r="H564" s="9" t="str">
        <f t="shared" si="26"/>
        <v>September</v>
      </c>
      <c r="I564" t="s">
        <v>96</v>
      </c>
      <c r="J564" t="s">
        <v>58</v>
      </c>
      <c r="K564">
        <v>3567</v>
      </c>
      <c r="L564" s="5" t="str">
        <f>IF(OR(K564&lt;Answers!$C$16,Orders!K564&gt;Answers!$C$17),"Yes","No")</f>
        <v>No</v>
      </c>
      <c r="M564" s="14">
        <f>VLOOKUP(B564,Customers!$A$1:$E$2501,4,0)</f>
        <v>39</v>
      </c>
    </row>
    <row r="565" spans="1:13" x14ac:dyDescent="0.3">
      <c r="A565">
        <v>397428</v>
      </c>
      <c r="B565">
        <v>576</v>
      </c>
      <c r="C565" s="1" t="s">
        <v>98</v>
      </c>
      <c r="D565" s="5">
        <v>45056</v>
      </c>
      <c r="E565" s="10">
        <v>36627</v>
      </c>
      <c r="F565" s="15">
        <f t="shared" si="24"/>
        <v>5</v>
      </c>
      <c r="G565" s="10" t="str">
        <f t="shared" si="25"/>
        <v>Wednesday</v>
      </c>
      <c r="H565" s="9" t="str">
        <f t="shared" si="26"/>
        <v>May</v>
      </c>
      <c r="I565" t="s">
        <v>96</v>
      </c>
      <c r="J565" t="s">
        <v>64</v>
      </c>
      <c r="K565">
        <v>1426</v>
      </c>
      <c r="L565" s="5" t="str">
        <f>IF(OR(K565&lt;Answers!$C$16,Orders!K565&gt;Answers!$C$17),"Yes","No")</f>
        <v>No</v>
      </c>
      <c r="M565" s="14">
        <f>VLOOKUP(B565,Customers!$A$1:$E$2501,4,0)</f>
        <v>47</v>
      </c>
    </row>
    <row r="566" spans="1:13" x14ac:dyDescent="0.3">
      <c r="A566">
        <v>397931</v>
      </c>
      <c r="B566">
        <v>1062</v>
      </c>
      <c r="C566" s="1" t="s">
        <v>112</v>
      </c>
      <c r="D566" s="5">
        <v>45131</v>
      </c>
      <c r="E566" s="10">
        <v>0.51597222222222228</v>
      </c>
      <c r="F566" s="15">
        <f t="shared" si="24"/>
        <v>7</v>
      </c>
      <c r="G566" s="10" t="str">
        <f t="shared" si="25"/>
        <v>Monday</v>
      </c>
      <c r="H566" s="9" t="str">
        <f t="shared" si="26"/>
        <v>July</v>
      </c>
      <c r="I566" t="s">
        <v>96</v>
      </c>
      <c r="J566" t="s">
        <v>26</v>
      </c>
      <c r="K566">
        <v>8407</v>
      </c>
      <c r="L566" s="5" t="str">
        <f>IF(OR(K566&lt;Answers!$C$16,Orders!K566&gt;Answers!$C$17),"Yes","No")</f>
        <v>No</v>
      </c>
      <c r="M566" s="14">
        <f>VLOOKUP(B566,Customers!$A$1:$E$2501,4,0)</f>
        <v>68</v>
      </c>
    </row>
    <row r="567" spans="1:13" x14ac:dyDescent="0.3">
      <c r="A567">
        <v>400062</v>
      </c>
      <c r="B567">
        <v>1054</v>
      </c>
      <c r="C567" s="1" t="s">
        <v>112</v>
      </c>
      <c r="D567" s="5">
        <v>45172</v>
      </c>
      <c r="E567" s="10">
        <v>0.47013888888888888</v>
      </c>
      <c r="F567" s="15">
        <f t="shared" si="24"/>
        <v>9</v>
      </c>
      <c r="G567" s="10" t="str">
        <f t="shared" si="25"/>
        <v>Sunday</v>
      </c>
      <c r="H567" s="9" t="str">
        <f t="shared" si="26"/>
        <v>September</v>
      </c>
      <c r="I567" t="s">
        <v>95</v>
      </c>
      <c r="J567" t="s">
        <v>44</v>
      </c>
      <c r="K567">
        <v>1436</v>
      </c>
      <c r="L567" s="5" t="str">
        <f>IF(OR(K567&lt;Answers!$C$16,Orders!K567&gt;Answers!$C$17),"Yes","No")</f>
        <v>No</v>
      </c>
      <c r="M567" s="14">
        <f>VLOOKUP(B567,Customers!$A$1:$E$2501,4,0)</f>
        <v>86</v>
      </c>
    </row>
    <row r="568" spans="1:13" x14ac:dyDescent="0.3">
      <c r="A568">
        <v>400313</v>
      </c>
      <c r="B568">
        <v>899</v>
      </c>
      <c r="C568" s="1" t="s">
        <v>98</v>
      </c>
      <c r="D568" s="5">
        <v>45034</v>
      </c>
      <c r="E568" s="10">
        <v>0.52986111111111112</v>
      </c>
      <c r="F568" s="15">
        <f t="shared" si="24"/>
        <v>4</v>
      </c>
      <c r="G568" s="10" t="str">
        <f t="shared" si="25"/>
        <v>Tuesday</v>
      </c>
      <c r="H568" s="9" t="str">
        <f t="shared" si="26"/>
        <v>April</v>
      </c>
      <c r="I568" t="s">
        <v>190</v>
      </c>
      <c r="J568" t="s">
        <v>88</v>
      </c>
      <c r="K568">
        <v>6891</v>
      </c>
      <c r="L568" s="5" t="str">
        <f>IF(OR(K568&lt;Answers!$C$16,Orders!K568&gt;Answers!$C$17),"Yes","No")</f>
        <v>No</v>
      </c>
      <c r="M568" s="14">
        <f>VLOOKUP(B568,Customers!$A$1:$E$2501,4,0)</f>
        <v>75</v>
      </c>
    </row>
    <row r="569" spans="1:13" x14ac:dyDescent="0.3">
      <c r="A569">
        <v>400957</v>
      </c>
      <c r="B569">
        <v>1746</v>
      </c>
      <c r="C569" s="1" t="s">
        <v>106</v>
      </c>
      <c r="D569" s="5">
        <v>45170</v>
      </c>
      <c r="E569" s="10">
        <v>0.48055555555555557</v>
      </c>
      <c r="F569" s="15">
        <f t="shared" si="24"/>
        <v>9</v>
      </c>
      <c r="G569" s="10" t="str">
        <f t="shared" si="25"/>
        <v>Friday</v>
      </c>
      <c r="H569" s="9" t="str">
        <f t="shared" si="26"/>
        <v>September</v>
      </c>
      <c r="I569" t="s">
        <v>95</v>
      </c>
      <c r="J569" t="s">
        <v>92</v>
      </c>
      <c r="K569">
        <v>382</v>
      </c>
      <c r="L569" s="5" t="str">
        <f>IF(OR(K569&lt;Answers!$C$16,Orders!K569&gt;Answers!$C$17),"Yes","No")</f>
        <v>No</v>
      </c>
      <c r="M569" s="14">
        <f>VLOOKUP(B569,Customers!$A$1:$E$2501,4,0)</f>
        <v>66</v>
      </c>
    </row>
    <row r="570" spans="1:13" x14ac:dyDescent="0.3">
      <c r="A570">
        <v>401745</v>
      </c>
      <c r="B570">
        <v>327</v>
      </c>
      <c r="C570" s="1" t="s">
        <v>112</v>
      </c>
      <c r="D570" s="5">
        <v>45102</v>
      </c>
      <c r="E570" s="10">
        <v>0.4548611111111111</v>
      </c>
      <c r="F570" s="15">
        <f t="shared" si="24"/>
        <v>6</v>
      </c>
      <c r="G570" s="10" t="str">
        <f t="shared" si="25"/>
        <v>Sunday</v>
      </c>
      <c r="H570" s="9" t="str">
        <f t="shared" si="26"/>
        <v>June</v>
      </c>
      <c r="I570" t="s">
        <v>190</v>
      </c>
      <c r="J570" t="s">
        <v>32</v>
      </c>
      <c r="K570">
        <v>166</v>
      </c>
      <c r="L570" s="5" t="str">
        <f>IF(OR(K570&lt;Answers!$C$16,Orders!K570&gt;Answers!$C$17),"Yes","No")</f>
        <v>No</v>
      </c>
      <c r="M570" s="14">
        <f>VLOOKUP(B570,Customers!$A$1:$E$2501,4,0)</f>
        <v>32</v>
      </c>
    </row>
    <row r="571" spans="1:13" x14ac:dyDescent="0.3">
      <c r="A571">
        <v>401879</v>
      </c>
      <c r="B571">
        <v>126</v>
      </c>
      <c r="C571" s="1" t="s">
        <v>98</v>
      </c>
      <c r="D571" s="5">
        <v>45052</v>
      </c>
      <c r="E571" s="10">
        <v>0.48194444444444445</v>
      </c>
      <c r="F571" s="15">
        <f t="shared" si="24"/>
        <v>5</v>
      </c>
      <c r="G571" s="10" t="str">
        <f t="shared" si="25"/>
        <v>Saturday</v>
      </c>
      <c r="H571" s="9" t="str">
        <f t="shared" si="26"/>
        <v>May</v>
      </c>
      <c r="I571" t="s">
        <v>190</v>
      </c>
      <c r="J571" t="s">
        <v>62</v>
      </c>
      <c r="K571">
        <v>1022</v>
      </c>
      <c r="L571" s="5" t="str">
        <f>IF(OR(K571&lt;Answers!$C$16,Orders!K571&gt;Answers!$C$17),"Yes","No")</f>
        <v>No</v>
      </c>
      <c r="M571" s="14">
        <f>VLOOKUP(B571,Customers!$A$1:$E$2501,4,0)</f>
        <v>67</v>
      </c>
    </row>
    <row r="572" spans="1:13" x14ac:dyDescent="0.3">
      <c r="A572">
        <v>401887</v>
      </c>
      <c r="B572">
        <v>376</v>
      </c>
      <c r="C572" s="1" t="s">
        <v>112</v>
      </c>
      <c r="D572" s="5">
        <v>44960</v>
      </c>
      <c r="E572" s="10">
        <v>36861</v>
      </c>
      <c r="F572" s="15">
        <f t="shared" si="24"/>
        <v>2</v>
      </c>
      <c r="G572" s="10" t="str">
        <f t="shared" si="25"/>
        <v>Friday</v>
      </c>
      <c r="H572" s="9" t="str">
        <f t="shared" si="26"/>
        <v>February</v>
      </c>
      <c r="I572" t="s">
        <v>190</v>
      </c>
      <c r="J572" t="s">
        <v>51</v>
      </c>
      <c r="K572">
        <v>9941</v>
      </c>
      <c r="L572" s="5" t="str">
        <f>IF(OR(K572&lt;Answers!$C$16,Orders!K572&gt;Answers!$C$17),"Yes","No")</f>
        <v>No</v>
      </c>
      <c r="M572" s="14">
        <f>VLOOKUP(B572,Customers!$A$1:$E$2501,4,0)</f>
        <v>89</v>
      </c>
    </row>
    <row r="573" spans="1:13" x14ac:dyDescent="0.3">
      <c r="A573">
        <v>402186</v>
      </c>
      <c r="B573">
        <v>651</v>
      </c>
      <c r="C573" s="1" t="s">
        <v>98</v>
      </c>
      <c r="D573" s="5">
        <v>45143</v>
      </c>
      <c r="E573" s="10">
        <v>36597</v>
      </c>
      <c r="F573" s="15">
        <f t="shared" si="24"/>
        <v>8</v>
      </c>
      <c r="G573" s="10" t="str">
        <f t="shared" si="25"/>
        <v>Saturday</v>
      </c>
      <c r="H573" s="9" t="str">
        <f t="shared" si="26"/>
        <v>August</v>
      </c>
      <c r="I573" t="s">
        <v>97</v>
      </c>
      <c r="J573" t="s">
        <v>93</v>
      </c>
      <c r="K573">
        <v>8800</v>
      </c>
      <c r="L573" s="5" t="str">
        <f>IF(OR(K573&lt;Answers!$C$16,Orders!K573&gt;Answers!$C$17),"Yes","No")</f>
        <v>No</v>
      </c>
      <c r="M573" s="14">
        <f>VLOOKUP(B573,Customers!$A$1:$E$2501,4,0)</f>
        <v>61</v>
      </c>
    </row>
    <row r="574" spans="1:13" x14ac:dyDescent="0.3">
      <c r="A574">
        <v>402508</v>
      </c>
      <c r="B574">
        <v>155</v>
      </c>
      <c r="C574" s="1" t="s">
        <v>112</v>
      </c>
      <c r="D574" s="5">
        <v>45219</v>
      </c>
      <c r="E574" s="10">
        <v>6.9444444444444448E-2</v>
      </c>
      <c r="F574" s="15">
        <f t="shared" si="24"/>
        <v>10</v>
      </c>
      <c r="G574" s="10" t="str">
        <f t="shared" si="25"/>
        <v>Friday</v>
      </c>
      <c r="H574" s="9" t="str">
        <f t="shared" si="26"/>
        <v>October</v>
      </c>
      <c r="I574" t="s">
        <v>97</v>
      </c>
      <c r="J574" t="s">
        <v>52</v>
      </c>
      <c r="K574">
        <v>8064</v>
      </c>
      <c r="L574" s="5" t="str">
        <f>IF(OR(K574&lt;Answers!$C$16,Orders!K574&gt;Answers!$C$17),"Yes","No")</f>
        <v>No</v>
      </c>
      <c r="M574" s="14">
        <f>VLOOKUP(B574,Customers!$A$1:$E$2501,4,0)</f>
        <v>56</v>
      </c>
    </row>
    <row r="575" spans="1:13" x14ac:dyDescent="0.3">
      <c r="A575">
        <v>403651</v>
      </c>
      <c r="B575">
        <v>1700</v>
      </c>
      <c r="C575" s="1" t="s">
        <v>98</v>
      </c>
      <c r="D575" s="5">
        <v>45124</v>
      </c>
      <c r="E575" s="10">
        <v>0.52638888888888891</v>
      </c>
      <c r="F575" s="15">
        <f t="shared" si="24"/>
        <v>7</v>
      </c>
      <c r="G575" s="10" t="str">
        <f t="shared" si="25"/>
        <v>Monday</v>
      </c>
      <c r="H575" s="9" t="str">
        <f t="shared" si="26"/>
        <v>July</v>
      </c>
      <c r="I575" t="s">
        <v>95</v>
      </c>
      <c r="J575" t="s">
        <v>63</v>
      </c>
      <c r="K575">
        <v>8812</v>
      </c>
      <c r="L575" s="5" t="str">
        <f>IF(OR(K575&lt;Answers!$C$16,Orders!K575&gt;Answers!$C$17),"Yes","No")</f>
        <v>No</v>
      </c>
      <c r="M575" s="14">
        <f>VLOOKUP(B575,Customers!$A$1:$E$2501,4,0)</f>
        <v>37</v>
      </c>
    </row>
    <row r="576" spans="1:13" x14ac:dyDescent="0.3">
      <c r="A576">
        <v>404150</v>
      </c>
      <c r="B576">
        <v>1902</v>
      </c>
      <c r="C576" s="1" t="s">
        <v>103</v>
      </c>
      <c r="D576" s="5">
        <v>45015</v>
      </c>
      <c r="E576" s="10">
        <v>0.52013888888888893</v>
      </c>
      <c r="F576" s="15">
        <f t="shared" si="24"/>
        <v>3</v>
      </c>
      <c r="G576" s="10" t="str">
        <f t="shared" si="25"/>
        <v>Thursday</v>
      </c>
      <c r="H576" s="9" t="str">
        <f t="shared" si="26"/>
        <v>March</v>
      </c>
      <c r="I576" t="s">
        <v>97</v>
      </c>
      <c r="J576" t="s">
        <v>26</v>
      </c>
      <c r="K576">
        <v>5798</v>
      </c>
      <c r="L576" s="5" t="str">
        <f>IF(OR(K576&lt;Answers!$C$16,Orders!K576&gt;Answers!$C$17),"Yes","No")</f>
        <v>No</v>
      </c>
      <c r="M576" s="14">
        <f>VLOOKUP(B576,Customers!$A$1:$E$2501,4,0)</f>
        <v>46</v>
      </c>
    </row>
    <row r="577" spans="1:13" x14ac:dyDescent="0.3">
      <c r="A577">
        <v>404700</v>
      </c>
      <c r="B577">
        <v>1182</v>
      </c>
      <c r="C577" s="1" t="s">
        <v>98</v>
      </c>
      <c r="D577" s="5">
        <v>45256</v>
      </c>
      <c r="E577" s="10">
        <v>0.45763888888888887</v>
      </c>
      <c r="F577" s="15">
        <f t="shared" si="24"/>
        <v>11</v>
      </c>
      <c r="G577" s="10" t="str">
        <f t="shared" si="25"/>
        <v>Sunday</v>
      </c>
      <c r="H577" s="9" t="str">
        <f t="shared" si="26"/>
        <v>November</v>
      </c>
      <c r="I577" t="s">
        <v>95</v>
      </c>
      <c r="J577" t="s">
        <v>4</v>
      </c>
      <c r="K577">
        <v>2761</v>
      </c>
      <c r="L577" s="5" t="str">
        <f>IF(OR(K577&lt;Answers!$C$16,Orders!K577&gt;Answers!$C$17),"Yes","No")</f>
        <v>No</v>
      </c>
      <c r="M577" s="14">
        <f>VLOOKUP(B577,Customers!$A$1:$E$2501,4,0)</f>
        <v>36</v>
      </c>
    </row>
    <row r="578" spans="1:13" x14ac:dyDescent="0.3">
      <c r="A578">
        <v>405184</v>
      </c>
      <c r="B578">
        <v>1848</v>
      </c>
      <c r="C578" s="1" t="s">
        <v>98</v>
      </c>
      <c r="D578" s="5">
        <v>44993</v>
      </c>
      <c r="E578" s="10">
        <v>36657</v>
      </c>
      <c r="F578" s="15">
        <f t="shared" si="24"/>
        <v>3</v>
      </c>
      <c r="G578" s="10" t="str">
        <f t="shared" si="25"/>
        <v>Wednesday</v>
      </c>
      <c r="H578" s="9" t="str">
        <f t="shared" si="26"/>
        <v>March</v>
      </c>
      <c r="I578" t="s">
        <v>95</v>
      </c>
      <c r="J578" t="s">
        <v>64</v>
      </c>
      <c r="K578">
        <v>7111</v>
      </c>
      <c r="L578" s="5" t="str">
        <f>IF(OR(K578&lt;Answers!$C$16,Orders!K578&gt;Answers!$C$17),"Yes","No")</f>
        <v>No</v>
      </c>
      <c r="M578" s="14">
        <f>VLOOKUP(B578,Customers!$A$1:$E$2501,4,0)</f>
        <v>63</v>
      </c>
    </row>
    <row r="579" spans="1:13" x14ac:dyDescent="0.3">
      <c r="A579">
        <v>406996</v>
      </c>
      <c r="B579">
        <v>1083</v>
      </c>
      <c r="C579" s="1" t="s">
        <v>104</v>
      </c>
      <c r="D579" s="5">
        <v>45040</v>
      </c>
      <c r="E579" s="10">
        <v>0.45833333333333331</v>
      </c>
      <c r="F579" s="15">
        <f t="shared" ref="F579:F642" si="27">MONTH(D579)</f>
        <v>4</v>
      </c>
      <c r="G579" s="10" t="str">
        <f t="shared" ref="G579:G642" si="28">TEXT(D579,"dddd")</f>
        <v>Monday</v>
      </c>
      <c r="H579" s="9" t="str">
        <f t="shared" ref="H579:H642" si="29">TEXT(D579,"mmmm")</f>
        <v>April</v>
      </c>
      <c r="I579" t="s">
        <v>96</v>
      </c>
      <c r="J579" t="s">
        <v>73</v>
      </c>
      <c r="K579">
        <v>9682</v>
      </c>
      <c r="L579" s="5" t="str">
        <f>IF(OR(K579&lt;Answers!$C$16,Orders!K579&gt;Answers!$C$17),"Yes","No")</f>
        <v>No</v>
      </c>
      <c r="M579" s="14">
        <f>VLOOKUP(B579,Customers!$A$1:$E$2501,4,0)</f>
        <v>25</v>
      </c>
    </row>
    <row r="580" spans="1:13" x14ac:dyDescent="0.3">
      <c r="A580">
        <v>408798</v>
      </c>
      <c r="B580">
        <v>1293</v>
      </c>
      <c r="C580" s="1" t="s">
        <v>98</v>
      </c>
      <c r="D580" s="5">
        <v>44957</v>
      </c>
      <c r="E580" s="10">
        <v>6.3888888888888884E-2</v>
      </c>
      <c r="F580" s="15">
        <f t="shared" si="27"/>
        <v>1</v>
      </c>
      <c r="G580" s="10" t="str">
        <f t="shared" si="28"/>
        <v>Tuesday</v>
      </c>
      <c r="H580" s="9" t="str">
        <f t="shared" si="29"/>
        <v>January</v>
      </c>
      <c r="I580" t="s">
        <v>190</v>
      </c>
      <c r="J580" t="s">
        <v>43</v>
      </c>
      <c r="K580">
        <v>9889</v>
      </c>
      <c r="L580" s="5" t="str">
        <f>IF(OR(K580&lt;Answers!$C$16,Orders!K580&gt;Answers!$C$17),"Yes","No")</f>
        <v>No</v>
      </c>
      <c r="M580" s="14">
        <f>VLOOKUP(B580,Customers!$A$1:$E$2501,4,0)</f>
        <v>38</v>
      </c>
    </row>
    <row r="581" spans="1:13" x14ac:dyDescent="0.3">
      <c r="A581">
        <v>408889</v>
      </c>
      <c r="B581">
        <v>751</v>
      </c>
      <c r="C581" s="1" t="s">
        <v>112</v>
      </c>
      <c r="D581" s="5">
        <v>44977</v>
      </c>
      <c r="E581" s="10">
        <v>36537</v>
      </c>
      <c r="F581" s="15">
        <f t="shared" si="27"/>
        <v>2</v>
      </c>
      <c r="G581" s="10" t="str">
        <f t="shared" si="28"/>
        <v>Monday</v>
      </c>
      <c r="H581" s="9" t="str">
        <f t="shared" si="29"/>
        <v>February</v>
      </c>
      <c r="I581" t="s">
        <v>96</v>
      </c>
      <c r="J581" t="s">
        <v>80</v>
      </c>
      <c r="K581">
        <v>8398</v>
      </c>
      <c r="L581" s="5" t="str">
        <f>IF(OR(K581&lt;Answers!$C$16,Orders!K581&gt;Answers!$C$17),"Yes","No")</f>
        <v>No</v>
      </c>
      <c r="M581" s="14">
        <f>VLOOKUP(B581,Customers!$A$1:$E$2501,4,0)</f>
        <v>82</v>
      </c>
    </row>
    <row r="582" spans="1:13" x14ac:dyDescent="0.3">
      <c r="A582">
        <v>410734</v>
      </c>
      <c r="B582">
        <v>555</v>
      </c>
      <c r="C582" s="1" t="s">
        <v>98</v>
      </c>
      <c r="D582" s="5">
        <v>45052</v>
      </c>
      <c r="E582" s="10">
        <v>5.0694444444444445E-2</v>
      </c>
      <c r="F582" s="15">
        <f t="shared" si="27"/>
        <v>5</v>
      </c>
      <c r="G582" s="10" t="str">
        <f t="shared" si="28"/>
        <v>Saturday</v>
      </c>
      <c r="H582" s="9" t="str">
        <f t="shared" si="29"/>
        <v>May</v>
      </c>
      <c r="I582" t="s">
        <v>97</v>
      </c>
      <c r="J582" t="s">
        <v>87</v>
      </c>
      <c r="K582">
        <v>3175</v>
      </c>
      <c r="L582" s="5" t="str">
        <f>IF(OR(K582&lt;Answers!$C$16,Orders!K582&gt;Answers!$C$17),"Yes","No")</f>
        <v>No</v>
      </c>
      <c r="M582" s="14">
        <f>VLOOKUP(B582,Customers!$A$1:$E$2501,4,0)</f>
        <v>90</v>
      </c>
    </row>
    <row r="583" spans="1:13" x14ac:dyDescent="0.3">
      <c r="A583">
        <v>411108</v>
      </c>
      <c r="B583">
        <v>258</v>
      </c>
      <c r="C583" s="1" t="s">
        <v>112</v>
      </c>
      <c r="D583" s="5">
        <v>45017</v>
      </c>
      <c r="E583" s="10">
        <v>0.49791666666666667</v>
      </c>
      <c r="F583" s="15">
        <f t="shared" si="27"/>
        <v>4</v>
      </c>
      <c r="G583" s="10" t="str">
        <f t="shared" si="28"/>
        <v>Saturday</v>
      </c>
      <c r="H583" s="9" t="str">
        <f t="shared" si="29"/>
        <v>April</v>
      </c>
      <c r="I583" t="s">
        <v>95</v>
      </c>
      <c r="J583" t="s">
        <v>85</v>
      </c>
      <c r="K583">
        <v>4801</v>
      </c>
      <c r="L583" s="5" t="str">
        <f>IF(OR(K583&lt;Answers!$C$16,Orders!K583&gt;Answers!$C$17),"Yes","No")</f>
        <v>No</v>
      </c>
      <c r="M583" s="14">
        <f>VLOOKUP(B583,Customers!$A$1:$E$2501,4,0)</f>
        <v>40</v>
      </c>
    </row>
    <row r="584" spans="1:13" x14ac:dyDescent="0.3">
      <c r="A584">
        <v>411162</v>
      </c>
      <c r="B584">
        <v>433</v>
      </c>
      <c r="C584" s="1" t="s">
        <v>112</v>
      </c>
      <c r="D584" s="5">
        <v>45144</v>
      </c>
      <c r="E584" s="10">
        <v>0.5180555555555556</v>
      </c>
      <c r="F584" s="15">
        <f t="shared" si="27"/>
        <v>8</v>
      </c>
      <c r="G584" s="10" t="str">
        <f t="shared" si="28"/>
        <v>Sunday</v>
      </c>
      <c r="H584" s="9" t="str">
        <f t="shared" si="29"/>
        <v>August</v>
      </c>
      <c r="I584" t="s">
        <v>96</v>
      </c>
      <c r="J584" t="s">
        <v>7</v>
      </c>
      <c r="K584">
        <v>2485</v>
      </c>
      <c r="L584" s="5" t="str">
        <f>IF(OR(K584&lt;Answers!$C$16,Orders!K584&gt;Answers!$C$17),"Yes","No")</f>
        <v>No</v>
      </c>
      <c r="M584" s="14">
        <f>VLOOKUP(B584,Customers!$A$1:$E$2501,4,0)</f>
        <v>55</v>
      </c>
    </row>
    <row r="585" spans="1:13" x14ac:dyDescent="0.3">
      <c r="A585">
        <v>411449</v>
      </c>
      <c r="B585">
        <v>609</v>
      </c>
      <c r="C585" s="1" t="s">
        <v>98</v>
      </c>
      <c r="D585" s="5">
        <v>45047</v>
      </c>
      <c r="E585" s="10">
        <v>36811</v>
      </c>
      <c r="F585" s="15">
        <f t="shared" si="27"/>
        <v>5</v>
      </c>
      <c r="G585" s="10" t="str">
        <f t="shared" si="28"/>
        <v>Monday</v>
      </c>
      <c r="H585" s="9" t="str">
        <f t="shared" si="29"/>
        <v>May</v>
      </c>
      <c r="I585" t="s">
        <v>190</v>
      </c>
      <c r="J585" t="s">
        <v>89</v>
      </c>
      <c r="K585">
        <v>4109</v>
      </c>
      <c r="L585" s="5" t="str">
        <f>IF(OR(K585&lt;Answers!$C$16,Orders!K585&gt;Answers!$C$17),"Yes","No")</f>
        <v>No</v>
      </c>
      <c r="M585" s="14">
        <f>VLOOKUP(B585,Customers!$A$1:$E$2501,4,0)</f>
        <v>87</v>
      </c>
    </row>
    <row r="586" spans="1:13" x14ac:dyDescent="0.3">
      <c r="A586">
        <v>411916</v>
      </c>
      <c r="B586">
        <v>967</v>
      </c>
      <c r="C586" s="1" t="s">
        <v>100</v>
      </c>
      <c r="D586" s="5">
        <v>45136</v>
      </c>
      <c r="E586" s="10">
        <v>36811</v>
      </c>
      <c r="F586" s="15">
        <f t="shared" si="27"/>
        <v>7</v>
      </c>
      <c r="G586" s="10" t="str">
        <f t="shared" si="28"/>
        <v>Saturday</v>
      </c>
      <c r="H586" s="9" t="str">
        <f t="shared" si="29"/>
        <v>July</v>
      </c>
      <c r="I586" t="s">
        <v>190</v>
      </c>
      <c r="J586" t="s">
        <v>42</v>
      </c>
      <c r="K586">
        <v>2961</v>
      </c>
      <c r="L586" s="5" t="str">
        <f>IF(OR(K586&lt;Answers!$C$16,Orders!K586&gt;Answers!$C$17),"Yes","No")</f>
        <v>No</v>
      </c>
      <c r="M586" s="14">
        <f>VLOOKUP(B586,Customers!$A$1:$E$2501,4,0)</f>
        <v>54</v>
      </c>
    </row>
    <row r="587" spans="1:13" x14ac:dyDescent="0.3">
      <c r="A587">
        <v>412386</v>
      </c>
      <c r="B587">
        <v>1997</v>
      </c>
      <c r="C587" s="1" t="s">
        <v>104</v>
      </c>
      <c r="D587" s="5">
        <v>45135</v>
      </c>
      <c r="E587" s="10">
        <v>8.2638888888888887E-2</v>
      </c>
      <c r="F587" s="15">
        <f t="shared" si="27"/>
        <v>7</v>
      </c>
      <c r="G587" s="10" t="str">
        <f t="shared" si="28"/>
        <v>Friday</v>
      </c>
      <c r="H587" s="9" t="str">
        <f t="shared" si="29"/>
        <v>July</v>
      </c>
      <c r="I587" t="s">
        <v>96</v>
      </c>
      <c r="J587" t="s">
        <v>90</v>
      </c>
      <c r="K587">
        <v>2004</v>
      </c>
      <c r="L587" s="5" t="str">
        <f>IF(OR(K587&lt;Answers!$C$16,Orders!K587&gt;Answers!$C$17),"Yes","No")</f>
        <v>No</v>
      </c>
      <c r="M587" s="14">
        <f>VLOOKUP(B587,Customers!$A$1:$E$2501,4,0)</f>
        <v>79</v>
      </c>
    </row>
    <row r="588" spans="1:13" x14ac:dyDescent="0.3">
      <c r="A588">
        <v>412431</v>
      </c>
      <c r="B588">
        <v>1620</v>
      </c>
      <c r="C588" s="1" t="s">
        <v>98</v>
      </c>
      <c r="D588" s="5">
        <v>45225</v>
      </c>
      <c r="E588" s="10">
        <v>0.47847222222222224</v>
      </c>
      <c r="F588" s="15">
        <f t="shared" si="27"/>
        <v>10</v>
      </c>
      <c r="G588" s="10" t="str">
        <f t="shared" si="28"/>
        <v>Thursday</v>
      </c>
      <c r="H588" s="9" t="str">
        <f t="shared" si="29"/>
        <v>October</v>
      </c>
      <c r="I588" t="s">
        <v>96</v>
      </c>
      <c r="J588" t="s">
        <v>77</v>
      </c>
      <c r="K588">
        <v>4390</v>
      </c>
      <c r="L588" s="5" t="str">
        <f>IF(OR(K588&lt;Answers!$C$16,Orders!K588&gt;Answers!$C$17),"Yes","No")</f>
        <v>No</v>
      </c>
      <c r="M588" s="14">
        <f>VLOOKUP(B588,Customers!$A$1:$E$2501,4,0)</f>
        <v>61</v>
      </c>
    </row>
    <row r="589" spans="1:13" x14ac:dyDescent="0.3">
      <c r="A589">
        <v>413305</v>
      </c>
      <c r="B589">
        <v>294</v>
      </c>
      <c r="C589" s="1" t="s">
        <v>99</v>
      </c>
      <c r="D589" s="5">
        <v>44943</v>
      </c>
      <c r="E589" s="10">
        <v>0.5</v>
      </c>
      <c r="F589" s="15">
        <f t="shared" si="27"/>
        <v>1</v>
      </c>
      <c r="G589" s="10" t="str">
        <f t="shared" si="28"/>
        <v>Tuesday</v>
      </c>
      <c r="H589" s="9" t="str">
        <f t="shared" si="29"/>
        <v>January</v>
      </c>
      <c r="I589" t="s">
        <v>95</v>
      </c>
      <c r="J589" t="s">
        <v>28</v>
      </c>
      <c r="K589">
        <v>39</v>
      </c>
      <c r="L589" s="5" t="str">
        <f>IF(OR(K589&lt;Answers!$C$16,Orders!K589&gt;Answers!$C$17),"Yes","No")</f>
        <v>No</v>
      </c>
      <c r="M589" s="14">
        <f>VLOOKUP(B589,Customers!$A$1:$E$2501,4,0)</f>
        <v>30</v>
      </c>
    </row>
    <row r="590" spans="1:13" x14ac:dyDescent="0.3">
      <c r="A590">
        <v>413694</v>
      </c>
      <c r="B590">
        <v>1551</v>
      </c>
      <c r="C590" s="1" t="s">
        <v>98</v>
      </c>
      <c r="D590" s="5">
        <v>45049</v>
      </c>
      <c r="E590" s="10">
        <v>5.2777777777777778E-2</v>
      </c>
      <c r="F590" s="15">
        <f t="shared" si="27"/>
        <v>5</v>
      </c>
      <c r="G590" s="10" t="str">
        <f t="shared" si="28"/>
        <v>Wednesday</v>
      </c>
      <c r="H590" s="9" t="str">
        <f t="shared" si="29"/>
        <v>May</v>
      </c>
      <c r="I590" t="s">
        <v>95</v>
      </c>
      <c r="J590" t="s">
        <v>33</v>
      </c>
      <c r="K590">
        <v>4835</v>
      </c>
      <c r="L590" s="5" t="str">
        <f>IF(OR(K590&lt;Answers!$C$16,Orders!K590&gt;Answers!$C$17),"Yes","No")</f>
        <v>No</v>
      </c>
      <c r="M590" s="14">
        <f>VLOOKUP(B590,Customers!$A$1:$E$2501,4,0)</f>
        <v>21</v>
      </c>
    </row>
    <row r="591" spans="1:13" x14ac:dyDescent="0.3">
      <c r="A591">
        <v>414161</v>
      </c>
      <c r="B591">
        <v>1675</v>
      </c>
      <c r="C591" s="1" t="s">
        <v>98</v>
      </c>
      <c r="D591" s="5">
        <v>45287</v>
      </c>
      <c r="E591" s="10">
        <v>0.49236111111111114</v>
      </c>
      <c r="F591" s="15">
        <f t="shared" si="27"/>
        <v>12</v>
      </c>
      <c r="G591" s="10" t="str">
        <f t="shared" si="28"/>
        <v>Wednesday</v>
      </c>
      <c r="H591" s="9" t="str">
        <f t="shared" si="29"/>
        <v>December</v>
      </c>
      <c r="I591" t="s">
        <v>190</v>
      </c>
      <c r="J591" t="s">
        <v>86</v>
      </c>
      <c r="K591">
        <v>3894</v>
      </c>
      <c r="L591" s="5" t="str">
        <f>IF(OR(K591&lt;Answers!$C$16,Orders!K591&gt;Answers!$C$17),"Yes","No")</f>
        <v>No</v>
      </c>
      <c r="M591" s="14">
        <f>VLOOKUP(B591,Customers!$A$1:$E$2501,4,0)</f>
        <v>57</v>
      </c>
    </row>
    <row r="592" spans="1:13" x14ac:dyDescent="0.3">
      <c r="A592">
        <v>414191</v>
      </c>
      <c r="B592">
        <v>350</v>
      </c>
      <c r="C592" s="1" t="s">
        <v>108</v>
      </c>
      <c r="D592" s="5">
        <v>44936</v>
      </c>
      <c r="E592" s="10">
        <v>0.45833333333333331</v>
      </c>
      <c r="F592" s="15">
        <f t="shared" si="27"/>
        <v>1</v>
      </c>
      <c r="G592" s="10" t="str">
        <f t="shared" si="28"/>
        <v>Tuesday</v>
      </c>
      <c r="H592" s="9" t="str">
        <f t="shared" si="29"/>
        <v>January</v>
      </c>
      <c r="I592" t="s">
        <v>95</v>
      </c>
      <c r="J592" t="s">
        <v>39</v>
      </c>
      <c r="K592">
        <v>6814</v>
      </c>
      <c r="L592" s="5" t="str">
        <f>IF(OR(K592&lt;Answers!$C$16,Orders!K592&gt;Answers!$C$17),"Yes","No")</f>
        <v>No</v>
      </c>
      <c r="M592" s="14">
        <f>VLOOKUP(B592,Customers!$A$1:$E$2501,4,0)</f>
        <v>39</v>
      </c>
    </row>
    <row r="593" spans="1:13" x14ac:dyDescent="0.3">
      <c r="A593">
        <v>416161</v>
      </c>
      <c r="B593">
        <v>1030</v>
      </c>
      <c r="C593" s="1" t="s">
        <v>112</v>
      </c>
      <c r="D593" s="5">
        <v>44973</v>
      </c>
      <c r="E593" s="10">
        <v>5.0694444444444445E-2</v>
      </c>
      <c r="F593" s="15">
        <f t="shared" si="27"/>
        <v>2</v>
      </c>
      <c r="G593" s="10" t="str">
        <f t="shared" si="28"/>
        <v>Thursday</v>
      </c>
      <c r="H593" s="9" t="str">
        <f t="shared" si="29"/>
        <v>February</v>
      </c>
      <c r="I593" t="s">
        <v>97</v>
      </c>
      <c r="J593" t="s">
        <v>68</v>
      </c>
      <c r="K593">
        <v>5555</v>
      </c>
      <c r="L593" s="5" t="str">
        <f>IF(OR(K593&lt;Answers!$C$16,Orders!K593&gt;Answers!$C$17),"Yes","No")</f>
        <v>No</v>
      </c>
      <c r="M593" s="14">
        <f>VLOOKUP(B593,Customers!$A$1:$E$2501,4,0)</f>
        <v>68</v>
      </c>
    </row>
    <row r="594" spans="1:13" x14ac:dyDescent="0.3">
      <c r="A594">
        <v>417613</v>
      </c>
      <c r="B594">
        <v>1547</v>
      </c>
      <c r="C594" s="1" t="s">
        <v>99</v>
      </c>
      <c r="D594" s="5">
        <v>45011</v>
      </c>
      <c r="E594" s="10">
        <v>5.7638888888888892E-2</v>
      </c>
      <c r="F594" s="15">
        <f t="shared" si="27"/>
        <v>3</v>
      </c>
      <c r="G594" s="10" t="str">
        <f t="shared" si="28"/>
        <v>Sunday</v>
      </c>
      <c r="H594" s="9" t="str">
        <f t="shared" si="29"/>
        <v>March</v>
      </c>
      <c r="I594" t="s">
        <v>97</v>
      </c>
      <c r="J594" t="s">
        <v>25</v>
      </c>
      <c r="K594">
        <v>8023</v>
      </c>
      <c r="L594" s="5" t="str">
        <f>IF(OR(K594&lt;Answers!$C$16,Orders!K594&gt;Answers!$C$17),"Yes","No")</f>
        <v>No</v>
      </c>
      <c r="M594" s="14">
        <f>VLOOKUP(B594,Customers!$A$1:$E$2501,4,0)</f>
        <v>37</v>
      </c>
    </row>
    <row r="595" spans="1:13" x14ac:dyDescent="0.3">
      <c r="A595">
        <v>417779</v>
      </c>
      <c r="B595">
        <v>1473</v>
      </c>
      <c r="C595" s="1" t="s">
        <v>98</v>
      </c>
      <c r="D595" s="5">
        <v>44957</v>
      </c>
      <c r="E595" s="10">
        <v>0.52777777777777779</v>
      </c>
      <c r="F595" s="15">
        <f t="shared" si="27"/>
        <v>1</v>
      </c>
      <c r="G595" s="10" t="str">
        <f t="shared" si="28"/>
        <v>Tuesday</v>
      </c>
      <c r="H595" s="9" t="str">
        <f t="shared" si="29"/>
        <v>January</v>
      </c>
      <c r="I595" t="s">
        <v>95</v>
      </c>
      <c r="J595" t="s">
        <v>42</v>
      </c>
      <c r="K595">
        <v>9335</v>
      </c>
      <c r="L595" s="5" t="str">
        <f>IF(OR(K595&lt;Answers!$C$16,Orders!K595&gt;Answers!$C$17),"Yes","No")</f>
        <v>No</v>
      </c>
      <c r="M595" s="14">
        <f>VLOOKUP(B595,Customers!$A$1:$E$2501,4,0)</f>
        <v>40</v>
      </c>
    </row>
    <row r="596" spans="1:13" x14ac:dyDescent="0.3">
      <c r="A596">
        <v>419211</v>
      </c>
      <c r="B596">
        <v>1044</v>
      </c>
      <c r="C596" s="1" t="s">
        <v>112</v>
      </c>
      <c r="D596" s="5">
        <v>45009</v>
      </c>
      <c r="E596" s="10">
        <v>0.49305555555555558</v>
      </c>
      <c r="F596" s="15">
        <f t="shared" si="27"/>
        <v>3</v>
      </c>
      <c r="G596" s="10" t="str">
        <f t="shared" si="28"/>
        <v>Friday</v>
      </c>
      <c r="H596" s="9" t="str">
        <f t="shared" si="29"/>
        <v>March</v>
      </c>
      <c r="I596" t="s">
        <v>95</v>
      </c>
      <c r="J596" t="s">
        <v>48</v>
      </c>
      <c r="K596">
        <v>4918</v>
      </c>
      <c r="L596" s="5" t="str">
        <f>IF(OR(K596&lt;Answers!$C$16,Orders!K596&gt;Answers!$C$17),"Yes","No")</f>
        <v>No</v>
      </c>
      <c r="M596" s="14">
        <f>VLOOKUP(B596,Customers!$A$1:$E$2501,4,0)</f>
        <v>26</v>
      </c>
    </row>
    <row r="597" spans="1:13" x14ac:dyDescent="0.3">
      <c r="A597">
        <v>419676</v>
      </c>
      <c r="B597">
        <v>1259</v>
      </c>
      <c r="C597" s="1" t="s">
        <v>98</v>
      </c>
      <c r="D597" s="5">
        <v>45060</v>
      </c>
      <c r="E597" s="10">
        <v>6.9444444444444448E-2</v>
      </c>
      <c r="F597" s="15">
        <f t="shared" si="27"/>
        <v>5</v>
      </c>
      <c r="G597" s="10" t="str">
        <f t="shared" si="28"/>
        <v>Sunday</v>
      </c>
      <c r="H597" s="9" t="str">
        <f t="shared" si="29"/>
        <v>May</v>
      </c>
      <c r="I597" t="s">
        <v>190</v>
      </c>
      <c r="J597" t="s">
        <v>70</v>
      </c>
      <c r="K597">
        <v>7702</v>
      </c>
      <c r="L597" s="5" t="str">
        <f>IF(OR(K597&lt;Answers!$C$16,Orders!K597&gt;Answers!$C$17),"Yes","No")</f>
        <v>No</v>
      </c>
      <c r="M597" s="14">
        <f>VLOOKUP(B597,Customers!$A$1:$E$2501,4,0)</f>
        <v>45</v>
      </c>
    </row>
    <row r="598" spans="1:13" x14ac:dyDescent="0.3">
      <c r="A598">
        <v>421069</v>
      </c>
      <c r="B598">
        <v>440</v>
      </c>
      <c r="C598" s="1" t="s">
        <v>108</v>
      </c>
      <c r="D598" s="5">
        <v>45046</v>
      </c>
      <c r="E598" s="10">
        <v>36810</v>
      </c>
      <c r="F598" s="15">
        <f t="shared" si="27"/>
        <v>4</v>
      </c>
      <c r="G598" s="10" t="str">
        <f t="shared" si="28"/>
        <v>Sunday</v>
      </c>
      <c r="H598" s="9" t="str">
        <f t="shared" si="29"/>
        <v>April</v>
      </c>
      <c r="I598" t="s">
        <v>96</v>
      </c>
      <c r="J598" t="s">
        <v>6</v>
      </c>
      <c r="K598">
        <v>1791</v>
      </c>
      <c r="L598" s="5" t="str">
        <f>IF(OR(K598&lt;Answers!$C$16,Orders!K598&gt;Answers!$C$17),"Yes","No")</f>
        <v>No</v>
      </c>
      <c r="M598" s="14">
        <f>VLOOKUP(B598,Customers!$A$1:$E$2501,4,0)</f>
        <v>83</v>
      </c>
    </row>
    <row r="599" spans="1:13" x14ac:dyDescent="0.3">
      <c r="A599">
        <v>421505</v>
      </c>
      <c r="B599">
        <v>1088</v>
      </c>
      <c r="C599" s="1" t="s">
        <v>112</v>
      </c>
      <c r="D599" s="5">
        <v>45013</v>
      </c>
      <c r="E599" s="10">
        <v>5.9722222222222225E-2</v>
      </c>
      <c r="F599" s="15">
        <f t="shared" si="27"/>
        <v>3</v>
      </c>
      <c r="G599" s="10" t="str">
        <f t="shared" si="28"/>
        <v>Tuesday</v>
      </c>
      <c r="H599" s="9" t="str">
        <f t="shared" si="29"/>
        <v>March</v>
      </c>
      <c r="I599" t="s">
        <v>95</v>
      </c>
      <c r="J599" t="s">
        <v>26</v>
      </c>
      <c r="K599">
        <v>6441</v>
      </c>
      <c r="L599" s="5" t="str">
        <f>IF(OR(K599&lt;Answers!$C$16,Orders!K599&gt;Answers!$C$17),"Yes","No")</f>
        <v>No</v>
      </c>
      <c r="M599" s="14">
        <f>VLOOKUP(B599,Customers!$A$1:$E$2501,4,0)</f>
        <v>72</v>
      </c>
    </row>
    <row r="600" spans="1:13" x14ac:dyDescent="0.3">
      <c r="A600">
        <v>422786</v>
      </c>
      <c r="B600">
        <v>1530</v>
      </c>
      <c r="C600" s="1" t="s">
        <v>103</v>
      </c>
      <c r="D600" s="5">
        <v>45195</v>
      </c>
      <c r="E600" s="10">
        <v>36526</v>
      </c>
      <c r="F600" s="15">
        <f t="shared" si="27"/>
        <v>9</v>
      </c>
      <c r="G600" s="10" t="str">
        <f t="shared" si="28"/>
        <v>Tuesday</v>
      </c>
      <c r="H600" s="9" t="str">
        <f t="shared" si="29"/>
        <v>September</v>
      </c>
      <c r="I600" t="s">
        <v>96</v>
      </c>
      <c r="J600" t="s">
        <v>64</v>
      </c>
      <c r="K600">
        <v>642</v>
      </c>
      <c r="L600" s="5" t="str">
        <f>IF(OR(K600&lt;Answers!$C$16,Orders!K600&gt;Answers!$C$17),"Yes","No")</f>
        <v>No</v>
      </c>
      <c r="M600" s="14">
        <f>VLOOKUP(B600,Customers!$A$1:$E$2501,4,0)</f>
        <v>79</v>
      </c>
    </row>
    <row r="601" spans="1:13" x14ac:dyDescent="0.3">
      <c r="A601">
        <v>423114</v>
      </c>
      <c r="B601">
        <v>1201</v>
      </c>
      <c r="C601" s="1" t="s">
        <v>99</v>
      </c>
      <c r="D601" s="5">
        <v>44983</v>
      </c>
      <c r="E601" s="10">
        <v>0.49305555555555558</v>
      </c>
      <c r="F601" s="15">
        <f t="shared" si="27"/>
        <v>2</v>
      </c>
      <c r="G601" s="10" t="str">
        <f t="shared" si="28"/>
        <v>Sunday</v>
      </c>
      <c r="H601" s="9" t="str">
        <f t="shared" si="29"/>
        <v>February</v>
      </c>
      <c r="I601" t="s">
        <v>97</v>
      </c>
      <c r="J601" t="s">
        <v>23</v>
      </c>
      <c r="K601">
        <v>6057</v>
      </c>
      <c r="L601" s="5" t="str">
        <f>IF(OR(K601&lt;Answers!$C$16,Orders!K601&gt;Answers!$C$17),"Yes","No")</f>
        <v>No</v>
      </c>
      <c r="M601" s="14">
        <f>VLOOKUP(B601,Customers!$A$1:$E$2501,4,0)</f>
        <v>89</v>
      </c>
    </row>
    <row r="602" spans="1:13" x14ac:dyDescent="0.3">
      <c r="A602">
        <v>423933</v>
      </c>
      <c r="B602">
        <v>703</v>
      </c>
      <c r="C602" s="1" t="s">
        <v>98</v>
      </c>
      <c r="D602" s="5">
        <v>45007</v>
      </c>
      <c r="E602" s="10">
        <v>6.3194444444444442E-2</v>
      </c>
      <c r="F602" s="15">
        <f t="shared" si="27"/>
        <v>3</v>
      </c>
      <c r="G602" s="10" t="str">
        <f t="shared" si="28"/>
        <v>Wednesday</v>
      </c>
      <c r="H602" s="9" t="str">
        <f t="shared" si="29"/>
        <v>March</v>
      </c>
      <c r="I602" t="s">
        <v>190</v>
      </c>
      <c r="J602" t="s">
        <v>69</v>
      </c>
      <c r="K602">
        <v>4027</v>
      </c>
      <c r="L602" s="5" t="str">
        <f>IF(OR(K602&lt;Answers!$C$16,Orders!K602&gt;Answers!$C$17),"Yes","No")</f>
        <v>No</v>
      </c>
      <c r="M602" s="14">
        <f>VLOOKUP(B602,Customers!$A$1:$E$2501,4,0)</f>
        <v>84</v>
      </c>
    </row>
    <row r="603" spans="1:13" x14ac:dyDescent="0.3">
      <c r="A603">
        <v>424079</v>
      </c>
      <c r="B603">
        <v>1816</v>
      </c>
      <c r="C603" s="1" t="s">
        <v>104</v>
      </c>
      <c r="D603" s="5">
        <v>45263</v>
      </c>
      <c r="E603" s="10">
        <v>36781</v>
      </c>
      <c r="F603" s="15">
        <f t="shared" si="27"/>
        <v>12</v>
      </c>
      <c r="G603" s="10" t="str">
        <f t="shared" si="28"/>
        <v>Sunday</v>
      </c>
      <c r="H603" s="9" t="str">
        <f t="shared" si="29"/>
        <v>December</v>
      </c>
      <c r="I603" t="s">
        <v>96</v>
      </c>
      <c r="J603" t="s">
        <v>70</v>
      </c>
      <c r="K603">
        <v>9152</v>
      </c>
      <c r="L603" s="5" t="str">
        <f>IF(OR(K603&lt;Answers!$C$16,Orders!K603&gt;Answers!$C$17),"Yes","No")</f>
        <v>No</v>
      </c>
      <c r="M603" s="14">
        <f>VLOOKUP(B603,Customers!$A$1:$E$2501,4,0)</f>
        <v>75</v>
      </c>
    </row>
    <row r="604" spans="1:13" x14ac:dyDescent="0.3">
      <c r="A604">
        <v>424517</v>
      </c>
      <c r="B604">
        <v>870</v>
      </c>
      <c r="C604" s="1" t="s">
        <v>112</v>
      </c>
      <c r="D604" s="5">
        <v>44934</v>
      </c>
      <c r="E604" s="10">
        <v>0.52638888888888891</v>
      </c>
      <c r="F604" s="15">
        <f t="shared" si="27"/>
        <v>1</v>
      </c>
      <c r="G604" s="10" t="str">
        <f t="shared" si="28"/>
        <v>Sunday</v>
      </c>
      <c r="H604" s="9" t="str">
        <f t="shared" si="29"/>
        <v>January</v>
      </c>
      <c r="I604" t="s">
        <v>96</v>
      </c>
      <c r="J604" t="s">
        <v>42</v>
      </c>
      <c r="K604">
        <v>2515</v>
      </c>
      <c r="L604" s="5" t="str">
        <f>IF(OR(K604&lt;Answers!$C$16,Orders!K604&gt;Answers!$C$17),"Yes","No")</f>
        <v>No</v>
      </c>
      <c r="M604" s="14">
        <f>VLOOKUP(B604,Customers!$A$1:$E$2501,4,0)</f>
        <v>65</v>
      </c>
    </row>
    <row r="605" spans="1:13" x14ac:dyDescent="0.3">
      <c r="A605">
        <v>425030</v>
      </c>
      <c r="B605">
        <v>1231</v>
      </c>
      <c r="C605" s="1" t="s">
        <v>103</v>
      </c>
      <c r="D605" s="5">
        <v>44984</v>
      </c>
      <c r="E605" s="10">
        <v>5.8333333333333334E-2</v>
      </c>
      <c r="F605" s="15">
        <f t="shared" si="27"/>
        <v>2</v>
      </c>
      <c r="G605" s="10" t="str">
        <f t="shared" si="28"/>
        <v>Monday</v>
      </c>
      <c r="H605" s="9" t="str">
        <f t="shared" si="29"/>
        <v>February</v>
      </c>
      <c r="I605" t="s">
        <v>190</v>
      </c>
      <c r="J605" t="s">
        <v>44</v>
      </c>
      <c r="K605">
        <v>5268</v>
      </c>
      <c r="L605" s="5" t="str">
        <f>IF(OR(K605&lt;Answers!$C$16,Orders!K605&gt;Answers!$C$17),"Yes","No")</f>
        <v>No</v>
      </c>
      <c r="M605" s="14">
        <f>VLOOKUP(B605,Customers!$A$1:$E$2501,4,0)</f>
        <v>83</v>
      </c>
    </row>
    <row r="606" spans="1:13" x14ac:dyDescent="0.3">
      <c r="A606">
        <v>425321</v>
      </c>
      <c r="B606">
        <v>117</v>
      </c>
      <c r="C606" s="1" t="s">
        <v>112</v>
      </c>
      <c r="D606" s="5">
        <v>45151</v>
      </c>
      <c r="E606" s="10">
        <v>5.9027777777777776E-2</v>
      </c>
      <c r="F606" s="15">
        <f t="shared" si="27"/>
        <v>8</v>
      </c>
      <c r="G606" s="10" t="str">
        <f t="shared" si="28"/>
        <v>Sunday</v>
      </c>
      <c r="H606" s="9" t="str">
        <f t="shared" si="29"/>
        <v>August</v>
      </c>
      <c r="I606" t="s">
        <v>95</v>
      </c>
      <c r="J606" t="s">
        <v>57</v>
      </c>
      <c r="K606">
        <v>4727</v>
      </c>
      <c r="L606" s="5" t="str">
        <f>IF(OR(K606&lt;Answers!$C$16,Orders!K606&gt;Answers!$C$17),"Yes","No")</f>
        <v>No</v>
      </c>
      <c r="M606" s="14">
        <f>VLOOKUP(B606,Customers!$A$1:$E$2501,4,0)</f>
        <v>28</v>
      </c>
    </row>
    <row r="607" spans="1:13" x14ac:dyDescent="0.3">
      <c r="A607">
        <v>425554</v>
      </c>
      <c r="B607">
        <v>1363</v>
      </c>
      <c r="C607" s="1" t="s">
        <v>99</v>
      </c>
      <c r="D607" s="5">
        <v>45171</v>
      </c>
      <c r="E607" s="10">
        <v>0.47708333333333336</v>
      </c>
      <c r="F607" s="15">
        <f t="shared" si="27"/>
        <v>9</v>
      </c>
      <c r="G607" s="10" t="str">
        <f t="shared" si="28"/>
        <v>Saturday</v>
      </c>
      <c r="H607" s="9" t="str">
        <f t="shared" si="29"/>
        <v>September</v>
      </c>
      <c r="I607" t="s">
        <v>97</v>
      </c>
      <c r="J607" t="s">
        <v>66</v>
      </c>
      <c r="K607">
        <v>6327</v>
      </c>
      <c r="L607" s="5" t="str">
        <f>IF(OR(K607&lt;Answers!$C$16,Orders!K607&gt;Answers!$C$17),"Yes","No")</f>
        <v>No</v>
      </c>
      <c r="M607" s="14">
        <f>VLOOKUP(B607,Customers!$A$1:$E$2501,4,0)</f>
        <v>81</v>
      </c>
    </row>
    <row r="608" spans="1:13" x14ac:dyDescent="0.3">
      <c r="A608">
        <v>425673</v>
      </c>
      <c r="B608">
        <v>1058</v>
      </c>
      <c r="C608" s="1" t="s">
        <v>112</v>
      </c>
      <c r="D608" s="5">
        <v>45196</v>
      </c>
      <c r="E608" s="10">
        <v>0.53055555555555556</v>
      </c>
      <c r="F608" s="15">
        <f t="shared" si="27"/>
        <v>9</v>
      </c>
      <c r="G608" s="10" t="str">
        <f t="shared" si="28"/>
        <v>Wednesday</v>
      </c>
      <c r="H608" s="9" t="str">
        <f t="shared" si="29"/>
        <v>September</v>
      </c>
      <c r="I608" t="s">
        <v>97</v>
      </c>
      <c r="J608" t="s">
        <v>10</v>
      </c>
      <c r="K608">
        <v>491</v>
      </c>
      <c r="L608" s="5" t="str">
        <f>IF(OR(K608&lt;Answers!$C$16,Orders!K608&gt;Answers!$C$17),"Yes","No")</f>
        <v>No</v>
      </c>
      <c r="M608" s="14">
        <f>VLOOKUP(B608,Customers!$A$1:$E$2501,4,0)</f>
        <v>74</v>
      </c>
    </row>
    <row r="609" spans="1:13" x14ac:dyDescent="0.3">
      <c r="A609">
        <v>426056</v>
      </c>
      <c r="B609">
        <v>1138</v>
      </c>
      <c r="C609" s="1" t="s">
        <v>100</v>
      </c>
      <c r="D609" s="5">
        <v>45034</v>
      </c>
      <c r="E609" s="10">
        <v>0.48888888888888887</v>
      </c>
      <c r="F609" s="15">
        <f t="shared" si="27"/>
        <v>4</v>
      </c>
      <c r="G609" s="10" t="str">
        <f t="shared" si="28"/>
        <v>Tuesday</v>
      </c>
      <c r="H609" s="9" t="str">
        <f t="shared" si="29"/>
        <v>April</v>
      </c>
      <c r="I609" t="s">
        <v>96</v>
      </c>
      <c r="J609" t="s">
        <v>43</v>
      </c>
      <c r="K609">
        <v>3481</v>
      </c>
      <c r="L609" s="5" t="str">
        <f>IF(OR(K609&lt;Answers!$C$16,Orders!K609&gt;Answers!$C$17),"Yes","No")</f>
        <v>No</v>
      </c>
      <c r="M609" s="14">
        <f>VLOOKUP(B609,Customers!$A$1:$E$2501,4,0)</f>
        <v>83</v>
      </c>
    </row>
    <row r="610" spans="1:13" x14ac:dyDescent="0.3">
      <c r="A610">
        <v>426461</v>
      </c>
      <c r="B610">
        <v>254</v>
      </c>
      <c r="C610" s="1" t="s">
        <v>99</v>
      </c>
      <c r="D610" s="5">
        <v>44959</v>
      </c>
      <c r="E610" s="10">
        <v>7.6388888888888895E-2</v>
      </c>
      <c r="F610" s="15">
        <f t="shared" si="27"/>
        <v>2</v>
      </c>
      <c r="G610" s="10" t="str">
        <f t="shared" si="28"/>
        <v>Thursday</v>
      </c>
      <c r="H610" s="9" t="str">
        <f t="shared" si="29"/>
        <v>February</v>
      </c>
      <c r="I610" t="s">
        <v>190</v>
      </c>
      <c r="J610" t="s">
        <v>26</v>
      </c>
      <c r="K610">
        <v>6998</v>
      </c>
      <c r="L610" s="5" t="str">
        <f>IF(OR(K610&lt;Answers!$C$16,Orders!K610&gt;Answers!$C$17),"Yes","No")</f>
        <v>No</v>
      </c>
      <c r="M610" s="14">
        <f>VLOOKUP(B610,Customers!$A$1:$E$2501,4,0)</f>
        <v>88</v>
      </c>
    </row>
    <row r="611" spans="1:13" x14ac:dyDescent="0.3">
      <c r="A611">
        <v>426515</v>
      </c>
      <c r="B611">
        <v>971</v>
      </c>
      <c r="C611" s="1" t="s">
        <v>99</v>
      </c>
      <c r="D611" s="5">
        <v>45219</v>
      </c>
      <c r="E611" s="10">
        <v>0.53680555555555554</v>
      </c>
      <c r="F611" s="15">
        <f t="shared" si="27"/>
        <v>10</v>
      </c>
      <c r="G611" s="10" t="str">
        <f t="shared" si="28"/>
        <v>Friday</v>
      </c>
      <c r="H611" s="9" t="str">
        <f t="shared" si="29"/>
        <v>October</v>
      </c>
      <c r="I611" t="s">
        <v>190</v>
      </c>
      <c r="J611" t="s">
        <v>26</v>
      </c>
      <c r="K611">
        <v>6753</v>
      </c>
      <c r="L611" s="5" t="str">
        <f>IF(OR(K611&lt;Answers!$C$16,Orders!K611&gt;Answers!$C$17),"Yes","No")</f>
        <v>No</v>
      </c>
      <c r="M611" s="14">
        <f>VLOOKUP(B611,Customers!$A$1:$E$2501,4,0)</f>
        <v>22</v>
      </c>
    </row>
    <row r="612" spans="1:13" x14ac:dyDescent="0.3">
      <c r="A612">
        <v>427737</v>
      </c>
      <c r="B612">
        <v>780</v>
      </c>
      <c r="C612" s="1" t="s">
        <v>112</v>
      </c>
      <c r="D612" s="5">
        <v>45288</v>
      </c>
      <c r="E612" s="10">
        <v>0.54027777777777775</v>
      </c>
      <c r="F612" s="15">
        <f t="shared" si="27"/>
        <v>12</v>
      </c>
      <c r="G612" s="10" t="str">
        <f t="shared" si="28"/>
        <v>Thursday</v>
      </c>
      <c r="H612" s="9" t="str">
        <f t="shared" si="29"/>
        <v>December</v>
      </c>
      <c r="I612" t="s">
        <v>190</v>
      </c>
      <c r="J612" t="s">
        <v>72</v>
      </c>
      <c r="K612">
        <v>4456</v>
      </c>
      <c r="L612" s="5" t="str">
        <f>IF(OR(K612&lt;Answers!$C$16,Orders!K612&gt;Answers!$C$17),"Yes","No")</f>
        <v>No</v>
      </c>
      <c r="M612" s="14">
        <f>VLOOKUP(B612,Customers!$A$1:$E$2501,4,0)</f>
        <v>43</v>
      </c>
    </row>
    <row r="613" spans="1:13" x14ac:dyDescent="0.3">
      <c r="A613">
        <v>429796</v>
      </c>
      <c r="B613">
        <v>771</v>
      </c>
      <c r="C613" s="1" t="s">
        <v>107</v>
      </c>
      <c r="D613" s="5">
        <v>45171</v>
      </c>
      <c r="E613" s="10">
        <v>0.53055555555555556</v>
      </c>
      <c r="F613" s="15">
        <f t="shared" si="27"/>
        <v>9</v>
      </c>
      <c r="G613" s="10" t="str">
        <f t="shared" si="28"/>
        <v>Saturday</v>
      </c>
      <c r="H613" s="9" t="str">
        <f t="shared" si="29"/>
        <v>September</v>
      </c>
      <c r="I613" t="s">
        <v>97</v>
      </c>
      <c r="J613" t="s">
        <v>63</v>
      </c>
      <c r="K613">
        <v>9994</v>
      </c>
      <c r="L613" s="5" t="str">
        <f>IF(OR(K613&lt;Answers!$C$16,Orders!K613&gt;Answers!$C$17),"Yes","No")</f>
        <v>No</v>
      </c>
      <c r="M613" s="14">
        <f>VLOOKUP(B613,Customers!$A$1:$E$2501,4,0)</f>
        <v>82</v>
      </c>
    </row>
    <row r="614" spans="1:13" x14ac:dyDescent="0.3">
      <c r="A614">
        <v>430092</v>
      </c>
      <c r="B614">
        <v>1814</v>
      </c>
      <c r="C614" s="1" t="s">
        <v>98</v>
      </c>
      <c r="D614" s="5">
        <v>45229</v>
      </c>
      <c r="E614" s="10">
        <v>5.6944444444444443E-2</v>
      </c>
      <c r="F614" s="15">
        <f t="shared" si="27"/>
        <v>10</v>
      </c>
      <c r="G614" s="10" t="str">
        <f t="shared" si="28"/>
        <v>Monday</v>
      </c>
      <c r="H614" s="9" t="str">
        <f t="shared" si="29"/>
        <v>October</v>
      </c>
      <c r="I614" t="s">
        <v>97</v>
      </c>
      <c r="J614" t="s">
        <v>25</v>
      </c>
      <c r="K614">
        <v>5251</v>
      </c>
      <c r="L614" s="5" t="str">
        <f>IF(OR(K614&lt;Answers!$C$16,Orders!K614&gt;Answers!$C$17),"Yes","No")</f>
        <v>No</v>
      </c>
      <c r="M614" s="14">
        <f>VLOOKUP(B614,Customers!$A$1:$E$2501,4,0)</f>
        <v>86</v>
      </c>
    </row>
    <row r="615" spans="1:13" x14ac:dyDescent="0.3">
      <c r="A615">
        <v>431955</v>
      </c>
      <c r="B615">
        <v>997</v>
      </c>
      <c r="C615" s="1" t="s">
        <v>112</v>
      </c>
      <c r="D615" s="5">
        <v>44997</v>
      </c>
      <c r="E615" s="10">
        <v>36526</v>
      </c>
      <c r="F615" s="15">
        <f t="shared" si="27"/>
        <v>3</v>
      </c>
      <c r="G615" s="10" t="str">
        <f t="shared" si="28"/>
        <v>Sunday</v>
      </c>
      <c r="H615" s="9" t="str">
        <f t="shared" si="29"/>
        <v>March</v>
      </c>
      <c r="I615" t="s">
        <v>190</v>
      </c>
      <c r="J615" t="s">
        <v>73</v>
      </c>
      <c r="K615">
        <v>9387</v>
      </c>
      <c r="L615" s="5" t="str">
        <f>IF(OR(K615&lt;Answers!$C$16,Orders!K615&gt;Answers!$C$17),"Yes","No")</f>
        <v>No</v>
      </c>
      <c r="M615" s="14">
        <f>VLOOKUP(B615,Customers!$A$1:$E$2501,4,0)</f>
        <v>58</v>
      </c>
    </row>
    <row r="616" spans="1:13" x14ac:dyDescent="0.3">
      <c r="A616">
        <v>432167</v>
      </c>
      <c r="B616">
        <v>1543</v>
      </c>
      <c r="C616" s="1" t="s">
        <v>98</v>
      </c>
      <c r="D616" s="5">
        <v>44969</v>
      </c>
      <c r="E616" s="10">
        <v>0.52847222222222223</v>
      </c>
      <c r="F616" s="15">
        <f t="shared" si="27"/>
        <v>2</v>
      </c>
      <c r="G616" s="10" t="str">
        <f t="shared" si="28"/>
        <v>Sunday</v>
      </c>
      <c r="H616" s="9" t="str">
        <f t="shared" si="29"/>
        <v>February</v>
      </c>
      <c r="I616" t="s">
        <v>97</v>
      </c>
      <c r="J616" t="s">
        <v>87</v>
      </c>
      <c r="K616">
        <v>3319</v>
      </c>
      <c r="L616" s="5" t="str">
        <f>IF(OR(K616&lt;Answers!$C$16,Orders!K616&gt;Answers!$C$17),"Yes","No")</f>
        <v>No</v>
      </c>
      <c r="M616" s="14">
        <f>VLOOKUP(B616,Customers!$A$1:$E$2501,4,0)</f>
        <v>68</v>
      </c>
    </row>
    <row r="617" spans="1:13" x14ac:dyDescent="0.3">
      <c r="A617">
        <v>432633</v>
      </c>
      <c r="B617">
        <v>1738</v>
      </c>
      <c r="C617" s="1" t="s">
        <v>99</v>
      </c>
      <c r="D617" s="5">
        <v>44968</v>
      </c>
      <c r="E617" s="10">
        <v>36831</v>
      </c>
      <c r="F617" s="15">
        <f t="shared" si="27"/>
        <v>2</v>
      </c>
      <c r="G617" s="10" t="str">
        <f t="shared" si="28"/>
        <v>Saturday</v>
      </c>
      <c r="H617" s="9" t="str">
        <f t="shared" si="29"/>
        <v>February</v>
      </c>
      <c r="I617" t="s">
        <v>97</v>
      </c>
      <c r="J617" t="s">
        <v>72</v>
      </c>
      <c r="K617">
        <v>9557</v>
      </c>
      <c r="L617" s="5" t="str">
        <f>IF(OR(K617&lt;Answers!$C$16,Orders!K617&gt;Answers!$C$17),"Yes","No")</f>
        <v>No</v>
      </c>
      <c r="M617" s="14">
        <f>VLOOKUP(B617,Customers!$A$1:$E$2501,4,0)</f>
        <v>27</v>
      </c>
    </row>
    <row r="618" spans="1:13" x14ac:dyDescent="0.3">
      <c r="A618">
        <v>434591</v>
      </c>
      <c r="B618">
        <v>1450</v>
      </c>
      <c r="C618" s="1" t="s">
        <v>99</v>
      </c>
      <c r="D618" s="5">
        <v>44984</v>
      </c>
      <c r="E618" s="10">
        <v>4.1666666666666664E-2</v>
      </c>
      <c r="F618" s="15">
        <f t="shared" si="27"/>
        <v>2</v>
      </c>
      <c r="G618" s="10" t="str">
        <f t="shared" si="28"/>
        <v>Monday</v>
      </c>
      <c r="H618" s="9" t="str">
        <f t="shared" si="29"/>
        <v>February</v>
      </c>
      <c r="I618" t="s">
        <v>95</v>
      </c>
      <c r="J618" t="s">
        <v>75</v>
      </c>
      <c r="K618">
        <v>4060</v>
      </c>
      <c r="L618" s="5" t="str">
        <f>IF(OR(K618&lt;Answers!$C$16,Orders!K618&gt;Answers!$C$17),"Yes","No")</f>
        <v>No</v>
      </c>
      <c r="M618" s="14">
        <f>VLOOKUP(B618,Customers!$A$1:$E$2501,4,0)</f>
        <v>27</v>
      </c>
    </row>
    <row r="619" spans="1:13" x14ac:dyDescent="0.3">
      <c r="A619">
        <v>435768</v>
      </c>
      <c r="B619">
        <v>74</v>
      </c>
      <c r="C619" s="1" t="s">
        <v>98</v>
      </c>
      <c r="D619" s="5">
        <v>44970</v>
      </c>
      <c r="E619" s="10">
        <v>0.52222222222222225</v>
      </c>
      <c r="F619" s="15">
        <f t="shared" si="27"/>
        <v>2</v>
      </c>
      <c r="G619" s="10" t="str">
        <f t="shared" si="28"/>
        <v>Monday</v>
      </c>
      <c r="H619" s="9" t="str">
        <f t="shared" si="29"/>
        <v>February</v>
      </c>
      <c r="I619" t="s">
        <v>190</v>
      </c>
      <c r="J619" t="s">
        <v>71</v>
      </c>
      <c r="K619">
        <v>5262</v>
      </c>
      <c r="L619" s="5" t="str">
        <f>IF(OR(K619&lt;Answers!$C$16,Orders!K619&gt;Answers!$C$17),"Yes","No")</f>
        <v>No</v>
      </c>
      <c r="M619" s="14">
        <f>VLOOKUP(B619,Customers!$A$1:$E$2501,4,0)</f>
        <v>28</v>
      </c>
    </row>
    <row r="620" spans="1:13" x14ac:dyDescent="0.3">
      <c r="A620">
        <v>438673</v>
      </c>
      <c r="B620">
        <v>1769</v>
      </c>
      <c r="C620" s="1" t="s">
        <v>104</v>
      </c>
      <c r="D620" s="5">
        <v>45284</v>
      </c>
      <c r="E620" s="10">
        <v>0.44027777777777777</v>
      </c>
      <c r="F620" s="15">
        <f t="shared" si="27"/>
        <v>12</v>
      </c>
      <c r="G620" s="10" t="str">
        <f t="shared" si="28"/>
        <v>Sunday</v>
      </c>
      <c r="H620" s="9" t="str">
        <f t="shared" si="29"/>
        <v>December</v>
      </c>
      <c r="I620" t="s">
        <v>96</v>
      </c>
      <c r="J620" t="s">
        <v>24</v>
      </c>
      <c r="K620">
        <v>6941</v>
      </c>
      <c r="L620" s="5" t="str">
        <f>IF(OR(K620&lt;Answers!$C$16,Orders!K620&gt;Answers!$C$17),"Yes","No")</f>
        <v>No</v>
      </c>
      <c r="M620" s="14">
        <f>VLOOKUP(B620,Customers!$A$1:$E$2501,4,0)</f>
        <v>27</v>
      </c>
    </row>
    <row r="621" spans="1:13" x14ac:dyDescent="0.3">
      <c r="A621">
        <v>439833</v>
      </c>
      <c r="B621">
        <v>1472</v>
      </c>
      <c r="C621" s="1" t="s">
        <v>98</v>
      </c>
      <c r="D621" s="5">
        <v>45081</v>
      </c>
      <c r="E621" s="10">
        <v>9.930555555555555E-2</v>
      </c>
      <c r="F621" s="15">
        <f t="shared" si="27"/>
        <v>6</v>
      </c>
      <c r="G621" s="10" t="str">
        <f t="shared" si="28"/>
        <v>Sunday</v>
      </c>
      <c r="H621" s="9" t="str">
        <f t="shared" si="29"/>
        <v>June</v>
      </c>
      <c r="I621" t="s">
        <v>97</v>
      </c>
      <c r="J621" t="s">
        <v>3</v>
      </c>
      <c r="K621">
        <v>3338</v>
      </c>
      <c r="L621" s="5" t="str">
        <f>IF(OR(K621&lt;Answers!$C$16,Orders!K621&gt;Answers!$C$17),"Yes","No")</f>
        <v>No</v>
      </c>
      <c r="M621" s="14">
        <f>VLOOKUP(B621,Customers!$A$1:$E$2501,4,0)</f>
        <v>83</v>
      </c>
    </row>
    <row r="622" spans="1:13" x14ac:dyDescent="0.3">
      <c r="A622">
        <v>439986</v>
      </c>
      <c r="B622">
        <v>1256</v>
      </c>
      <c r="C622" s="1" t="s">
        <v>104</v>
      </c>
      <c r="D622" s="5">
        <v>45129</v>
      </c>
      <c r="E622" s="10">
        <v>0.53680555555555554</v>
      </c>
      <c r="F622" s="15">
        <f t="shared" si="27"/>
        <v>7</v>
      </c>
      <c r="G622" s="10" t="str">
        <f t="shared" si="28"/>
        <v>Saturday</v>
      </c>
      <c r="H622" s="9" t="str">
        <f t="shared" si="29"/>
        <v>July</v>
      </c>
      <c r="I622" t="s">
        <v>96</v>
      </c>
      <c r="J622" t="s">
        <v>13</v>
      </c>
      <c r="K622">
        <v>6038</v>
      </c>
      <c r="L622" s="5" t="str">
        <f>IF(OR(K622&lt;Answers!$C$16,Orders!K622&gt;Answers!$C$17),"Yes","No")</f>
        <v>No</v>
      </c>
      <c r="M622" s="14">
        <f>VLOOKUP(B622,Customers!$A$1:$E$2501,4,0)</f>
        <v>29</v>
      </c>
    </row>
    <row r="623" spans="1:13" x14ac:dyDescent="0.3">
      <c r="A623">
        <v>440925</v>
      </c>
      <c r="B623">
        <v>419</v>
      </c>
      <c r="C623" s="1" t="s">
        <v>99</v>
      </c>
      <c r="D623" s="5">
        <v>44943</v>
      </c>
      <c r="E623" s="10">
        <v>0.5131944444444444</v>
      </c>
      <c r="F623" s="15">
        <f t="shared" si="27"/>
        <v>1</v>
      </c>
      <c r="G623" s="10" t="str">
        <f t="shared" si="28"/>
        <v>Tuesday</v>
      </c>
      <c r="H623" s="9" t="str">
        <f t="shared" si="29"/>
        <v>January</v>
      </c>
      <c r="I623" t="s">
        <v>95</v>
      </c>
      <c r="J623" t="s">
        <v>76</v>
      </c>
      <c r="K623">
        <v>8432</v>
      </c>
      <c r="L623" s="5" t="str">
        <f>IF(OR(K623&lt;Answers!$C$16,Orders!K623&gt;Answers!$C$17),"Yes","No")</f>
        <v>No</v>
      </c>
      <c r="M623" s="14">
        <f>VLOOKUP(B623,Customers!$A$1:$E$2501,4,0)</f>
        <v>66</v>
      </c>
    </row>
    <row r="624" spans="1:13" x14ac:dyDescent="0.3">
      <c r="A624">
        <v>441275</v>
      </c>
      <c r="B624">
        <v>685</v>
      </c>
      <c r="C624" s="1" t="s">
        <v>100</v>
      </c>
      <c r="D624" s="5">
        <v>44944</v>
      </c>
      <c r="E624" s="10">
        <v>0.48333333333333334</v>
      </c>
      <c r="F624" s="15">
        <f t="shared" si="27"/>
        <v>1</v>
      </c>
      <c r="G624" s="10" t="str">
        <f t="shared" si="28"/>
        <v>Wednesday</v>
      </c>
      <c r="H624" s="9" t="str">
        <f t="shared" si="29"/>
        <v>January</v>
      </c>
      <c r="I624" t="s">
        <v>95</v>
      </c>
      <c r="J624" t="s">
        <v>19</v>
      </c>
      <c r="K624">
        <v>7319</v>
      </c>
      <c r="L624" s="5" t="str">
        <f>IF(OR(K624&lt;Answers!$C$16,Orders!K624&gt;Answers!$C$17),"Yes","No")</f>
        <v>No</v>
      </c>
      <c r="M624" s="14">
        <f>VLOOKUP(B624,Customers!$A$1:$E$2501,4,0)</f>
        <v>50</v>
      </c>
    </row>
    <row r="625" spans="1:13" x14ac:dyDescent="0.3">
      <c r="A625">
        <v>441310</v>
      </c>
      <c r="B625">
        <v>880</v>
      </c>
      <c r="C625" s="1" t="s">
        <v>112</v>
      </c>
      <c r="D625" s="5">
        <v>45258</v>
      </c>
      <c r="E625" s="10">
        <v>0.47847222222222224</v>
      </c>
      <c r="F625" s="15">
        <f t="shared" si="27"/>
        <v>11</v>
      </c>
      <c r="G625" s="10" t="str">
        <f t="shared" si="28"/>
        <v>Tuesday</v>
      </c>
      <c r="H625" s="9" t="str">
        <f t="shared" si="29"/>
        <v>November</v>
      </c>
      <c r="I625" t="s">
        <v>97</v>
      </c>
      <c r="J625" t="s">
        <v>40</v>
      </c>
      <c r="K625">
        <v>3544</v>
      </c>
      <c r="L625" s="5" t="str">
        <f>IF(OR(K625&lt;Answers!$C$16,Orders!K625&gt;Answers!$C$17),"Yes","No")</f>
        <v>No</v>
      </c>
      <c r="M625" s="14">
        <f>VLOOKUP(B625,Customers!$A$1:$E$2501,4,0)</f>
        <v>44</v>
      </c>
    </row>
    <row r="626" spans="1:13" x14ac:dyDescent="0.3">
      <c r="A626">
        <v>442615</v>
      </c>
      <c r="B626">
        <v>1196</v>
      </c>
      <c r="C626" s="1" t="s">
        <v>98</v>
      </c>
      <c r="D626" s="5">
        <v>45255</v>
      </c>
      <c r="E626" s="10">
        <v>0.44166666666666665</v>
      </c>
      <c r="F626" s="15">
        <f t="shared" si="27"/>
        <v>11</v>
      </c>
      <c r="G626" s="10" t="str">
        <f t="shared" si="28"/>
        <v>Saturday</v>
      </c>
      <c r="H626" s="9" t="str">
        <f t="shared" si="29"/>
        <v>November</v>
      </c>
      <c r="I626" t="s">
        <v>96</v>
      </c>
      <c r="J626" t="s">
        <v>86</v>
      </c>
      <c r="K626">
        <v>6526</v>
      </c>
      <c r="L626" s="5" t="str">
        <f>IF(OR(K626&lt;Answers!$C$16,Orders!K626&gt;Answers!$C$17),"Yes","No")</f>
        <v>No</v>
      </c>
      <c r="M626" s="14">
        <f>VLOOKUP(B626,Customers!$A$1:$E$2501,4,0)</f>
        <v>82</v>
      </c>
    </row>
    <row r="627" spans="1:13" x14ac:dyDescent="0.3">
      <c r="A627">
        <v>442842</v>
      </c>
      <c r="B627">
        <v>226</v>
      </c>
      <c r="C627" s="1" t="s">
        <v>98</v>
      </c>
      <c r="D627" s="5">
        <v>45000</v>
      </c>
      <c r="E627" s="10">
        <v>0.4513888888888889</v>
      </c>
      <c r="F627" s="15">
        <f t="shared" si="27"/>
        <v>3</v>
      </c>
      <c r="G627" s="10" t="str">
        <f t="shared" si="28"/>
        <v>Wednesday</v>
      </c>
      <c r="H627" s="9" t="str">
        <f t="shared" si="29"/>
        <v>March</v>
      </c>
      <c r="I627" t="s">
        <v>96</v>
      </c>
      <c r="J627" t="s">
        <v>22</v>
      </c>
      <c r="K627">
        <v>4064</v>
      </c>
      <c r="L627" s="5" t="str">
        <f>IF(OR(K627&lt;Answers!$C$16,Orders!K627&gt;Answers!$C$17),"Yes","No")</f>
        <v>No</v>
      </c>
      <c r="M627" s="14">
        <f>VLOOKUP(B627,Customers!$A$1:$E$2501,4,0)</f>
        <v>31</v>
      </c>
    </row>
    <row r="628" spans="1:13" x14ac:dyDescent="0.3">
      <c r="A628">
        <v>443374</v>
      </c>
      <c r="B628">
        <v>47</v>
      </c>
      <c r="C628" s="1" t="s">
        <v>104</v>
      </c>
      <c r="D628" s="5">
        <v>45061</v>
      </c>
      <c r="E628" s="10">
        <v>9.3055555555555558E-2</v>
      </c>
      <c r="F628" s="15">
        <f t="shared" si="27"/>
        <v>5</v>
      </c>
      <c r="G628" s="10" t="str">
        <f t="shared" si="28"/>
        <v>Monday</v>
      </c>
      <c r="H628" s="9" t="str">
        <f t="shared" si="29"/>
        <v>May</v>
      </c>
      <c r="I628" t="s">
        <v>97</v>
      </c>
      <c r="J628" t="s">
        <v>48</v>
      </c>
      <c r="K628">
        <v>768</v>
      </c>
      <c r="L628" s="5" t="str">
        <f>IF(OR(K628&lt;Answers!$C$16,Orders!K628&gt;Answers!$C$17),"Yes","No")</f>
        <v>No</v>
      </c>
      <c r="M628" s="14">
        <f>VLOOKUP(B628,Customers!$A$1:$E$2501,4,0)</f>
        <v>25</v>
      </c>
    </row>
    <row r="629" spans="1:13" x14ac:dyDescent="0.3">
      <c r="A629">
        <v>443577</v>
      </c>
      <c r="B629">
        <v>507</v>
      </c>
      <c r="C629" s="1" t="s">
        <v>98</v>
      </c>
      <c r="D629" s="5">
        <v>45186</v>
      </c>
      <c r="E629" s="10">
        <v>6.5277777777777782E-2</v>
      </c>
      <c r="F629" s="15">
        <f t="shared" si="27"/>
        <v>9</v>
      </c>
      <c r="G629" s="10" t="str">
        <f t="shared" si="28"/>
        <v>Sunday</v>
      </c>
      <c r="H629" s="9" t="str">
        <f t="shared" si="29"/>
        <v>September</v>
      </c>
      <c r="I629" t="s">
        <v>96</v>
      </c>
      <c r="J629" t="s">
        <v>70</v>
      </c>
      <c r="K629">
        <v>7940</v>
      </c>
      <c r="L629" s="5" t="str">
        <f>IF(OR(K629&lt;Answers!$C$16,Orders!K629&gt;Answers!$C$17),"Yes","No")</f>
        <v>No</v>
      </c>
      <c r="M629" s="14">
        <f>VLOOKUP(B629,Customers!$A$1:$E$2501,4,0)</f>
        <v>35</v>
      </c>
    </row>
    <row r="630" spans="1:13" x14ac:dyDescent="0.3">
      <c r="A630">
        <v>443968</v>
      </c>
      <c r="B630">
        <v>1179</v>
      </c>
      <c r="C630" s="1" t="s">
        <v>104</v>
      </c>
      <c r="D630" s="5">
        <v>45211</v>
      </c>
      <c r="E630" s="10">
        <v>0.52708333333333335</v>
      </c>
      <c r="F630" s="15">
        <f t="shared" si="27"/>
        <v>10</v>
      </c>
      <c r="G630" s="10" t="str">
        <f t="shared" si="28"/>
        <v>Thursday</v>
      </c>
      <c r="H630" s="9" t="str">
        <f t="shared" si="29"/>
        <v>October</v>
      </c>
      <c r="I630" t="s">
        <v>96</v>
      </c>
      <c r="J630" t="s">
        <v>54</v>
      </c>
      <c r="K630">
        <v>7784</v>
      </c>
      <c r="L630" s="5" t="str">
        <f>IF(OR(K630&lt;Answers!$C$16,Orders!K630&gt;Answers!$C$17),"Yes","No")</f>
        <v>No</v>
      </c>
      <c r="M630" s="14">
        <f>VLOOKUP(B630,Customers!$A$1:$E$2501,4,0)</f>
        <v>49</v>
      </c>
    </row>
    <row r="631" spans="1:13" x14ac:dyDescent="0.3">
      <c r="A631">
        <v>444540</v>
      </c>
      <c r="B631">
        <v>112</v>
      </c>
      <c r="C631" s="1" t="s">
        <v>98</v>
      </c>
      <c r="D631" s="5">
        <v>45174</v>
      </c>
      <c r="E631" s="10">
        <v>0.51666666666666672</v>
      </c>
      <c r="F631" s="15">
        <f t="shared" si="27"/>
        <v>9</v>
      </c>
      <c r="G631" s="10" t="str">
        <f t="shared" si="28"/>
        <v>Tuesday</v>
      </c>
      <c r="H631" s="9" t="str">
        <f t="shared" si="29"/>
        <v>September</v>
      </c>
      <c r="I631" t="s">
        <v>97</v>
      </c>
      <c r="J631" t="s">
        <v>45</v>
      </c>
      <c r="K631">
        <v>8547</v>
      </c>
      <c r="L631" s="5" t="str">
        <f>IF(OR(K631&lt;Answers!$C$16,Orders!K631&gt;Answers!$C$17),"Yes","No")</f>
        <v>No</v>
      </c>
      <c r="M631" s="14">
        <f>VLOOKUP(B631,Customers!$A$1:$E$2501,4,0)</f>
        <v>70</v>
      </c>
    </row>
    <row r="632" spans="1:13" x14ac:dyDescent="0.3">
      <c r="A632">
        <v>445200</v>
      </c>
      <c r="B632">
        <v>465</v>
      </c>
      <c r="C632" s="1" t="s">
        <v>98</v>
      </c>
      <c r="D632" s="5">
        <v>45093</v>
      </c>
      <c r="E632" s="10">
        <v>36801</v>
      </c>
      <c r="F632" s="15">
        <f t="shared" si="27"/>
        <v>6</v>
      </c>
      <c r="G632" s="10" t="str">
        <f t="shared" si="28"/>
        <v>Friday</v>
      </c>
      <c r="H632" s="9" t="str">
        <f t="shared" si="29"/>
        <v>June</v>
      </c>
      <c r="I632" t="s">
        <v>97</v>
      </c>
      <c r="J632" t="s">
        <v>81</v>
      </c>
      <c r="K632">
        <v>2670</v>
      </c>
      <c r="L632" s="5" t="str">
        <f>IF(OR(K632&lt;Answers!$C$16,Orders!K632&gt;Answers!$C$17),"Yes","No")</f>
        <v>No</v>
      </c>
      <c r="M632" s="14">
        <f>VLOOKUP(B632,Customers!$A$1:$E$2501,4,0)</f>
        <v>49</v>
      </c>
    </row>
    <row r="633" spans="1:13" x14ac:dyDescent="0.3">
      <c r="A633">
        <v>445784</v>
      </c>
      <c r="B633">
        <v>899</v>
      </c>
      <c r="C633" s="1" t="s">
        <v>98</v>
      </c>
      <c r="D633" s="5">
        <v>45127</v>
      </c>
      <c r="E633" s="10">
        <v>36557</v>
      </c>
      <c r="F633" s="15">
        <f t="shared" si="27"/>
        <v>7</v>
      </c>
      <c r="G633" s="10" t="str">
        <f t="shared" si="28"/>
        <v>Thursday</v>
      </c>
      <c r="H633" s="9" t="str">
        <f t="shared" si="29"/>
        <v>July</v>
      </c>
      <c r="I633" t="s">
        <v>190</v>
      </c>
      <c r="J633" t="s">
        <v>46</v>
      </c>
      <c r="K633">
        <v>7646</v>
      </c>
      <c r="L633" s="5" t="str">
        <f>IF(OR(K633&lt;Answers!$C$16,Orders!K633&gt;Answers!$C$17),"Yes","No")</f>
        <v>No</v>
      </c>
      <c r="M633" s="14">
        <f>VLOOKUP(B633,Customers!$A$1:$E$2501,4,0)</f>
        <v>75</v>
      </c>
    </row>
    <row r="634" spans="1:13" x14ac:dyDescent="0.3">
      <c r="A634">
        <v>446644</v>
      </c>
      <c r="B634">
        <v>1728</v>
      </c>
      <c r="C634" s="1" t="s">
        <v>99</v>
      </c>
      <c r="D634" s="5">
        <v>44948</v>
      </c>
      <c r="E634" s="10">
        <v>0.51041666666666663</v>
      </c>
      <c r="F634" s="15">
        <f t="shared" si="27"/>
        <v>1</v>
      </c>
      <c r="G634" s="10" t="str">
        <f t="shared" si="28"/>
        <v>Sunday</v>
      </c>
      <c r="H634" s="9" t="str">
        <f t="shared" si="29"/>
        <v>January</v>
      </c>
      <c r="I634" t="s">
        <v>96</v>
      </c>
      <c r="J634" t="s">
        <v>10</v>
      </c>
      <c r="K634">
        <v>8854</v>
      </c>
      <c r="L634" s="5" t="str">
        <f>IF(OR(K634&lt;Answers!$C$16,Orders!K634&gt;Answers!$C$17),"Yes","No")</f>
        <v>No</v>
      </c>
      <c r="M634" s="14">
        <f>VLOOKUP(B634,Customers!$A$1:$E$2501,4,0)</f>
        <v>27</v>
      </c>
    </row>
    <row r="635" spans="1:13" x14ac:dyDescent="0.3">
      <c r="A635">
        <v>447240</v>
      </c>
      <c r="B635">
        <v>1318</v>
      </c>
      <c r="C635" s="1" t="s">
        <v>98</v>
      </c>
      <c r="D635" s="5">
        <v>45246</v>
      </c>
      <c r="E635" s="10">
        <v>36749</v>
      </c>
      <c r="F635" s="15">
        <f t="shared" si="27"/>
        <v>11</v>
      </c>
      <c r="G635" s="10" t="str">
        <f t="shared" si="28"/>
        <v>Thursday</v>
      </c>
      <c r="H635" s="9" t="str">
        <f t="shared" si="29"/>
        <v>November</v>
      </c>
      <c r="I635" t="s">
        <v>95</v>
      </c>
      <c r="J635" t="s">
        <v>43</v>
      </c>
      <c r="K635">
        <v>6512</v>
      </c>
      <c r="L635" s="5" t="str">
        <f>IF(OR(K635&lt;Answers!$C$16,Orders!K635&gt;Answers!$C$17),"Yes","No")</f>
        <v>No</v>
      </c>
      <c r="M635" s="14">
        <f>VLOOKUP(B635,Customers!$A$1:$E$2501,4,0)</f>
        <v>24</v>
      </c>
    </row>
    <row r="636" spans="1:13" x14ac:dyDescent="0.3">
      <c r="A636">
        <v>447917</v>
      </c>
      <c r="B636">
        <v>359</v>
      </c>
      <c r="C636" s="1" t="s">
        <v>99</v>
      </c>
      <c r="D636" s="5">
        <v>45003</v>
      </c>
      <c r="E636" s="10">
        <v>0.49027777777777776</v>
      </c>
      <c r="F636" s="15">
        <f t="shared" si="27"/>
        <v>3</v>
      </c>
      <c r="G636" s="10" t="str">
        <f t="shared" si="28"/>
        <v>Saturday</v>
      </c>
      <c r="H636" s="9" t="str">
        <f t="shared" si="29"/>
        <v>March</v>
      </c>
      <c r="I636" t="s">
        <v>97</v>
      </c>
      <c r="J636" t="s">
        <v>77</v>
      </c>
      <c r="K636">
        <v>9321</v>
      </c>
      <c r="L636" s="5" t="str">
        <f>IF(OR(K636&lt;Answers!$C$16,Orders!K636&gt;Answers!$C$17),"Yes","No")</f>
        <v>No</v>
      </c>
      <c r="M636" s="14">
        <f>VLOOKUP(B636,Customers!$A$1:$E$2501,4,0)</f>
        <v>37</v>
      </c>
    </row>
    <row r="637" spans="1:13" x14ac:dyDescent="0.3">
      <c r="A637">
        <v>447970</v>
      </c>
      <c r="B637">
        <v>1464</v>
      </c>
      <c r="C637" s="1" t="s">
        <v>99</v>
      </c>
      <c r="D637" s="5">
        <v>45181</v>
      </c>
      <c r="E637" s="10">
        <v>36861</v>
      </c>
      <c r="F637" s="15">
        <f t="shared" si="27"/>
        <v>9</v>
      </c>
      <c r="G637" s="10" t="str">
        <f t="shared" si="28"/>
        <v>Tuesday</v>
      </c>
      <c r="H637" s="9" t="str">
        <f t="shared" si="29"/>
        <v>September</v>
      </c>
      <c r="I637" t="s">
        <v>95</v>
      </c>
      <c r="J637" t="s">
        <v>26</v>
      </c>
      <c r="K637">
        <v>2974</v>
      </c>
      <c r="L637" s="5" t="str">
        <f>IF(OR(K637&lt;Answers!$C$16,Orders!K637&gt;Answers!$C$17),"Yes","No")</f>
        <v>No</v>
      </c>
      <c r="M637" s="14">
        <f>VLOOKUP(B637,Customers!$A$1:$E$2501,4,0)</f>
        <v>73</v>
      </c>
    </row>
    <row r="638" spans="1:13" x14ac:dyDescent="0.3">
      <c r="A638">
        <v>448027</v>
      </c>
      <c r="B638">
        <v>1046</v>
      </c>
      <c r="C638" s="1" t="s">
        <v>112</v>
      </c>
      <c r="D638" s="5">
        <v>45116</v>
      </c>
      <c r="E638" s="10">
        <v>0.54027777777777775</v>
      </c>
      <c r="F638" s="15">
        <f t="shared" si="27"/>
        <v>7</v>
      </c>
      <c r="G638" s="10" t="str">
        <f t="shared" si="28"/>
        <v>Sunday</v>
      </c>
      <c r="H638" s="9" t="str">
        <f t="shared" si="29"/>
        <v>July</v>
      </c>
      <c r="I638" t="s">
        <v>97</v>
      </c>
      <c r="J638" t="s">
        <v>58</v>
      </c>
      <c r="K638">
        <v>532</v>
      </c>
      <c r="L638" s="5" t="str">
        <f>IF(OR(K638&lt;Answers!$C$16,Orders!K638&gt;Answers!$C$17),"Yes","No")</f>
        <v>No</v>
      </c>
      <c r="M638" s="14">
        <f>VLOOKUP(B638,Customers!$A$1:$E$2501,4,0)</f>
        <v>52</v>
      </c>
    </row>
    <row r="639" spans="1:13" x14ac:dyDescent="0.3">
      <c r="A639">
        <v>448164</v>
      </c>
      <c r="B639">
        <v>1502</v>
      </c>
      <c r="C639" s="1" t="s">
        <v>104</v>
      </c>
      <c r="D639" s="5">
        <v>44961</v>
      </c>
      <c r="E639" s="10">
        <v>6.5972222222222224E-2</v>
      </c>
      <c r="F639" s="15">
        <f t="shared" si="27"/>
        <v>2</v>
      </c>
      <c r="G639" s="10" t="str">
        <f t="shared" si="28"/>
        <v>Saturday</v>
      </c>
      <c r="H639" s="9" t="str">
        <f t="shared" si="29"/>
        <v>February</v>
      </c>
      <c r="I639" t="s">
        <v>95</v>
      </c>
      <c r="J639" t="s">
        <v>47</v>
      </c>
      <c r="K639">
        <v>3869</v>
      </c>
      <c r="L639" s="5" t="str">
        <f>IF(OR(K639&lt;Answers!$C$16,Orders!K639&gt;Answers!$C$17),"Yes","No")</f>
        <v>No</v>
      </c>
      <c r="M639" s="14">
        <f>VLOOKUP(B639,Customers!$A$1:$E$2501,4,0)</f>
        <v>33</v>
      </c>
    </row>
    <row r="640" spans="1:13" x14ac:dyDescent="0.3">
      <c r="A640">
        <v>448776</v>
      </c>
      <c r="B640">
        <v>1173</v>
      </c>
      <c r="C640" s="1" t="s">
        <v>98</v>
      </c>
      <c r="D640" s="5">
        <v>45273</v>
      </c>
      <c r="E640" s="10">
        <v>36719</v>
      </c>
      <c r="F640" s="15">
        <f t="shared" si="27"/>
        <v>12</v>
      </c>
      <c r="G640" s="10" t="str">
        <f t="shared" si="28"/>
        <v>Wednesday</v>
      </c>
      <c r="H640" s="9" t="str">
        <f t="shared" si="29"/>
        <v>December</v>
      </c>
      <c r="I640" t="s">
        <v>190</v>
      </c>
      <c r="J640" t="s">
        <v>25</v>
      </c>
      <c r="K640">
        <v>4703</v>
      </c>
      <c r="L640" s="5" t="str">
        <f>IF(OR(K640&lt;Answers!$C$16,Orders!K640&gt;Answers!$C$17),"Yes","No")</f>
        <v>No</v>
      </c>
      <c r="M640" s="14">
        <f>VLOOKUP(B640,Customers!$A$1:$E$2501,4,0)</f>
        <v>84</v>
      </c>
    </row>
    <row r="641" spans="1:13" x14ac:dyDescent="0.3">
      <c r="A641">
        <v>449457</v>
      </c>
      <c r="B641">
        <v>494</v>
      </c>
      <c r="C641" s="1" t="s">
        <v>99</v>
      </c>
      <c r="D641" s="5">
        <v>45232</v>
      </c>
      <c r="E641" s="10">
        <v>36800</v>
      </c>
      <c r="F641" s="15">
        <f t="shared" si="27"/>
        <v>11</v>
      </c>
      <c r="G641" s="10" t="str">
        <f t="shared" si="28"/>
        <v>Thursday</v>
      </c>
      <c r="H641" s="9" t="str">
        <f t="shared" si="29"/>
        <v>November</v>
      </c>
      <c r="I641" t="s">
        <v>96</v>
      </c>
      <c r="J641" t="s">
        <v>73</v>
      </c>
      <c r="K641">
        <v>3426</v>
      </c>
      <c r="L641" s="5" t="str">
        <f>IF(OR(K641&lt;Answers!$C$16,Orders!K641&gt;Answers!$C$17),"Yes","No")</f>
        <v>No</v>
      </c>
      <c r="M641" s="14">
        <f>VLOOKUP(B641,Customers!$A$1:$E$2501,4,0)</f>
        <v>19</v>
      </c>
    </row>
    <row r="642" spans="1:13" x14ac:dyDescent="0.3">
      <c r="A642">
        <v>451541</v>
      </c>
      <c r="B642">
        <v>116</v>
      </c>
      <c r="C642" s="1" t="s">
        <v>107</v>
      </c>
      <c r="D642" s="5">
        <v>45106</v>
      </c>
      <c r="E642" s="10">
        <v>6.3194444444444442E-2</v>
      </c>
      <c r="F642" s="15">
        <f t="shared" si="27"/>
        <v>6</v>
      </c>
      <c r="G642" s="10" t="str">
        <f t="shared" si="28"/>
        <v>Thursday</v>
      </c>
      <c r="H642" s="9" t="str">
        <f t="shared" si="29"/>
        <v>June</v>
      </c>
      <c r="I642" t="s">
        <v>97</v>
      </c>
      <c r="J642" t="s">
        <v>87</v>
      </c>
      <c r="K642">
        <v>2490</v>
      </c>
      <c r="L642" s="5" t="str">
        <f>IF(OR(K642&lt;Answers!$C$16,Orders!K642&gt;Answers!$C$17),"Yes","No")</f>
        <v>No</v>
      </c>
      <c r="M642" s="14">
        <f>VLOOKUP(B642,Customers!$A$1:$E$2501,4,0)</f>
        <v>88</v>
      </c>
    </row>
    <row r="643" spans="1:13" x14ac:dyDescent="0.3">
      <c r="A643">
        <v>451694</v>
      </c>
      <c r="B643">
        <v>1031</v>
      </c>
      <c r="C643" s="1" t="s">
        <v>100</v>
      </c>
      <c r="D643" s="5">
        <v>45073</v>
      </c>
      <c r="E643" s="10">
        <v>0.48194444444444445</v>
      </c>
      <c r="F643" s="15">
        <f t="shared" ref="F643:F706" si="30">MONTH(D643)</f>
        <v>5</v>
      </c>
      <c r="G643" s="10" t="str">
        <f t="shared" ref="G643:G706" si="31">TEXT(D643,"dddd")</f>
        <v>Saturday</v>
      </c>
      <c r="H643" s="9" t="str">
        <f t="shared" ref="H643:H706" si="32">TEXT(D643,"mmmm")</f>
        <v>May</v>
      </c>
      <c r="I643" t="s">
        <v>190</v>
      </c>
      <c r="J643" t="s">
        <v>72</v>
      </c>
      <c r="K643">
        <v>3713</v>
      </c>
      <c r="L643" s="5" t="str">
        <f>IF(OR(K643&lt;Answers!$C$16,Orders!K643&gt;Answers!$C$17),"Yes","No")</f>
        <v>No</v>
      </c>
      <c r="M643" s="14">
        <f>VLOOKUP(B643,Customers!$A$1:$E$2501,4,0)</f>
        <v>40</v>
      </c>
    </row>
    <row r="644" spans="1:13" x14ac:dyDescent="0.3">
      <c r="A644">
        <v>452070</v>
      </c>
      <c r="B644">
        <v>1693</v>
      </c>
      <c r="C644" s="1" t="s">
        <v>99</v>
      </c>
      <c r="D644" s="5">
        <v>45052</v>
      </c>
      <c r="E644" s="10">
        <v>0.51527777777777772</v>
      </c>
      <c r="F644" s="15">
        <f t="shared" si="30"/>
        <v>5</v>
      </c>
      <c r="G644" s="10" t="str">
        <f t="shared" si="31"/>
        <v>Saturday</v>
      </c>
      <c r="H644" s="9" t="str">
        <f t="shared" si="32"/>
        <v>May</v>
      </c>
      <c r="I644" t="s">
        <v>95</v>
      </c>
      <c r="J644" t="s">
        <v>88</v>
      </c>
      <c r="K644">
        <v>9332</v>
      </c>
      <c r="L644" s="5" t="str">
        <f>IF(OR(K644&lt;Answers!$C$16,Orders!K644&gt;Answers!$C$17),"Yes","No")</f>
        <v>No</v>
      </c>
      <c r="M644" s="14">
        <f>VLOOKUP(B644,Customers!$A$1:$E$2501,4,0)</f>
        <v>63</v>
      </c>
    </row>
    <row r="645" spans="1:13" x14ac:dyDescent="0.3">
      <c r="A645">
        <v>452684</v>
      </c>
      <c r="B645">
        <v>374</v>
      </c>
      <c r="C645" s="1" t="s">
        <v>107</v>
      </c>
      <c r="D645" s="5">
        <v>45146</v>
      </c>
      <c r="E645" s="10">
        <v>8.1944444444444445E-2</v>
      </c>
      <c r="F645" s="15">
        <f t="shared" si="30"/>
        <v>8</v>
      </c>
      <c r="G645" s="10" t="str">
        <f t="shared" si="31"/>
        <v>Tuesday</v>
      </c>
      <c r="H645" s="9" t="str">
        <f t="shared" si="32"/>
        <v>August</v>
      </c>
      <c r="I645" t="s">
        <v>97</v>
      </c>
      <c r="J645" t="s">
        <v>71</v>
      </c>
      <c r="K645">
        <v>9309</v>
      </c>
      <c r="L645" s="5" t="str">
        <f>IF(OR(K645&lt;Answers!$C$16,Orders!K645&gt;Answers!$C$17),"Yes","No")</f>
        <v>No</v>
      </c>
      <c r="M645" s="14">
        <f>VLOOKUP(B645,Customers!$A$1:$E$2501,4,0)</f>
        <v>71</v>
      </c>
    </row>
    <row r="646" spans="1:13" x14ac:dyDescent="0.3">
      <c r="A646">
        <v>453466</v>
      </c>
      <c r="B646">
        <v>637</v>
      </c>
      <c r="C646" s="1" t="s">
        <v>98</v>
      </c>
      <c r="D646" s="5">
        <v>44996</v>
      </c>
      <c r="E646" s="10">
        <v>5.7638888888888892E-2</v>
      </c>
      <c r="F646" s="15">
        <f t="shared" si="30"/>
        <v>3</v>
      </c>
      <c r="G646" s="10" t="str">
        <f t="shared" si="31"/>
        <v>Saturday</v>
      </c>
      <c r="H646" s="9" t="str">
        <f t="shared" si="32"/>
        <v>March</v>
      </c>
      <c r="I646" t="s">
        <v>95</v>
      </c>
      <c r="J646" t="s">
        <v>24</v>
      </c>
      <c r="K646">
        <v>6625</v>
      </c>
      <c r="L646" s="5" t="str">
        <f>IF(OR(K646&lt;Answers!$C$16,Orders!K646&gt;Answers!$C$17),"Yes","No")</f>
        <v>No</v>
      </c>
      <c r="M646" s="14">
        <f>VLOOKUP(B646,Customers!$A$1:$E$2501,4,0)</f>
        <v>38</v>
      </c>
    </row>
    <row r="647" spans="1:13" x14ac:dyDescent="0.3">
      <c r="A647">
        <v>453732</v>
      </c>
      <c r="B647">
        <v>1623</v>
      </c>
      <c r="C647" s="1" t="s">
        <v>104</v>
      </c>
      <c r="D647" s="5">
        <v>45091</v>
      </c>
      <c r="E647" s="10">
        <v>36780</v>
      </c>
      <c r="F647" s="15">
        <f t="shared" si="30"/>
        <v>6</v>
      </c>
      <c r="G647" s="10" t="str">
        <f t="shared" si="31"/>
        <v>Wednesday</v>
      </c>
      <c r="H647" s="9" t="str">
        <f t="shared" si="32"/>
        <v>June</v>
      </c>
      <c r="I647" t="s">
        <v>96</v>
      </c>
      <c r="J647" t="s">
        <v>48</v>
      </c>
      <c r="K647">
        <v>8537</v>
      </c>
      <c r="L647" s="5" t="str">
        <f>IF(OR(K647&lt;Answers!$C$16,Orders!K647&gt;Answers!$C$17),"Yes","No")</f>
        <v>No</v>
      </c>
      <c r="M647" s="14">
        <f>VLOOKUP(B647,Customers!$A$1:$E$2501,4,0)</f>
        <v>46</v>
      </c>
    </row>
    <row r="648" spans="1:13" x14ac:dyDescent="0.3">
      <c r="A648">
        <v>454137</v>
      </c>
      <c r="B648">
        <v>1687</v>
      </c>
      <c r="C648" s="1" t="s">
        <v>100</v>
      </c>
      <c r="D648" s="5">
        <v>44941</v>
      </c>
      <c r="E648" s="10">
        <v>0.51388888888888884</v>
      </c>
      <c r="F648" s="15">
        <f t="shared" si="30"/>
        <v>1</v>
      </c>
      <c r="G648" s="10" t="str">
        <f t="shared" si="31"/>
        <v>Sunday</v>
      </c>
      <c r="H648" s="9" t="str">
        <f t="shared" si="32"/>
        <v>January</v>
      </c>
      <c r="I648" t="s">
        <v>190</v>
      </c>
      <c r="J648" t="s">
        <v>13</v>
      </c>
      <c r="K648">
        <v>2431</v>
      </c>
      <c r="L648" s="5" t="str">
        <f>IF(OR(K648&lt;Answers!$C$16,Orders!K648&gt;Answers!$C$17),"Yes","No")</f>
        <v>No</v>
      </c>
      <c r="M648" s="14">
        <f>VLOOKUP(B648,Customers!$A$1:$E$2501,4,0)</f>
        <v>38</v>
      </c>
    </row>
    <row r="649" spans="1:13" x14ac:dyDescent="0.3">
      <c r="A649">
        <v>455153</v>
      </c>
      <c r="B649">
        <v>1431</v>
      </c>
      <c r="C649" s="1" t="s">
        <v>98</v>
      </c>
      <c r="D649" s="5">
        <v>45072</v>
      </c>
      <c r="E649" s="10">
        <v>0.52569444444444446</v>
      </c>
      <c r="F649" s="15">
        <f t="shared" si="30"/>
        <v>5</v>
      </c>
      <c r="G649" s="10" t="str">
        <f t="shared" si="31"/>
        <v>Friday</v>
      </c>
      <c r="H649" s="9" t="str">
        <f t="shared" si="32"/>
        <v>May</v>
      </c>
      <c r="I649" t="s">
        <v>190</v>
      </c>
      <c r="J649" t="s">
        <v>5</v>
      </c>
      <c r="K649">
        <v>4088</v>
      </c>
      <c r="L649" s="5" t="str">
        <f>IF(OR(K649&lt;Answers!$C$16,Orders!K649&gt;Answers!$C$17),"Yes","No")</f>
        <v>No</v>
      </c>
      <c r="M649" s="14">
        <f>VLOOKUP(B649,Customers!$A$1:$E$2501,4,0)</f>
        <v>63</v>
      </c>
    </row>
    <row r="650" spans="1:13" x14ac:dyDescent="0.3">
      <c r="A650">
        <v>456612</v>
      </c>
      <c r="B650">
        <v>1240</v>
      </c>
      <c r="C650" s="1" t="s">
        <v>108</v>
      </c>
      <c r="D650" s="5">
        <v>44985</v>
      </c>
      <c r="E650" s="10">
        <v>0.5229166666666667</v>
      </c>
      <c r="F650" s="15">
        <f t="shared" si="30"/>
        <v>2</v>
      </c>
      <c r="G650" s="10" t="str">
        <f t="shared" si="31"/>
        <v>Tuesday</v>
      </c>
      <c r="H650" s="9" t="str">
        <f t="shared" si="32"/>
        <v>February</v>
      </c>
      <c r="I650" t="s">
        <v>190</v>
      </c>
      <c r="J650" t="s">
        <v>93</v>
      </c>
      <c r="K650">
        <v>1900</v>
      </c>
      <c r="L650" s="5" t="str">
        <f>IF(OR(K650&lt;Answers!$C$16,Orders!K650&gt;Answers!$C$17),"Yes","No")</f>
        <v>No</v>
      </c>
      <c r="M650" s="14">
        <f>VLOOKUP(B650,Customers!$A$1:$E$2501,4,0)</f>
        <v>24</v>
      </c>
    </row>
    <row r="651" spans="1:13" x14ac:dyDescent="0.3">
      <c r="A651">
        <v>457087</v>
      </c>
      <c r="B651">
        <v>66</v>
      </c>
      <c r="C651" s="1" t="s">
        <v>100</v>
      </c>
      <c r="D651" s="5">
        <v>44979</v>
      </c>
      <c r="E651" s="10">
        <v>0.47083333333333333</v>
      </c>
      <c r="F651" s="15">
        <f t="shared" si="30"/>
        <v>2</v>
      </c>
      <c r="G651" s="10" t="str">
        <f t="shared" si="31"/>
        <v>Wednesday</v>
      </c>
      <c r="H651" s="9" t="str">
        <f t="shared" si="32"/>
        <v>February</v>
      </c>
      <c r="I651" t="s">
        <v>97</v>
      </c>
      <c r="J651" t="s">
        <v>19</v>
      </c>
      <c r="K651">
        <v>1838</v>
      </c>
      <c r="L651" s="5" t="str">
        <f>IF(OR(K651&lt;Answers!$C$16,Orders!K651&gt;Answers!$C$17),"Yes","No")</f>
        <v>No</v>
      </c>
      <c r="M651" s="14">
        <f>VLOOKUP(B651,Customers!$A$1:$E$2501,4,0)</f>
        <v>30</v>
      </c>
    </row>
    <row r="652" spans="1:13" x14ac:dyDescent="0.3">
      <c r="A652">
        <v>457874</v>
      </c>
      <c r="B652">
        <v>1467</v>
      </c>
      <c r="C652" s="1" t="s">
        <v>98</v>
      </c>
      <c r="D652" s="5">
        <v>44973</v>
      </c>
      <c r="E652" s="10">
        <v>36617</v>
      </c>
      <c r="F652" s="15">
        <f t="shared" si="30"/>
        <v>2</v>
      </c>
      <c r="G652" s="10" t="str">
        <f t="shared" si="31"/>
        <v>Thursday</v>
      </c>
      <c r="H652" s="9" t="str">
        <f t="shared" si="32"/>
        <v>February</v>
      </c>
      <c r="I652" t="s">
        <v>190</v>
      </c>
      <c r="J652" t="s">
        <v>42</v>
      </c>
      <c r="K652">
        <v>3337</v>
      </c>
      <c r="L652" s="5" t="str">
        <f>IF(OR(K652&lt;Answers!$C$16,Orders!K652&gt;Answers!$C$17),"Yes","No")</f>
        <v>No</v>
      </c>
      <c r="M652" s="14">
        <f>VLOOKUP(B652,Customers!$A$1:$E$2501,4,0)</f>
        <v>18</v>
      </c>
    </row>
    <row r="653" spans="1:13" x14ac:dyDescent="0.3">
      <c r="A653">
        <v>457958</v>
      </c>
      <c r="B653">
        <v>690</v>
      </c>
      <c r="C653" s="1" t="s">
        <v>108</v>
      </c>
      <c r="D653" s="5">
        <v>44929</v>
      </c>
      <c r="E653" s="10">
        <v>0.53055555555555556</v>
      </c>
      <c r="F653" s="15">
        <f t="shared" si="30"/>
        <v>1</v>
      </c>
      <c r="G653" s="10" t="str">
        <f t="shared" si="31"/>
        <v>Tuesday</v>
      </c>
      <c r="H653" s="9" t="str">
        <f t="shared" si="32"/>
        <v>January</v>
      </c>
      <c r="I653" t="s">
        <v>95</v>
      </c>
      <c r="J653" t="s">
        <v>51</v>
      </c>
      <c r="K653">
        <v>2923</v>
      </c>
      <c r="L653" s="5" t="str">
        <f>IF(OR(K653&lt;Answers!$C$16,Orders!K653&gt;Answers!$C$17),"Yes","No")</f>
        <v>No</v>
      </c>
      <c r="M653" s="14">
        <f>VLOOKUP(B653,Customers!$A$1:$E$2501,4,0)</f>
        <v>37</v>
      </c>
    </row>
    <row r="654" spans="1:13" x14ac:dyDescent="0.3">
      <c r="A654">
        <v>458560</v>
      </c>
      <c r="B654">
        <v>210</v>
      </c>
      <c r="C654" s="1" t="s">
        <v>98</v>
      </c>
      <c r="D654" s="5">
        <v>45169</v>
      </c>
      <c r="E654" s="10">
        <v>0.5</v>
      </c>
      <c r="F654" s="15">
        <f t="shared" si="30"/>
        <v>8</v>
      </c>
      <c r="G654" s="10" t="str">
        <f t="shared" si="31"/>
        <v>Thursday</v>
      </c>
      <c r="H654" s="9" t="str">
        <f t="shared" si="32"/>
        <v>August</v>
      </c>
      <c r="I654" t="s">
        <v>95</v>
      </c>
      <c r="J654" t="s">
        <v>22</v>
      </c>
      <c r="K654">
        <v>9234</v>
      </c>
      <c r="L654" s="5" t="str">
        <f>IF(OR(K654&lt;Answers!$C$16,Orders!K654&gt;Answers!$C$17),"Yes","No")</f>
        <v>No</v>
      </c>
      <c r="M654" s="14">
        <f>VLOOKUP(B654,Customers!$A$1:$E$2501,4,0)</f>
        <v>59</v>
      </c>
    </row>
    <row r="655" spans="1:13" x14ac:dyDescent="0.3">
      <c r="A655">
        <v>459426</v>
      </c>
      <c r="B655">
        <v>1783</v>
      </c>
      <c r="C655" s="1" t="s">
        <v>98</v>
      </c>
      <c r="D655" s="5">
        <v>45234</v>
      </c>
      <c r="E655" s="10">
        <v>0.54027777777777775</v>
      </c>
      <c r="F655" s="15">
        <f t="shared" si="30"/>
        <v>11</v>
      </c>
      <c r="G655" s="10" t="str">
        <f t="shared" si="31"/>
        <v>Saturday</v>
      </c>
      <c r="H655" s="9" t="str">
        <f t="shared" si="32"/>
        <v>November</v>
      </c>
      <c r="I655" t="s">
        <v>95</v>
      </c>
      <c r="J655" t="s">
        <v>26</v>
      </c>
      <c r="K655">
        <v>936</v>
      </c>
      <c r="L655" s="5" t="str">
        <f>IF(OR(K655&lt;Answers!$C$16,Orders!K655&gt;Answers!$C$17),"Yes","No")</f>
        <v>No</v>
      </c>
      <c r="M655" s="14">
        <f>VLOOKUP(B655,Customers!$A$1:$E$2501,4,0)</f>
        <v>27</v>
      </c>
    </row>
    <row r="656" spans="1:13" x14ac:dyDescent="0.3">
      <c r="A656">
        <v>461110</v>
      </c>
      <c r="B656">
        <v>1549</v>
      </c>
      <c r="C656" s="1" t="s">
        <v>98</v>
      </c>
      <c r="D656" s="5">
        <v>45146</v>
      </c>
      <c r="E656" s="10">
        <v>36771</v>
      </c>
      <c r="F656" s="15">
        <f t="shared" si="30"/>
        <v>8</v>
      </c>
      <c r="G656" s="10" t="str">
        <f t="shared" si="31"/>
        <v>Tuesday</v>
      </c>
      <c r="H656" s="9" t="str">
        <f t="shared" si="32"/>
        <v>August</v>
      </c>
      <c r="I656" t="s">
        <v>95</v>
      </c>
      <c r="J656" t="s">
        <v>30</v>
      </c>
      <c r="K656">
        <v>4341</v>
      </c>
      <c r="L656" s="5" t="str">
        <f>IF(OR(K656&lt;Answers!$C$16,Orders!K656&gt;Answers!$C$17),"Yes","No")</f>
        <v>No</v>
      </c>
      <c r="M656" s="14">
        <f>VLOOKUP(B656,Customers!$A$1:$E$2501,4,0)</f>
        <v>70</v>
      </c>
    </row>
    <row r="657" spans="1:13" x14ac:dyDescent="0.3">
      <c r="A657">
        <v>461537</v>
      </c>
      <c r="B657">
        <v>1833</v>
      </c>
      <c r="C657" s="1" t="s">
        <v>105</v>
      </c>
      <c r="D657" s="5">
        <v>44974</v>
      </c>
      <c r="E657" s="10">
        <v>7.2222222222222215E-2</v>
      </c>
      <c r="F657" s="15">
        <f t="shared" si="30"/>
        <v>2</v>
      </c>
      <c r="G657" s="10" t="str">
        <f t="shared" si="31"/>
        <v>Friday</v>
      </c>
      <c r="H657" s="9" t="str">
        <f t="shared" si="32"/>
        <v>February</v>
      </c>
      <c r="I657" t="s">
        <v>190</v>
      </c>
      <c r="J657" t="s">
        <v>77</v>
      </c>
      <c r="K657">
        <v>8344</v>
      </c>
      <c r="L657" s="5" t="str">
        <f>IF(OR(K657&lt;Answers!$C$16,Orders!K657&gt;Answers!$C$17),"Yes","No")</f>
        <v>No</v>
      </c>
      <c r="M657" s="14">
        <f>VLOOKUP(B657,Customers!$A$1:$E$2501,4,0)</f>
        <v>29</v>
      </c>
    </row>
    <row r="658" spans="1:13" x14ac:dyDescent="0.3">
      <c r="A658">
        <v>461731</v>
      </c>
      <c r="B658">
        <v>685</v>
      </c>
      <c r="C658" s="1" t="s">
        <v>100</v>
      </c>
      <c r="D658" s="5">
        <v>45239</v>
      </c>
      <c r="E658" s="10">
        <v>6.8750000000000006E-2</v>
      </c>
      <c r="F658" s="15">
        <f t="shared" si="30"/>
        <v>11</v>
      </c>
      <c r="G658" s="10" t="str">
        <f t="shared" si="31"/>
        <v>Thursday</v>
      </c>
      <c r="H658" s="9" t="str">
        <f t="shared" si="32"/>
        <v>November</v>
      </c>
      <c r="I658" t="s">
        <v>97</v>
      </c>
      <c r="J658" t="s">
        <v>76</v>
      </c>
      <c r="K658">
        <v>5092</v>
      </c>
      <c r="L658" s="5" t="str">
        <f>IF(OR(K658&lt;Answers!$C$16,Orders!K658&gt;Answers!$C$17),"Yes","No")</f>
        <v>No</v>
      </c>
      <c r="M658" s="14">
        <f>VLOOKUP(B658,Customers!$A$1:$E$2501,4,0)</f>
        <v>50</v>
      </c>
    </row>
    <row r="659" spans="1:13" x14ac:dyDescent="0.3">
      <c r="A659">
        <v>462593</v>
      </c>
      <c r="B659">
        <v>1971</v>
      </c>
      <c r="C659" s="1" t="s">
        <v>104</v>
      </c>
      <c r="D659" s="5">
        <v>45143</v>
      </c>
      <c r="E659" s="10">
        <v>6.1805555555555558E-2</v>
      </c>
      <c r="F659" s="15">
        <f t="shared" si="30"/>
        <v>8</v>
      </c>
      <c r="G659" s="10" t="str">
        <f t="shared" si="31"/>
        <v>Saturday</v>
      </c>
      <c r="H659" s="9" t="str">
        <f t="shared" si="32"/>
        <v>August</v>
      </c>
      <c r="I659" t="s">
        <v>96</v>
      </c>
      <c r="J659" t="s">
        <v>63</v>
      </c>
      <c r="K659">
        <v>5397</v>
      </c>
      <c r="L659" s="5" t="str">
        <f>IF(OR(K659&lt;Answers!$C$16,Orders!K659&gt;Answers!$C$17),"Yes","No")</f>
        <v>No</v>
      </c>
      <c r="M659" s="14">
        <f>VLOOKUP(B659,Customers!$A$1:$E$2501,4,0)</f>
        <v>44</v>
      </c>
    </row>
    <row r="660" spans="1:13" x14ac:dyDescent="0.3">
      <c r="A660">
        <v>463922</v>
      </c>
      <c r="B660">
        <v>172</v>
      </c>
      <c r="C660" s="1" t="s">
        <v>98</v>
      </c>
      <c r="D660" s="5">
        <v>45192</v>
      </c>
      <c r="E660" s="10">
        <v>36647</v>
      </c>
      <c r="F660" s="15">
        <f t="shared" si="30"/>
        <v>9</v>
      </c>
      <c r="G660" s="10" t="str">
        <f t="shared" si="31"/>
        <v>Saturday</v>
      </c>
      <c r="H660" s="9" t="str">
        <f t="shared" si="32"/>
        <v>September</v>
      </c>
      <c r="I660" t="s">
        <v>97</v>
      </c>
      <c r="J660" t="s">
        <v>29</v>
      </c>
      <c r="K660">
        <v>484</v>
      </c>
      <c r="L660" s="5" t="str">
        <f>IF(OR(K660&lt;Answers!$C$16,Orders!K660&gt;Answers!$C$17),"Yes","No")</f>
        <v>No</v>
      </c>
      <c r="M660" s="14">
        <f>VLOOKUP(B660,Customers!$A$1:$E$2501,4,0)</f>
        <v>36</v>
      </c>
    </row>
    <row r="661" spans="1:13" x14ac:dyDescent="0.3">
      <c r="A661">
        <v>464531</v>
      </c>
      <c r="B661">
        <v>1153</v>
      </c>
      <c r="C661" s="1" t="s">
        <v>106</v>
      </c>
      <c r="D661" s="5">
        <v>44971</v>
      </c>
      <c r="E661" s="10">
        <v>0.52083333333333337</v>
      </c>
      <c r="F661" s="15">
        <f t="shared" si="30"/>
        <v>2</v>
      </c>
      <c r="G661" s="10" t="str">
        <f t="shared" si="31"/>
        <v>Tuesday</v>
      </c>
      <c r="H661" s="9" t="str">
        <f t="shared" si="32"/>
        <v>February</v>
      </c>
      <c r="I661" t="s">
        <v>95</v>
      </c>
      <c r="J661" t="s">
        <v>73</v>
      </c>
      <c r="K661">
        <v>4951</v>
      </c>
      <c r="L661" s="5" t="str">
        <f>IF(OR(K661&lt;Answers!$C$16,Orders!K661&gt;Answers!$C$17),"Yes","No")</f>
        <v>No</v>
      </c>
      <c r="M661" s="14">
        <f>VLOOKUP(B661,Customers!$A$1:$E$2501,4,0)</f>
        <v>39</v>
      </c>
    </row>
    <row r="662" spans="1:13" x14ac:dyDescent="0.3">
      <c r="A662">
        <v>464722</v>
      </c>
      <c r="B662">
        <v>1215</v>
      </c>
      <c r="C662" s="1" t="s">
        <v>98</v>
      </c>
      <c r="D662" s="5">
        <v>44929</v>
      </c>
      <c r="E662" s="10">
        <v>36526</v>
      </c>
      <c r="F662" s="15">
        <f t="shared" si="30"/>
        <v>1</v>
      </c>
      <c r="G662" s="10" t="str">
        <f t="shared" si="31"/>
        <v>Tuesday</v>
      </c>
      <c r="H662" s="9" t="str">
        <f t="shared" si="32"/>
        <v>January</v>
      </c>
      <c r="I662" t="s">
        <v>190</v>
      </c>
      <c r="J662" t="s">
        <v>84</v>
      </c>
      <c r="K662">
        <v>7137</v>
      </c>
      <c r="L662" s="5" t="str">
        <f>IF(OR(K662&lt;Answers!$C$16,Orders!K662&gt;Answers!$C$17),"Yes","No")</f>
        <v>No</v>
      </c>
      <c r="M662" s="14">
        <f>VLOOKUP(B662,Customers!$A$1:$E$2501,4,0)</f>
        <v>33</v>
      </c>
    </row>
    <row r="663" spans="1:13" x14ac:dyDescent="0.3">
      <c r="A663">
        <v>464859</v>
      </c>
      <c r="B663">
        <v>683</v>
      </c>
      <c r="C663" s="1" t="s">
        <v>100</v>
      </c>
      <c r="D663" s="5">
        <v>44940</v>
      </c>
      <c r="E663" s="10">
        <v>0.48472222222222222</v>
      </c>
      <c r="F663" s="15">
        <f t="shared" si="30"/>
        <v>1</v>
      </c>
      <c r="G663" s="10" t="str">
        <f t="shared" si="31"/>
        <v>Saturday</v>
      </c>
      <c r="H663" s="9" t="str">
        <f t="shared" si="32"/>
        <v>January</v>
      </c>
      <c r="I663" t="s">
        <v>95</v>
      </c>
      <c r="J663" t="s">
        <v>50</v>
      </c>
      <c r="K663">
        <v>6431</v>
      </c>
      <c r="L663" s="5" t="str">
        <f>IF(OR(K663&lt;Answers!$C$16,Orders!K663&gt;Answers!$C$17),"Yes","No")</f>
        <v>No</v>
      </c>
      <c r="M663" s="14">
        <f>VLOOKUP(B663,Customers!$A$1:$E$2501,4,0)</f>
        <v>47</v>
      </c>
    </row>
    <row r="664" spans="1:13" x14ac:dyDescent="0.3">
      <c r="A664">
        <v>466869</v>
      </c>
      <c r="B664">
        <v>1984</v>
      </c>
      <c r="C664" s="1" t="s">
        <v>100</v>
      </c>
      <c r="D664" s="5">
        <v>44971</v>
      </c>
      <c r="E664" s="10">
        <v>9.7222222222222224E-2</v>
      </c>
      <c r="F664" s="15">
        <f t="shared" si="30"/>
        <v>2</v>
      </c>
      <c r="G664" s="10" t="str">
        <f t="shared" si="31"/>
        <v>Tuesday</v>
      </c>
      <c r="H664" s="9" t="str">
        <f t="shared" si="32"/>
        <v>February</v>
      </c>
      <c r="I664" t="s">
        <v>95</v>
      </c>
      <c r="J664" t="s">
        <v>67</v>
      </c>
      <c r="K664">
        <v>660</v>
      </c>
      <c r="L664" s="5" t="str">
        <f>IF(OR(K664&lt;Answers!$C$16,Orders!K664&gt;Answers!$C$17),"Yes","No")</f>
        <v>No</v>
      </c>
      <c r="M664" s="14">
        <f>VLOOKUP(B664,Customers!$A$1:$E$2501,4,0)</f>
        <v>45</v>
      </c>
    </row>
    <row r="665" spans="1:13" x14ac:dyDescent="0.3">
      <c r="A665">
        <v>467965</v>
      </c>
      <c r="B665">
        <v>550</v>
      </c>
      <c r="C665" s="1" t="s">
        <v>98</v>
      </c>
      <c r="D665" s="5">
        <v>45201</v>
      </c>
      <c r="E665" s="10">
        <v>0.48819444444444443</v>
      </c>
      <c r="F665" s="15">
        <f t="shared" si="30"/>
        <v>10</v>
      </c>
      <c r="G665" s="10" t="str">
        <f t="shared" si="31"/>
        <v>Monday</v>
      </c>
      <c r="H665" s="9" t="str">
        <f t="shared" si="32"/>
        <v>October</v>
      </c>
      <c r="I665" t="s">
        <v>190</v>
      </c>
      <c r="J665" t="s">
        <v>85</v>
      </c>
      <c r="K665">
        <v>8296</v>
      </c>
      <c r="L665" s="5" t="str">
        <f>IF(OR(K665&lt;Answers!$C$16,Orders!K665&gt;Answers!$C$17),"Yes","No")</f>
        <v>No</v>
      </c>
      <c r="M665" s="14">
        <f>VLOOKUP(B665,Customers!$A$1:$E$2501,4,0)</f>
        <v>31</v>
      </c>
    </row>
    <row r="666" spans="1:13" x14ac:dyDescent="0.3">
      <c r="A666">
        <v>468652</v>
      </c>
      <c r="B666">
        <v>106</v>
      </c>
      <c r="C666" s="1" t="s">
        <v>100</v>
      </c>
      <c r="D666" s="5">
        <v>45108</v>
      </c>
      <c r="E666" s="10">
        <v>0.51875000000000004</v>
      </c>
      <c r="F666" s="15">
        <f t="shared" si="30"/>
        <v>7</v>
      </c>
      <c r="G666" s="10" t="str">
        <f t="shared" si="31"/>
        <v>Saturday</v>
      </c>
      <c r="H666" s="9" t="str">
        <f t="shared" si="32"/>
        <v>July</v>
      </c>
      <c r="I666" t="s">
        <v>190</v>
      </c>
      <c r="J666" t="s">
        <v>75</v>
      </c>
      <c r="K666">
        <v>1982</v>
      </c>
      <c r="L666" s="5" t="str">
        <f>IF(OR(K666&lt;Answers!$C$16,Orders!K666&gt;Answers!$C$17),"Yes","No")</f>
        <v>No</v>
      </c>
      <c r="M666" s="14">
        <f>VLOOKUP(B666,Customers!$A$1:$E$2501,4,0)</f>
        <v>40</v>
      </c>
    </row>
    <row r="667" spans="1:13" x14ac:dyDescent="0.3">
      <c r="A667">
        <v>471520</v>
      </c>
      <c r="B667">
        <v>188</v>
      </c>
      <c r="C667" s="1" t="s">
        <v>112</v>
      </c>
      <c r="D667" s="5">
        <v>45182</v>
      </c>
      <c r="E667" s="10">
        <v>0.52708333333333335</v>
      </c>
      <c r="F667" s="15">
        <f t="shared" si="30"/>
        <v>9</v>
      </c>
      <c r="G667" s="10" t="str">
        <f t="shared" si="31"/>
        <v>Wednesday</v>
      </c>
      <c r="H667" s="9" t="str">
        <f t="shared" si="32"/>
        <v>September</v>
      </c>
      <c r="I667" t="s">
        <v>97</v>
      </c>
      <c r="J667" t="s">
        <v>26</v>
      </c>
      <c r="K667">
        <v>8652</v>
      </c>
      <c r="L667" s="5" t="str">
        <f>IF(OR(K667&lt;Answers!$C$16,Orders!K667&gt;Answers!$C$17),"Yes","No")</f>
        <v>No</v>
      </c>
      <c r="M667" s="14">
        <f>VLOOKUP(B667,Customers!$A$1:$E$2501,4,0)</f>
        <v>72</v>
      </c>
    </row>
    <row r="668" spans="1:13" x14ac:dyDescent="0.3">
      <c r="A668">
        <v>471691</v>
      </c>
      <c r="B668">
        <v>1279</v>
      </c>
      <c r="C668" s="1" t="s">
        <v>98</v>
      </c>
      <c r="D668" s="5">
        <v>45026</v>
      </c>
      <c r="E668" s="10">
        <v>7.2916666666666671E-2</v>
      </c>
      <c r="F668" s="15">
        <f t="shared" si="30"/>
        <v>4</v>
      </c>
      <c r="G668" s="10" t="str">
        <f t="shared" si="31"/>
        <v>Monday</v>
      </c>
      <c r="H668" s="9" t="str">
        <f t="shared" si="32"/>
        <v>April</v>
      </c>
      <c r="I668" t="s">
        <v>97</v>
      </c>
      <c r="J668" t="s">
        <v>68</v>
      </c>
      <c r="K668">
        <v>1314</v>
      </c>
      <c r="L668" s="5" t="str">
        <f>IF(OR(K668&lt;Answers!$C$16,Orders!K668&gt;Answers!$C$17),"Yes","No")</f>
        <v>No</v>
      </c>
      <c r="M668" s="14">
        <f>VLOOKUP(B668,Customers!$A$1:$E$2501,4,0)</f>
        <v>52</v>
      </c>
    </row>
    <row r="669" spans="1:13" x14ac:dyDescent="0.3">
      <c r="A669">
        <v>471801</v>
      </c>
      <c r="B669">
        <v>878</v>
      </c>
      <c r="C669" s="1" t="s">
        <v>112</v>
      </c>
      <c r="D669" s="5">
        <v>44945</v>
      </c>
      <c r="E669" s="10">
        <v>5.9722222222222225E-2</v>
      </c>
      <c r="F669" s="15">
        <f t="shared" si="30"/>
        <v>1</v>
      </c>
      <c r="G669" s="10" t="str">
        <f t="shared" si="31"/>
        <v>Thursday</v>
      </c>
      <c r="H669" s="9" t="str">
        <f t="shared" si="32"/>
        <v>January</v>
      </c>
      <c r="I669" t="s">
        <v>97</v>
      </c>
      <c r="J669" t="s">
        <v>42</v>
      </c>
      <c r="K669">
        <v>1740</v>
      </c>
      <c r="L669" s="5" t="str">
        <f>IF(OR(K669&lt;Answers!$C$16,Orders!K669&gt;Answers!$C$17),"Yes","No")</f>
        <v>No</v>
      </c>
      <c r="M669" s="14">
        <f>VLOOKUP(B669,Customers!$A$1:$E$2501,4,0)</f>
        <v>45</v>
      </c>
    </row>
    <row r="670" spans="1:13" x14ac:dyDescent="0.3">
      <c r="A670">
        <v>471886</v>
      </c>
      <c r="B670">
        <v>1583</v>
      </c>
      <c r="C670" s="1" t="s">
        <v>105</v>
      </c>
      <c r="D670" s="5">
        <v>44928</v>
      </c>
      <c r="E670" s="10">
        <v>0.4861111111111111</v>
      </c>
      <c r="F670" s="15">
        <f t="shared" si="30"/>
        <v>1</v>
      </c>
      <c r="G670" s="10" t="str">
        <f t="shared" si="31"/>
        <v>Monday</v>
      </c>
      <c r="H670" s="9" t="str">
        <f t="shared" si="32"/>
        <v>January</v>
      </c>
      <c r="I670" t="s">
        <v>190</v>
      </c>
      <c r="J670" t="s">
        <v>42</v>
      </c>
      <c r="K670">
        <v>4072</v>
      </c>
      <c r="L670" s="5" t="str">
        <f>IF(OR(K670&lt;Answers!$C$16,Orders!K670&gt;Answers!$C$17),"Yes","No")</f>
        <v>No</v>
      </c>
      <c r="M670" s="14">
        <f>VLOOKUP(B670,Customers!$A$1:$E$2501,4,0)</f>
        <v>73</v>
      </c>
    </row>
    <row r="671" spans="1:13" x14ac:dyDescent="0.3">
      <c r="A671">
        <v>472645</v>
      </c>
      <c r="B671">
        <v>1290</v>
      </c>
      <c r="C671" s="1" t="s">
        <v>98</v>
      </c>
      <c r="D671" s="5">
        <v>45243</v>
      </c>
      <c r="E671" s="10">
        <v>5.8333333333333334E-2</v>
      </c>
      <c r="F671" s="15">
        <f t="shared" si="30"/>
        <v>11</v>
      </c>
      <c r="G671" s="10" t="str">
        <f t="shared" si="31"/>
        <v>Monday</v>
      </c>
      <c r="H671" s="9" t="str">
        <f t="shared" si="32"/>
        <v>November</v>
      </c>
      <c r="I671" t="s">
        <v>95</v>
      </c>
      <c r="J671" t="s">
        <v>3</v>
      </c>
      <c r="K671">
        <v>3018</v>
      </c>
      <c r="L671" s="5" t="str">
        <f>IF(OR(K671&lt;Answers!$C$16,Orders!K671&gt;Answers!$C$17),"Yes","No")</f>
        <v>No</v>
      </c>
      <c r="M671" s="14">
        <f>VLOOKUP(B671,Customers!$A$1:$E$2501,4,0)</f>
        <v>31</v>
      </c>
    </row>
    <row r="672" spans="1:13" x14ac:dyDescent="0.3">
      <c r="A672">
        <v>473503</v>
      </c>
      <c r="B672">
        <v>1682</v>
      </c>
      <c r="C672" s="1" t="s">
        <v>99</v>
      </c>
      <c r="D672" s="5">
        <v>45146</v>
      </c>
      <c r="E672" s="10">
        <v>0.47638888888888886</v>
      </c>
      <c r="F672" s="15">
        <f t="shared" si="30"/>
        <v>8</v>
      </c>
      <c r="G672" s="10" t="str">
        <f t="shared" si="31"/>
        <v>Tuesday</v>
      </c>
      <c r="H672" s="9" t="str">
        <f t="shared" si="32"/>
        <v>August</v>
      </c>
      <c r="I672" t="s">
        <v>190</v>
      </c>
      <c r="J672" t="s">
        <v>18</v>
      </c>
      <c r="K672">
        <v>1565</v>
      </c>
      <c r="L672" s="5" t="str">
        <f>IF(OR(K672&lt;Answers!$C$16,Orders!K672&gt;Answers!$C$17),"Yes","No")</f>
        <v>No</v>
      </c>
      <c r="M672" s="14">
        <f>VLOOKUP(B672,Customers!$A$1:$E$2501,4,0)</f>
        <v>72</v>
      </c>
    </row>
    <row r="673" spans="1:13" x14ac:dyDescent="0.3">
      <c r="A673">
        <v>474022</v>
      </c>
      <c r="B673">
        <v>1063</v>
      </c>
      <c r="C673" s="1" t="s">
        <v>112</v>
      </c>
      <c r="D673" s="5">
        <v>44993</v>
      </c>
      <c r="E673" s="10">
        <v>0.45277777777777778</v>
      </c>
      <c r="F673" s="15">
        <f t="shared" si="30"/>
        <v>3</v>
      </c>
      <c r="G673" s="10" t="str">
        <f t="shared" si="31"/>
        <v>Wednesday</v>
      </c>
      <c r="H673" s="9" t="str">
        <f t="shared" si="32"/>
        <v>March</v>
      </c>
      <c r="I673" t="s">
        <v>95</v>
      </c>
      <c r="J673" t="s">
        <v>81</v>
      </c>
      <c r="K673">
        <v>2476</v>
      </c>
      <c r="L673" s="5" t="str">
        <f>IF(OR(K673&lt;Answers!$C$16,Orders!K673&gt;Answers!$C$17),"Yes","No")</f>
        <v>No</v>
      </c>
      <c r="M673" s="14">
        <f>VLOOKUP(B673,Customers!$A$1:$E$2501,4,0)</f>
        <v>82</v>
      </c>
    </row>
    <row r="674" spans="1:13" x14ac:dyDescent="0.3">
      <c r="A674">
        <v>474847</v>
      </c>
      <c r="B674">
        <v>1316</v>
      </c>
      <c r="C674" s="1" t="s">
        <v>100</v>
      </c>
      <c r="D674" s="5">
        <v>45202</v>
      </c>
      <c r="E674" s="10">
        <v>0.51736111111111116</v>
      </c>
      <c r="F674" s="15">
        <f t="shared" si="30"/>
        <v>10</v>
      </c>
      <c r="G674" s="10" t="str">
        <f t="shared" si="31"/>
        <v>Tuesday</v>
      </c>
      <c r="H674" s="9" t="str">
        <f t="shared" si="32"/>
        <v>October</v>
      </c>
      <c r="I674" t="s">
        <v>97</v>
      </c>
      <c r="J674" t="s">
        <v>14</v>
      </c>
      <c r="K674">
        <v>4155</v>
      </c>
      <c r="L674" s="5" t="str">
        <f>IF(OR(K674&lt;Answers!$C$16,Orders!K674&gt;Answers!$C$17),"Yes","No")</f>
        <v>No</v>
      </c>
      <c r="M674" s="14">
        <f>VLOOKUP(B674,Customers!$A$1:$E$2501,4,0)</f>
        <v>70</v>
      </c>
    </row>
    <row r="675" spans="1:13" x14ac:dyDescent="0.3">
      <c r="A675">
        <v>476585</v>
      </c>
      <c r="B675">
        <v>645</v>
      </c>
      <c r="C675" s="1" t="s">
        <v>107</v>
      </c>
      <c r="D675" s="5">
        <v>45037</v>
      </c>
      <c r="E675" s="10">
        <v>0.52083333333333337</v>
      </c>
      <c r="F675" s="15">
        <f t="shared" si="30"/>
        <v>4</v>
      </c>
      <c r="G675" s="10" t="str">
        <f t="shared" si="31"/>
        <v>Friday</v>
      </c>
      <c r="H675" s="9" t="str">
        <f t="shared" si="32"/>
        <v>April</v>
      </c>
      <c r="I675" t="s">
        <v>96</v>
      </c>
      <c r="J675" t="s">
        <v>65</v>
      </c>
      <c r="K675">
        <v>7949</v>
      </c>
      <c r="L675" s="5" t="str">
        <f>IF(OR(K675&lt;Answers!$C$16,Orders!K675&gt;Answers!$C$17),"Yes","No")</f>
        <v>No</v>
      </c>
      <c r="M675" s="14">
        <f>VLOOKUP(B675,Customers!$A$1:$E$2501,4,0)</f>
        <v>40</v>
      </c>
    </row>
    <row r="676" spans="1:13" x14ac:dyDescent="0.3">
      <c r="A676">
        <v>477068</v>
      </c>
      <c r="B676">
        <v>396</v>
      </c>
      <c r="C676" s="1" t="s">
        <v>104</v>
      </c>
      <c r="D676" s="5">
        <v>45188</v>
      </c>
      <c r="E676" s="10">
        <v>36861</v>
      </c>
      <c r="F676" s="15">
        <f t="shared" si="30"/>
        <v>9</v>
      </c>
      <c r="G676" s="10" t="str">
        <f t="shared" si="31"/>
        <v>Tuesday</v>
      </c>
      <c r="H676" s="9" t="str">
        <f t="shared" si="32"/>
        <v>September</v>
      </c>
      <c r="I676" t="s">
        <v>96</v>
      </c>
      <c r="J676" t="s">
        <v>77</v>
      </c>
      <c r="K676">
        <v>6110</v>
      </c>
      <c r="L676" s="5" t="str">
        <f>IF(OR(K676&lt;Answers!$C$16,Orders!K676&gt;Answers!$C$17),"Yes","No")</f>
        <v>No</v>
      </c>
      <c r="M676" s="14">
        <f>VLOOKUP(B676,Customers!$A$1:$E$2501,4,0)</f>
        <v>53</v>
      </c>
    </row>
    <row r="677" spans="1:13" x14ac:dyDescent="0.3">
      <c r="A677">
        <v>477337</v>
      </c>
      <c r="B677">
        <v>178</v>
      </c>
      <c r="C677" s="1" t="s">
        <v>112</v>
      </c>
      <c r="D677" s="5">
        <v>44950</v>
      </c>
      <c r="E677" s="10">
        <v>0.4548611111111111</v>
      </c>
      <c r="F677" s="15">
        <f t="shared" si="30"/>
        <v>1</v>
      </c>
      <c r="G677" s="10" t="str">
        <f t="shared" si="31"/>
        <v>Tuesday</v>
      </c>
      <c r="H677" s="9" t="str">
        <f t="shared" si="32"/>
        <v>January</v>
      </c>
      <c r="I677" t="s">
        <v>96</v>
      </c>
      <c r="J677" t="s">
        <v>26</v>
      </c>
      <c r="K677">
        <v>8277</v>
      </c>
      <c r="L677" s="5" t="str">
        <f>IF(OR(K677&lt;Answers!$C$16,Orders!K677&gt;Answers!$C$17),"Yes","No")</f>
        <v>No</v>
      </c>
      <c r="M677" s="14">
        <f>VLOOKUP(B677,Customers!$A$1:$E$2501,4,0)</f>
        <v>24</v>
      </c>
    </row>
    <row r="678" spans="1:13" x14ac:dyDescent="0.3">
      <c r="A678">
        <v>477809</v>
      </c>
      <c r="B678">
        <v>292</v>
      </c>
      <c r="C678" s="1" t="s">
        <v>112</v>
      </c>
      <c r="D678" s="5">
        <v>45150</v>
      </c>
      <c r="E678" s="10">
        <v>0.48333333333333334</v>
      </c>
      <c r="F678" s="15">
        <f t="shared" si="30"/>
        <v>8</v>
      </c>
      <c r="G678" s="10" t="str">
        <f t="shared" si="31"/>
        <v>Saturday</v>
      </c>
      <c r="H678" s="9" t="str">
        <f t="shared" si="32"/>
        <v>August</v>
      </c>
      <c r="I678" t="s">
        <v>96</v>
      </c>
      <c r="J678" t="s">
        <v>42</v>
      </c>
      <c r="K678">
        <v>802</v>
      </c>
      <c r="L678" s="5" t="str">
        <f>IF(OR(K678&lt;Answers!$C$16,Orders!K678&gt;Answers!$C$17),"Yes","No")</f>
        <v>No</v>
      </c>
      <c r="M678" s="14">
        <f>VLOOKUP(B678,Customers!$A$1:$E$2501,4,0)</f>
        <v>66</v>
      </c>
    </row>
    <row r="679" spans="1:13" x14ac:dyDescent="0.3">
      <c r="A679">
        <v>477915</v>
      </c>
      <c r="B679">
        <v>965</v>
      </c>
      <c r="C679" s="1" t="s">
        <v>100</v>
      </c>
      <c r="D679" s="5">
        <v>45067</v>
      </c>
      <c r="E679" s="10">
        <v>0.51875000000000004</v>
      </c>
      <c r="F679" s="15">
        <f t="shared" si="30"/>
        <v>5</v>
      </c>
      <c r="G679" s="10" t="str">
        <f t="shared" si="31"/>
        <v>Sunday</v>
      </c>
      <c r="H679" s="9" t="str">
        <f t="shared" si="32"/>
        <v>May</v>
      </c>
      <c r="I679" t="s">
        <v>96</v>
      </c>
      <c r="J679" t="s">
        <v>42</v>
      </c>
      <c r="K679">
        <v>5391</v>
      </c>
      <c r="L679" s="5" t="str">
        <f>IF(OR(K679&lt;Answers!$C$16,Orders!K679&gt;Answers!$C$17),"Yes","No")</f>
        <v>No</v>
      </c>
      <c r="M679" s="14">
        <f>VLOOKUP(B679,Customers!$A$1:$E$2501,4,0)</f>
        <v>50</v>
      </c>
    </row>
    <row r="680" spans="1:13" x14ac:dyDescent="0.3">
      <c r="A680">
        <v>478198</v>
      </c>
      <c r="B680">
        <v>214</v>
      </c>
      <c r="C680" s="1" t="s">
        <v>98</v>
      </c>
      <c r="D680" s="5">
        <v>45220</v>
      </c>
      <c r="E680" s="10">
        <v>0.53888888888888886</v>
      </c>
      <c r="F680" s="15">
        <f t="shared" si="30"/>
        <v>10</v>
      </c>
      <c r="G680" s="10" t="str">
        <f t="shared" si="31"/>
        <v>Saturday</v>
      </c>
      <c r="H680" s="9" t="str">
        <f t="shared" si="32"/>
        <v>October</v>
      </c>
      <c r="I680" t="s">
        <v>95</v>
      </c>
      <c r="J680" t="s">
        <v>26</v>
      </c>
      <c r="K680">
        <v>9837</v>
      </c>
      <c r="L680" s="5" t="str">
        <f>IF(OR(K680&lt;Answers!$C$16,Orders!K680&gt;Answers!$C$17),"Yes","No")</f>
        <v>No</v>
      </c>
      <c r="M680" s="14">
        <f>VLOOKUP(B680,Customers!$A$1:$E$2501,4,0)</f>
        <v>18</v>
      </c>
    </row>
    <row r="681" spans="1:13" x14ac:dyDescent="0.3">
      <c r="A681">
        <v>479363</v>
      </c>
      <c r="B681">
        <v>1343</v>
      </c>
      <c r="C681" s="1" t="s">
        <v>98</v>
      </c>
      <c r="D681" s="5">
        <v>45115</v>
      </c>
      <c r="E681" s="10">
        <v>36568</v>
      </c>
      <c r="F681" s="15">
        <f t="shared" si="30"/>
        <v>7</v>
      </c>
      <c r="G681" s="10" t="str">
        <f t="shared" si="31"/>
        <v>Saturday</v>
      </c>
      <c r="H681" s="9" t="str">
        <f t="shared" si="32"/>
        <v>July</v>
      </c>
      <c r="I681" t="s">
        <v>95</v>
      </c>
      <c r="J681" t="s">
        <v>17</v>
      </c>
      <c r="K681">
        <v>1941</v>
      </c>
      <c r="L681" s="5" t="str">
        <f>IF(OR(K681&lt;Answers!$C$16,Orders!K681&gt;Answers!$C$17),"Yes","No")</f>
        <v>No</v>
      </c>
      <c r="M681" s="14">
        <f>VLOOKUP(B681,Customers!$A$1:$E$2501,4,0)</f>
        <v>32</v>
      </c>
    </row>
    <row r="682" spans="1:13" x14ac:dyDescent="0.3">
      <c r="A682">
        <v>479407</v>
      </c>
      <c r="B682">
        <v>1399</v>
      </c>
      <c r="C682" s="1" t="s">
        <v>100</v>
      </c>
      <c r="D682" s="5">
        <v>45263</v>
      </c>
      <c r="E682" s="10">
        <v>0.44374999999999998</v>
      </c>
      <c r="F682" s="15">
        <f t="shared" si="30"/>
        <v>12</v>
      </c>
      <c r="G682" s="10" t="str">
        <f t="shared" si="31"/>
        <v>Sunday</v>
      </c>
      <c r="H682" s="9" t="str">
        <f t="shared" si="32"/>
        <v>December</v>
      </c>
      <c r="I682" t="s">
        <v>96</v>
      </c>
      <c r="J682" t="s">
        <v>43</v>
      </c>
      <c r="K682">
        <v>1351</v>
      </c>
      <c r="L682" s="5" t="str">
        <f>IF(OR(K682&lt;Answers!$C$16,Orders!K682&gt;Answers!$C$17),"Yes","No")</f>
        <v>No</v>
      </c>
      <c r="M682" s="14">
        <f>VLOOKUP(B682,Customers!$A$1:$E$2501,4,0)</f>
        <v>24</v>
      </c>
    </row>
    <row r="683" spans="1:13" x14ac:dyDescent="0.3">
      <c r="A683">
        <v>479589</v>
      </c>
      <c r="B683">
        <v>180</v>
      </c>
      <c r="C683" s="1" t="s">
        <v>98</v>
      </c>
      <c r="D683" s="5">
        <v>45011</v>
      </c>
      <c r="E683" s="10">
        <v>0.49166666666666664</v>
      </c>
      <c r="F683" s="15">
        <f t="shared" si="30"/>
        <v>3</v>
      </c>
      <c r="G683" s="10" t="str">
        <f t="shared" si="31"/>
        <v>Sunday</v>
      </c>
      <c r="H683" s="9" t="str">
        <f t="shared" si="32"/>
        <v>March</v>
      </c>
      <c r="I683" t="s">
        <v>95</v>
      </c>
      <c r="J683" t="s">
        <v>80</v>
      </c>
      <c r="K683">
        <v>9486</v>
      </c>
      <c r="L683" s="5" t="str">
        <f>IF(OR(K683&lt;Answers!$C$16,Orders!K683&gt;Answers!$C$17),"Yes","No")</f>
        <v>No</v>
      </c>
      <c r="M683" s="14">
        <f>VLOOKUP(B683,Customers!$A$1:$E$2501,4,0)</f>
        <v>81</v>
      </c>
    </row>
    <row r="684" spans="1:13" x14ac:dyDescent="0.3">
      <c r="A684">
        <v>480827</v>
      </c>
      <c r="B684">
        <v>1498</v>
      </c>
      <c r="C684" s="1" t="s">
        <v>108</v>
      </c>
      <c r="D684" s="5">
        <v>44940</v>
      </c>
      <c r="E684" s="10">
        <v>36689</v>
      </c>
      <c r="F684" s="15">
        <f t="shared" si="30"/>
        <v>1</v>
      </c>
      <c r="G684" s="10" t="str">
        <f t="shared" si="31"/>
        <v>Saturday</v>
      </c>
      <c r="H684" s="9" t="str">
        <f t="shared" si="32"/>
        <v>January</v>
      </c>
      <c r="I684" t="s">
        <v>97</v>
      </c>
      <c r="J684" t="s">
        <v>87</v>
      </c>
      <c r="K684">
        <v>3032</v>
      </c>
      <c r="L684" s="5" t="str">
        <f>IF(OR(K684&lt;Answers!$C$16,Orders!K684&gt;Answers!$C$17),"Yes","No")</f>
        <v>No</v>
      </c>
      <c r="M684" s="14">
        <f>VLOOKUP(B684,Customers!$A$1:$E$2501,4,0)</f>
        <v>75</v>
      </c>
    </row>
    <row r="685" spans="1:13" x14ac:dyDescent="0.3">
      <c r="A685">
        <v>480878</v>
      </c>
      <c r="B685">
        <v>1229</v>
      </c>
      <c r="C685" s="1" t="s">
        <v>100</v>
      </c>
      <c r="D685" s="5">
        <v>45072</v>
      </c>
      <c r="E685" s="10">
        <v>6.7361111111111108E-2</v>
      </c>
      <c r="F685" s="15">
        <f t="shared" si="30"/>
        <v>5</v>
      </c>
      <c r="G685" s="10" t="str">
        <f t="shared" si="31"/>
        <v>Friday</v>
      </c>
      <c r="H685" s="9" t="str">
        <f t="shared" si="32"/>
        <v>May</v>
      </c>
      <c r="I685" t="s">
        <v>190</v>
      </c>
      <c r="J685" t="s">
        <v>85</v>
      </c>
      <c r="K685">
        <v>9502</v>
      </c>
      <c r="L685" s="5" t="str">
        <f>IF(OR(K685&lt;Answers!$C$16,Orders!K685&gt;Answers!$C$17),"Yes","No")</f>
        <v>No</v>
      </c>
      <c r="M685" s="14">
        <f>VLOOKUP(B685,Customers!$A$1:$E$2501,4,0)</f>
        <v>67</v>
      </c>
    </row>
    <row r="686" spans="1:13" x14ac:dyDescent="0.3">
      <c r="A686">
        <v>482210</v>
      </c>
      <c r="B686">
        <v>1507</v>
      </c>
      <c r="C686" s="1" t="s">
        <v>98</v>
      </c>
      <c r="D686" s="5">
        <v>45184</v>
      </c>
      <c r="E686" s="10">
        <v>5.9027777777777776E-2</v>
      </c>
      <c r="F686" s="15">
        <f t="shared" si="30"/>
        <v>9</v>
      </c>
      <c r="G686" s="10" t="str">
        <f t="shared" si="31"/>
        <v>Friday</v>
      </c>
      <c r="H686" s="9" t="str">
        <f t="shared" si="32"/>
        <v>September</v>
      </c>
      <c r="I686" t="s">
        <v>95</v>
      </c>
      <c r="J686" t="s">
        <v>7</v>
      </c>
      <c r="K686">
        <v>4514</v>
      </c>
      <c r="L686" s="5" t="str">
        <f>IF(OR(K686&lt;Answers!$C$16,Orders!K686&gt;Answers!$C$17),"Yes","No")</f>
        <v>No</v>
      </c>
      <c r="M686" s="14">
        <f>VLOOKUP(B686,Customers!$A$1:$E$2501,4,0)</f>
        <v>78</v>
      </c>
    </row>
    <row r="687" spans="1:13" x14ac:dyDescent="0.3">
      <c r="A687">
        <v>482277</v>
      </c>
      <c r="B687">
        <v>1808</v>
      </c>
      <c r="C687" s="1" t="s">
        <v>106</v>
      </c>
      <c r="D687" s="5">
        <v>45257</v>
      </c>
      <c r="E687" s="10">
        <v>36749</v>
      </c>
      <c r="F687" s="15">
        <f t="shared" si="30"/>
        <v>11</v>
      </c>
      <c r="G687" s="10" t="str">
        <f t="shared" si="31"/>
        <v>Monday</v>
      </c>
      <c r="H687" s="9" t="str">
        <f t="shared" si="32"/>
        <v>November</v>
      </c>
      <c r="I687" t="s">
        <v>97</v>
      </c>
      <c r="J687" t="s">
        <v>89</v>
      </c>
      <c r="K687">
        <v>5415</v>
      </c>
      <c r="L687" s="5" t="str">
        <f>IF(OR(K687&lt;Answers!$C$16,Orders!K687&gt;Answers!$C$17),"Yes","No")</f>
        <v>No</v>
      </c>
      <c r="M687" s="14">
        <f>VLOOKUP(B687,Customers!$A$1:$E$2501,4,0)</f>
        <v>28</v>
      </c>
    </row>
    <row r="688" spans="1:13" x14ac:dyDescent="0.3">
      <c r="A688">
        <v>482282</v>
      </c>
      <c r="B688">
        <v>852</v>
      </c>
      <c r="C688" s="1" t="s">
        <v>98</v>
      </c>
      <c r="D688" s="5">
        <v>45154</v>
      </c>
      <c r="E688" s="10">
        <v>36557</v>
      </c>
      <c r="F688" s="15">
        <f t="shared" si="30"/>
        <v>8</v>
      </c>
      <c r="G688" s="10" t="str">
        <f t="shared" si="31"/>
        <v>Wednesday</v>
      </c>
      <c r="H688" s="9" t="str">
        <f t="shared" si="32"/>
        <v>August</v>
      </c>
      <c r="I688" t="s">
        <v>95</v>
      </c>
      <c r="J688" t="s">
        <v>42</v>
      </c>
      <c r="K688">
        <v>348</v>
      </c>
      <c r="L688" s="5" t="str">
        <f>IF(OR(K688&lt;Answers!$C$16,Orders!K688&gt;Answers!$C$17),"Yes","No")</f>
        <v>No</v>
      </c>
      <c r="M688" s="14">
        <f>VLOOKUP(B688,Customers!$A$1:$E$2501,4,0)</f>
        <v>84</v>
      </c>
    </row>
    <row r="689" spans="1:13" x14ac:dyDescent="0.3">
      <c r="A689">
        <v>482555</v>
      </c>
      <c r="B689">
        <v>506</v>
      </c>
      <c r="C689" s="1" t="s">
        <v>98</v>
      </c>
      <c r="D689" s="5">
        <v>44951</v>
      </c>
      <c r="E689" s="10">
        <v>0.19722222222222222</v>
      </c>
      <c r="F689" s="15">
        <f t="shared" si="30"/>
        <v>1</v>
      </c>
      <c r="G689" s="10" t="str">
        <f t="shared" si="31"/>
        <v>Wednesday</v>
      </c>
      <c r="H689" s="9" t="str">
        <f t="shared" si="32"/>
        <v>January</v>
      </c>
      <c r="I689" t="s">
        <v>96</v>
      </c>
      <c r="J689" t="s">
        <v>90</v>
      </c>
      <c r="K689">
        <v>6355</v>
      </c>
      <c r="L689" s="5" t="str">
        <f>IF(OR(K689&lt;Answers!$C$16,Orders!K689&gt;Answers!$C$17),"Yes","No")</f>
        <v>No</v>
      </c>
      <c r="M689" s="14">
        <f>VLOOKUP(B689,Customers!$A$1:$E$2501,4,0)</f>
        <v>45</v>
      </c>
    </row>
    <row r="690" spans="1:13" x14ac:dyDescent="0.3">
      <c r="A690">
        <v>483229</v>
      </c>
      <c r="B690">
        <v>577</v>
      </c>
      <c r="C690" s="1" t="s">
        <v>99</v>
      </c>
      <c r="D690" s="5">
        <v>44970</v>
      </c>
      <c r="E690" s="10">
        <v>36708</v>
      </c>
      <c r="F690" s="15">
        <f t="shared" si="30"/>
        <v>2</v>
      </c>
      <c r="G690" s="10" t="str">
        <f t="shared" si="31"/>
        <v>Monday</v>
      </c>
      <c r="H690" s="9" t="str">
        <f t="shared" si="32"/>
        <v>February</v>
      </c>
      <c r="I690" t="s">
        <v>96</v>
      </c>
      <c r="J690" t="s">
        <v>77</v>
      </c>
      <c r="K690">
        <v>1958</v>
      </c>
      <c r="L690" s="5" t="str">
        <f>IF(OR(K690&lt;Answers!$C$16,Orders!K690&gt;Answers!$C$17),"Yes","No")</f>
        <v>No</v>
      </c>
      <c r="M690" s="14">
        <f>VLOOKUP(B690,Customers!$A$1:$E$2501,4,0)</f>
        <v>74</v>
      </c>
    </row>
    <row r="691" spans="1:13" x14ac:dyDescent="0.3">
      <c r="A691">
        <v>484489</v>
      </c>
      <c r="B691">
        <v>439</v>
      </c>
      <c r="C691" s="1" t="s">
        <v>104</v>
      </c>
      <c r="D691" s="5">
        <v>45256</v>
      </c>
      <c r="E691" s="10">
        <v>0.51666666666666672</v>
      </c>
      <c r="F691" s="15">
        <f t="shared" si="30"/>
        <v>11</v>
      </c>
      <c r="G691" s="10" t="str">
        <f t="shared" si="31"/>
        <v>Sunday</v>
      </c>
      <c r="H691" s="9" t="str">
        <f t="shared" si="32"/>
        <v>November</v>
      </c>
      <c r="I691" t="s">
        <v>190</v>
      </c>
      <c r="J691" t="s">
        <v>28</v>
      </c>
      <c r="K691">
        <v>6346</v>
      </c>
      <c r="L691" s="5" t="str">
        <f>IF(OR(K691&lt;Answers!$C$16,Orders!K691&gt;Answers!$C$17),"Yes","No")</f>
        <v>No</v>
      </c>
      <c r="M691" s="14">
        <f>VLOOKUP(B691,Customers!$A$1:$E$2501,4,0)</f>
        <v>74</v>
      </c>
    </row>
    <row r="692" spans="1:13" x14ac:dyDescent="0.3">
      <c r="A692">
        <v>484525</v>
      </c>
      <c r="B692">
        <v>961</v>
      </c>
      <c r="C692" s="1" t="s">
        <v>98</v>
      </c>
      <c r="D692" s="5">
        <v>45270</v>
      </c>
      <c r="E692" s="10">
        <v>0.49652777777777779</v>
      </c>
      <c r="F692" s="15">
        <f t="shared" si="30"/>
        <v>12</v>
      </c>
      <c r="G692" s="10" t="str">
        <f t="shared" si="31"/>
        <v>Sunday</v>
      </c>
      <c r="H692" s="9" t="str">
        <f t="shared" si="32"/>
        <v>December</v>
      </c>
      <c r="I692" t="s">
        <v>190</v>
      </c>
      <c r="J692" t="s">
        <v>33</v>
      </c>
      <c r="K692">
        <v>3218</v>
      </c>
      <c r="L692" s="5" t="str">
        <f>IF(OR(K692&lt;Answers!$C$16,Orders!K692&gt;Answers!$C$17),"Yes","No")</f>
        <v>No</v>
      </c>
      <c r="M692" s="14">
        <f>VLOOKUP(B692,Customers!$A$1:$E$2501,4,0)</f>
        <v>82</v>
      </c>
    </row>
    <row r="693" spans="1:13" x14ac:dyDescent="0.3">
      <c r="A693">
        <v>484688</v>
      </c>
      <c r="B693">
        <v>841</v>
      </c>
      <c r="C693" s="1" t="s">
        <v>98</v>
      </c>
      <c r="D693" s="5">
        <v>45068</v>
      </c>
      <c r="E693" s="10">
        <v>36750</v>
      </c>
      <c r="F693" s="15">
        <f t="shared" si="30"/>
        <v>5</v>
      </c>
      <c r="G693" s="10" t="str">
        <f t="shared" si="31"/>
        <v>Monday</v>
      </c>
      <c r="H693" s="9" t="str">
        <f t="shared" si="32"/>
        <v>May</v>
      </c>
      <c r="I693" t="s">
        <v>96</v>
      </c>
      <c r="J693" t="s">
        <v>86</v>
      </c>
      <c r="K693">
        <v>5991</v>
      </c>
      <c r="L693" s="5" t="str">
        <f>IF(OR(K693&lt;Answers!$C$16,Orders!K693&gt;Answers!$C$17),"Yes","No")</f>
        <v>No</v>
      </c>
      <c r="M693" s="14">
        <f>VLOOKUP(B693,Customers!$A$1:$E$2501,4,0)</f>
        <v>42</v>
      </c>
    </row>
    <row r="694" spans="1:13" x14ac:dyDescent="0.3">
      <c r="A694">
        <v>485583</v>
      </c>
      <c r="B694">
        <v>399</v>
      </c>
      <c r="C694" s="1" t="s">
        <v>112</v>
      </c>
      <c r="D694" s="5">
        <v>45000</v>
      </c>
      <c r="E694" s="10">
        <v>6.458333333333334E-2</v>
      </c>
      <c r="F694" s="15">
        <f t="shared" si="30"/>
        <v>3</v>
      </c>
      <c r="G694" s="10" t="str">
        <f t="shared" si="31"/>
        <v>Wednesday</v>
      </c>
      <c r="H694" s="9" t="str">
        <f t="shared" si="32"/>
        <v>March</v>
      </c>
      <c r="I694" t="s">
        <v>97</v>
      </c>
      <c r="J694" t="s">
        <v>39</v>
      </c>
      <c r="K694">
        <v>5485</v>
      </c>
      <c r="L694" s="5" t="str">
        <f>IF(OR(K694&lt;Answers!$C$16,Orders!K694&gt;Answers!$C$17),"Yes","No")</f>
        <v>No</v>
      </c>
      <c r="M694" s="14">
        <f>VLOOKUP(B694,Customers!$A$1:$E$2501,4,0)</f>
        <v>83</v>
      </c>
    </row>
    <row r="695" spans="1:13" x14ac:dyDescent="0.3">
      <c r="A695">
        <v>485658</v>
      </c>
      <c r="B695">
        <v>1222</v>
      </c>
      <c r="C695" s="1" t="s">
        <v>104</v>
      </c>
      <c r="D695" s="5">
        <v>44988</v>
      </c>
      <c r="E695" s="10">
        <v>36628</v>
      </c>
      <c r="F695" s="15">
        <f t="shared" si="30"/>
        <v>3</v>
      </c>
      <c r="G695" s="10" t="str">
        <f t="shared" si="31"/>
        <v>Friday</v>
      </c>
      <c r="H695" s="9" t="str">
        <f t="shared" si="32"/>
        <v>March</v>
      </c>
      <c r="I695" t="s">
        <v>190</v>
      </c>
      <c r="J695" t="s">
        <v>68</v>
      </c>
      <c r="K695">
        <v>6370</v>
      </c>
      <c r="L695" s="5" t="str">
        <f>IF(OR(K695&lt;Answers!$C$16,Orders!K695&gt;Answers!$C$17),"Yes","No")</f>
        <v>No</v>
      </c>
      <c r="M695" s="14">
        <f>VLOOKUP(B695,Customers!$A$1:$E$2501,4,0)</f>
        <v>58</v>
      </c>
    </row>
    <row r="696" spans="1:13" x14ac:dyDescent="0.3">
      <c r="A696">
        <v>487191</v>
      </c>
      <c r="B696">
        <v>404</v>
      </c>
      <c r="C696" s="1" t="s">
        <v>108</v>
      </c>
      <c r="D696" s="5">
        <v>44964</v>
      </c>
      <c r="E696" s="10">
        <v>0.54027777777777775</v>
      </c>
      <c r="F696" s="15">
        <f t="shared" si="30"/>
        <v>2</v>
      </c>
      <c r="G696" s="10" t="str">
        <f t="shared" si="31"/>
        <v>Tuesday</v>
      </c>
      <c r="H696" s="9" t="str">
        <f t="shared" si="32"/>
        <v>February</v>
      </c>
      <c r="I696" t="s">
        <v>190</v>
      </c>
      <c r="J696" t="s">
        <v>84</v>
      </c>
      <c r="K696">
        <v>4492</v>
      </c>
      <c r="L696" s="5" t="str">
        <f>IF(OR(K696&lt;Answers!$C$16,Orders!K696&gt;Answers!$C$17),"Yes","No")</f>
        <v>No</v>
      </c>
      <c r="M696" s="14">
        <f>VLOOKUP(B696,Customers!$A$1:$E$2501,4,0)</f>
        <v>26</v>
      </c>
    </row>
    <row r="697" spans="1:13" x14ac:dyDescent="0.3">
      <c r="A697">
        <v>488698</v>
      </c>
      <c r="B697">
        <v>1714</v>
      </c>
      <c r="C697" s="1" t="s">
        <v>104</v>
      </c>
      <c r="D697" s="5">
        <v>44996</v>
      </c>
      <c r="E697" s="10">
        <v>5.2083333333333336E-2</v>
      </c>
      <c r="F697" s="15">
        <f t="shared" si="30"/>
        <v>3</v>
      </c>
      <c r="G697" s="10" t="str">
        <f t="shared" si="31"/>
        <v>Saturday</v>
      </c>
      <c r="H697" s="9" t="str">
        <f t="shared" si="32"/>
        <v>March</v>
      </c>
      <c r="I697" t="s">
        <v>97</v>
      </c>
      <c r="J697" t="s">
        <v>42</v>
      </c>
      <c r="K697">
        <v>5107</v>
      </c>
      <c r="L697" s="5" t="str">
        <f>IF(OR(K697&lt;Answers!$C$16,Orders!K697&gt;Answers!$C$17),"Yes","No")</f>
        <v>No</v>
      </c>
      <c r="M697" s="14">
        <f>VLOOKUP(B697,Customers!$A$1:$E$2501,4,0)</f>
        <v>33</v>
      </c>
    </row>
    <row r="698" spans="1:13" x14ac:dyDescent="0.3">
      <c r="A698">
        <v>489692</v>
      </c>
      <c r="B698">
        <v>1249</v>
      </c>
      <c r="C698" s="1" t="s">
        <v>98</v>
      </c>
      <c r="D698" s="5">
        <v>45192</v>
      </c>
      <c r="E698" s="10">
        <v>0.51597222222222228</v>
      </c>
      <c r="F698" s="15">
        <f t="shared" si="30"/>
        <v>9</v>
      </c>
      <c r="G698" s="10" t="str">
        <f t="shared" si="31"/>
        <v>Saturday</v>
      </c>
      <c r="H698" s="9" t="str">
        <f t="shared" si="32"/>
        <v>September</v>
      </c>
      <c r="I698" t="s">
        <v>190</v>
      </c>
      <c r="J698" t="s">
        <v>80</v>
      </c>
      <c r="K698">
        <v>9580</v>
      </c>
      <c r="L698" s="5" t="str">
        <f>IF(OR(K698&lt;Answers!$C$16,Orders!K698&gt;Answers!$C$17),"Yes","No")</f>
        <v>No</v>
      </c>
      <c r="M698" s="14">
        <f>VLOOKUP(B698,Customers!$A$1:$E$2501,4,0)</f>
        <v>76</v>
      </c>
    </row>
    <row r="699" spans="1:13" x14ac:dyDescent="0.3">
      <c r="A699">
        <v>489835</v>
      </c>
      <c r="B699">
        <v>974</v>
      </c>
      <c r="C699" s="1" t="s">
        <v>99</v>
      </c>
      <c r="D699" s="5">
        <v>45208</v>
      </c>
      <c r="E699" s="10">
        <v>5.9722222222222225E-2</v>
      </c>
      <c r="F699" s="15">
        <f t="shared" si="30"/>
        <v>10</v>
      </c>
      <c r="G699" s="10" t="str">
        <f t="shared" si="31"/>
        <v>Monday</v>
      </c>
      <c r="H699" s="9" t="str">
        <f t="shared" si="32"/>
        <v>October</v>
      </c>
      <c r="I699" t="s">
        <v>95</v>
      </c>
      <c r="J699" t="s">
        <v>70</v>
      </c>
      <c r="K699">
        <v>6589</v>
      </c>
      <c r="L699" s="5" t="str">
        <f>IF(OR(K699&lt;Answers!$C$16,Orders!K699&gt;Answers!$C$17),"Yes","No")</f>
        <v>No</v>
      </c>
      <c r="M699" s="14">
        <f>VLOOKUP(B699,Customers!$A$1:$E$2501,4,0)</f>
        <v>60</v>
      </c>
    </row>
    <row r="700" spans="1:13" x14ac:dyDescent="0.3">
      <c r="A700">
        <v>490691</v>
      </c>
      <c r="B700">
        <v>1658</v>
      </c>
      <c r="C700" s="1" t="s">
        <v>98</v>
      </c>
      <c r="D700" s="5">
        <v>45290</v>
      </c>
      <c r="E700" s="10">
        <v>5.2777777777777778E-2</v>
      </c>
      <c r="F700" s="15">
        <f t="shared" si="30"/>
        <v>12</v>
      </c>
      <c r="G700" s="10" t="str">
        <f t="shared" si="31"/>
        <v>Saturday</v>
      </c>
      <c r="H700" s="9" t="str">
        <f t="shared" si="32"/>
        <v>December</v>
      </c>
      <c r="I700" t="s">
        <v>96</v>
      </c>
      <c r="J700" t="s">
        <v>6</v>
      </c>
      <c r="K700">
        <v>6947</v>
      </c>
      <c r="L700" s="5" t="str">
        <f>IF(OR(K700&lt;Answers!$C$16,Orders!K700&gt;Answers!$C$17),"Yes","No")</f>
        <v>No</v>
      </c>
      <c r="M700" s="14">
        <f>VLOOKUP(B700,Customers!$A$1:$E$2501,4,0)</f>
        <v>41</v>
      </c>
    </row>
    <row r="701" spans="1:13" x14ac:dyDescent="0.3">
      <c r="A701">
        <v>491960</v>
      </c>
      <c r="B701">
        <v>564</v>
      </c>
      <c r="C701" s="1" t="s">
        <v>98</v>
      </c>
      <c r="D701" s="5">
        <v>45117</v>
      </c>
      <c r="E701" s="10">
        <v>36750</v>
      </c>
      <c r="F701" s="15">
        <f t="shared" si="30"/>
        <v>7</v>
      </c>
      <c r="G701" s="10" t="str">
        <f t="shared" si="31"/>
        <v>Monday</v>
      </c>
      <c r="H701" s="9" t="str">
        <f t="shared" si="32"/>
        <v>July</v>
      </c>
      <c r="I701" t="s">
        <v>95</v>
      </c>
      <c r="J701" t="s">
        <v>26</v>
      </c>
      <c r="K701">
        <v>1650</v>
      </c>
      <c r="L701" s="5" t="str">
        <f>IF(OR(K701&lt;Answers!$C$16,Orders!K701&gt;Answers!$C$17),"Yes","No")</f>
        <v>No</v>
      </c>
      <c r="M701" s="14">
        <f>VLOOKUP(B701,Customers!$A$1:$E$2501,4,0)</f>
        <v>83</v>
      </c>
    </row>
    <row r="702" spans="1:13" x14ac:dyDescent="0.3">
      <c r="A702">
        <v>492855</v>
      </c>
      <c r="B702">
        <v>1294</v>
      </c>
      <c r="C702" s="1" t="s">
        <v>99</v>
      </c>
      <c r="D702" s="5">
        <v>45285</v>
      </c>
      <c r="E702" s="10">
        <v>36567</v>
      </c>
      <c r="F702" s="15">
        <f t="shared" si="30"/>
        <v>12</v>
      </c>
      <c r="G702" s="10" t="str">
        <f t="shared" si="31"/>
        <v>Monday</v>
      </c>
      <c r="H702" s="9" t="str">
        <f t="shared" si="32"/>
        <v>December</v>
      </c>
      <c r="I702" t="s">
        <v>96</v>
      </c>
      <c r="J702" t="s">
        <v>64</v>
      </c>
      <c r="K702">
        <v>9532</v>
      </c>
      <c r="L702" s="5" t="str">
        <f>IF(OR(K702&lt;Answers!$C$16,Orders!K702&gt;Answers!$C$17),"Yes","No")</f>
        <v>No</v>
      </c>
      <c r="M702" s="14">
        <f>VLOOKUP(B702,Customers!$A$1:$E$2501,4,0)</f>
        <v>54</v>
      </c>
    </row>
    <row r="703" spans="1:13" x14ac:dyDescent="0.3">
      <c r="A703">
        <v>492948</v>
      </c>
      <c r="B703">
        <v>1109</v>
      </c>
      <c r="C703" s="1" t="s">
        <v>112</v>
      </c>
      <c r="D703" s="5">
        <v>45160</v>
      </c>
      <c r="E703" s="10">
        <v>0.53680555555555554</v>
      </c>
      <c r="F703" s="15">
        <f t="shared" si="30"/>
        <v>8</v>
      </c>
      <c r="G703" s="10" t="str">
        <f t="shared" si="31"/>
        <v>Tuesday</v>
      </c>
      <c r="H703" s="9" t="str">
        <f t="shared" si="32"/>
        <v>August</v>
      </c>
      <c r="I703" t="s">
        <v>97</v>
      </c>
      <c r="J703" t="s">
        <v>23</v>
      </c>
      <c r="K703">
        <v>709</v>
      </c>
      <c r="L703" s="5" t="str">
        <f>IF(OR(K703&lt;Answers!$C$16,Orders!K703&gt;Answers!$C$17),"Yes","No")</f>
        <v>No</v>
      </c>
      <c r="M703" s="14">
        <f>VLOOKUP(B703,Customers!$A$1:$E$2501,4,0)</f>
        <v>86</v>
      </c>
    </row>
    <row r="704" spans="1:13" x14ac:dyDescent="0.3">
      <c r="A704">
        <v>493043</v>
      </c>
      <c r="B704">
        <v>1357</v>
      </c>
      <c r="C704" s="1" t="s">
        <v>110</v>
      </c>
      <c r="D704" s="5">
        <v>45181</v>
      </c>
      <c r="E704" s="10">
        <v>0.4548611111111111</v>
      </c>
      <c r="F704" s="15">
        <f t="shared" si="30"/>
        <v>9</v>
      </c>
      <c r="G704" s="10" t="str">
        <f t="shared" si="31"/>
        <v>Tuesday</v>
      </c>
      <c r="H704" s="9" t="str">
        <f t="shared" si="32"/>
        <v>September</v>
      </c>
      <c r="I704" t="s">
        <v>95</v>
      </c>
      <c r="J704" t="s">
        <v>26</v>
      </c>
      <c r="K704">
        <v>852</v>
      </c>
      <c r="L704" s="5" t="str">
        <f>IF(OR(K704&lt;Answers!$C$16,Orders!K704&gt;Answers!$C$17),"Yes","No")</f>
        <v>No</v>
      </c>
      <c r="M704" s="14">
        <f>VLOOKUP(B704,Customers!$A$1:$E$2501,4,0)</f>
        <v>43</v>
      </c>
    </row>
    <row r="705" spans="1:13" x14ac:dyDescent="0.3">
      <c r="A705">
        <v>493111</v>
      </c>
      <c r="B705">
        <v>1962</v>
      </c>
      <c r="C705" s="1" t="s">
        <v>98</v>
      </c>
      <c r="D705" s="5">
        <v>44935</v>
      </c>
      <c r="E705" s="10">
        <v>36749</v>
      </c>
      <c r="F705" s="15">
        <f t="shared" si="30"/>
        <v>1</v>
      </c>
      <c r="G705" s="10" t="str">
        <f t="shared" si="31"/>
        <v>Monday</v>
      </c>
      <c r="H705" s="9" t="str">
        <f t="shared" si="32"/>
        <v>January</v>
      </c>
      <c r="I705" t="s">
        <v>96</v>
      </c>
      <c r="J705" t="s">
        <v>65</v>
      </c>
      <c r="K705">
        <v>6279</v>
      </c>
      <c r="L705" s="5" t="str">
        <f>IF(OR(K705&lt;Answers!$C$16,Orders!K705&gt;Answers!$C$17),"Yes","No")</f>
        <v>No</v>
      </c>
      <c r="M705" s="14">
        <f>VLOOKUP(B705,Customers!$A$1:$E$2501,4,0)</f>
        <v>23</v>
      </c>
    </row>
    <row r="706" spans="1:13" x14ac:dyDescent="0.3">
      <c r="A706">
        <v>493809</v>
      </c>
      <c r="B706">
        <v>799</v>
      </c>
      <c r="C706" s="1" t="s">
        <v>98</v>
      </c>
      <c r="D706" s="5">
        <v>44969</v>
      </c>
      <c r="E706" s="10">
        <v>8.3333333333333329E-2</v>
      </c>
      <c r="F706" s="15">
        <f t="shared" si="30"/>
        <v>2</v>
      </c>
      <c r="G706" s="10" t="str">
        <f t="shared" si="31"/>
        <v>Sunday</v>
      </c>
      <c r="H706" s="9" t="str">
        <f t="shared" si="32"/>
        <v>February</v>
      </c>
      <c r="I706" t="s">
        <v>190</v>
      </c>
      <c r="J706" t="s">
        <v>77</v>
      </c>
      <c r="K706">
        <v>8809</v>
      </c>
      <c r="L706" s="5" t="str">
        <f>IF(OR(K706&lt;Answers!$C$16,Orders!K706&gt;Answers!$C$17),"Yes","No")</f>
        <v>No</v>
      </c>
      <c r="M706" s="14">
        <f>VLOOKUP(B706,Customers!$A$1:$E$2501,4,0)</f>
        <v>59</v>
      </c>
    </row>
    <row r="707" spans="1:13" x14ac:dyDescent="0.3">
      <c r="A707">
        <v>493810</v>
      </c>
      <c r="B707">
        <v>1040</v>
      </c>
      <c r="C707" s="1" t="s">
        <v>112</v>
      </c>
      <c r="D707" s="5">
        <v>45122</v>
      </c>
      <c r="E707" s="10">
        <v>0.45833333333333331</v>
      </c>
      <c r="F707" s="15">
        <f t="shared" ref="F707:F770" si="33">MONTH(D707)</f>
        <v>7</v>
      </c>
      <c r="G707" s="10" t="str">
        <f t="shared" ref="G707:G770" si="34">TEXT(D707,"dddd")</f>
        <v>Saturday</v>
      </c>
      <c r="H707" s="9" t="str">
        <f t="shared" ref="H707:H770" si="35">TEXT(D707,"mmmm")</f>
        <v>July</v>
      </c>
      <c r="I707" t="s">
        <v>96</v>
      </c>
      <c r="J707" t="s">
        <v>76</v>
      </c>
      <c r="K707">
        <v>1550</v>
      </c>
      <c r="L707" s="5" t="str">
        <f>IF(OR(K707&lt;Answers!$C$16,Orders!K707&gt;Answers!$C$17),"Yes","No")</f>
        <v>No</v>
      </c>
      <c r="M707" s="14">
        <f>VLOOKUP(B707,Customers!$A$1:$E$2501,4,0)</f>
        <v>63</v>
      </c>
    </row>
    <row r="708" spans="1:13" x14ac:dyDescent="0.3">
      <c r="A708">
        <v>495154</v>
      </c>
      <c r="B708">
        <v>1911</v>
      </c>
      <c r="C708" s="1" t="s">
        <v>100</v>
      </c>
      <c r="D708" s="5">
        <v>44991</v>
      </c>
      <c r="E708" s="10">
        <v>0.49652777777777779</v>
      </c>
      <c r="F708" s="15">
        <f t="shared" si="33"/>
        <v>3</v>
      </c>
      <c r="G708" s="10" t="str">
        <f t="shared" si="34"/>
        <v>Monday</v>
      </c>
      <c r="H708" s="9" t="str">
        <f t="shared" si="35"/>
        <v>March</v>
      </c>
      <c r="I708" t="s">
        <v>96</v>
      </c>
      <c r="J708" t="s">
        <v>63</v>
      </c>
      <c r="K708">
        <v>5800</v>
      </c>
      <c r="L708" s="5" t="str">
        <f>IF(OR(K708&lt;Answers!$C$16,Orders!K708&gt;Answers!$C$17),"Yes","No")</f>
        <v>No</v>
      </c>
      <c r="M708" s="14">
        <f>VLOOKUP(B708,Customers!$A$1:$E$2501,4,0)</f>
        <v>78</v>
      </c>
    </row>
    <row r="709" spans="1:13" x14ac:dyDescent="0.3">
      <c r="A709">
        <v>495680</v>
      </c>
      <c r="B709">
        <v>276</v>
      </c>
      <c r="C709" s="1" t="s">
        <v>112</v>
      </c>
      <c r="D709" s="5">
        <v>45103</v>
      </c>
      <c r="E709" s="10">
        <v>0.53402777777777777</v>
      </c>
      <c r="F709" s="15">
        <f t="shared" si="33"/>
        <v>6</v>
      </c>
      <c r="G709" s="10" t="str">
        <f t="shared" si="34"/>
        <v>Monday</v>
      </c>
      <c r="H709" s="9" t="str">
        <f t="shared" si="35"/>
        <v>June</v>
      </c>
      <c r="I709" t="s">
        <v>96</v>
      </c>
      <c r="J709" t="s">
        <v>29</v>
      </c>
      <c r="K709">
        <v>2665</v>
      </c>
      <c r="L709" s="5" t="str">
        <f>IF(OR(K709&lt;Answers!$C$16,Orders!K709&gt;Answers!$C$17),"Yes","No")</f>
        <v>No</v>
      </c>
      <c r="M709" s="14">
        <f>VLOOKUP(B709,Customers!$A$1:$E$2501,4,0)</f>
        <v>59</v>
      </c>
    </row>
    <row r="710" spans="1:13" x14ac:dyDescent="0.3">
      <c r="A710">
        <v>497302</v>
      </c>
      <c r="B710">
        <v>1539</v>
      </c>
      <c r="C710" s="1" t="s">
        <v>98</v>
      </c>
      <c r="D710" s="5">
        <v>45177</v>
      </c>
      <c r="E710" s="10">
        <v>0.47847222222222224</v>
      </c>
      <c r="F710" s="15">
        <f t="shared" si="33"/>
        <v>9</v>
      </c>
      <c r="G710" s="10" t="str">
        <f t="shared" si="34"/>
        <v>Friday</v>
      </c>
      <c r="H710" s="9" t="str">
        <f t="shared" si="35"/>
        <v>September</v>
      </c>
      <c r="I710" t="s">
        <v>97</v>
      </c>
      <c r="J710" t="s">
        <v>52</v>
      </c>
      <c r="K710">
        <v>7579</v>
      </c>
      <c r="L710" s="5" t="str">
        <f>IF(OR(K710&lt;Answers!$C$16,Orders!K710&gt;Answers!$C$17),"Yes","No")</f>
        <v>No</v>
      </c>
      <c r="M710" s="14">
        <f>VLOOKUP(B710,Customers!$A$1:$E$2501,4,0)</f>
        <v>73</v>
      </c>
    </row>
    <row r="711" spans="1:13" x14ac:dyDescent="0.3">
      <c r="A711">
        <v>497663</v>
      </c>
      <c r="B711">
        <v>596</v>
      </c>
      <c r="C711" s="1" t="s">
        <v>101</v>
      </c>
      <c r="D711" s="5">
        <v>45236</v>
      </c>
      <c r="E711" s="10">
        <v>36597</v>
      </c>
      <c r="F711" s="15">
        <f t="shared" si="33"/>
        <v>11</v>
      </c>
      <c r="G711" s="10" t="str">
        <f t="shared" si="34"/>
        <v>Monday</v>
      </c>
      <c r="H711" s="9" t="str">
        <f t="shared" si="35"/>
        <v>November</v>
      </c>
      <c r="I711" t="s">
        <v>95</v>
      </c>
      <c r="J711" t="s">
        <v>84</v>
      </c>
      <c r="K711">
        <v>6580</v>
      </c>
      <c r="L711" s="5" t="str">
        <f>IF(OR(K711&lt;Answers!$C$16,Orders!K711&gt;Answers!$C$17),"Yes","No")</f>
        <v>No</v>
      </c>
      <c r="M711" s="14">
        <f>VLOOKUP(B711,Customers!$A$1:$E$2501,4,0)</f>
        <v>66</v>
      </c>
    </row>
    <row r="712" spans="1:13" x14ac:dyDescent="0.3">
      <c r="A712">
        <v>498278</v>
      </c>
      <c r="B712">
        <v>540</v>
      </c>
      <c r="C712" s="1" t="s">
        <v>100</v>
      </c>
      <c r="D712" s="5">
        <v>45090</v>
      </c>
      <c r="E712" s="10">
        <v>36708</v>
      </c>
      <c r="F712" s="15">
        <f t="shared" si="33"/>
        <v>6</v>
      </c>
      <c r="G712" s="10" t="str">
        <f t="shared" si="34"/>
        <v>Tuesday</v>
      </c>
      <c r="H712" s="9" t="str">
        <f t="shared" si="35"/>
        <v>June</v>
      </c>
      <c r="I712" t="s">
        <v>95</v>
      </c>
      <c r="J712" t="s">
        <v>50</v>
      </c>
      <c r="K712">
        <v>4974</v>
      </c>
      <c r="L712" s="5" t="str">
        <f>IF(OR(K712&lt;Answers!$C$16,Orders!K712&gt;Answers!$C$17),"Yes","No")</f>
        <v>No</v>
      </c>
      <c r="M712" s="14">
        <f>VLOOKUP(B712,Customers!$A$1:$E$2501,4,0)</f>
        <v>27</v>
      </c>
    </row>
    <row r="713" spans="1:13" x14ac:dyDescent="0.3">
      <c r="A713">
        <v>498746</v>
      </c>
      <c r="B713">
        <v>1475</v>
      </c>
      <c r="C713" s="1" t="s">
        <v>104</v>
      </c>
      <c r="D713" s="5">
        <v>45080</v>
      </c>
      <c r="E713" s="10">
        <v>36781</v>
      </c>
      <c r="F713" s="15">
        <f t="shared" si="33"/>
        <v>6</v>
      </c>
      <c r="G713" s="10" t="str">
        <f t="shared" si="34"/>
        <v>Saturday</v>
      </c>
      <c r="H713" s="9" t="str">
        <f t="shared" si="35"/>
        <v>June</v>
      </c>
      <c r="I713" t="s">
        <v>96</v>
      </c>
      <c r="J713" t="s">
        <v>67</v>
      </c>
      <c r="K713">
        <v>6335</v>
      </c>
      <c r="L713" s="5" t="str">
        <f>IF(OR(K713&lt;Answers!$C$16,Orders!K713&gt;Answers!$C$17),"Yes","No")</f>
        <v>No</v>
      </c>
      <c r="M713" s="14">
        <f>VLOOKUP(B713,Customers!$A$1:$E$2501,4,0)</f>
        <v>25</v>
      </c>
    </row>
    <row r="714" spans="1:13" x14ac:dyDescent="0.3">
      <c r="A714">
        <v>499145</v>
      </c>
      <c r="B714">
        <v>61</v>
      </c>
      <c r="C714" s="1" t="s">
        <v>104</v>
      </c>
      <c r="D714" s="5">
        <v>45168</v>
      </c>
      <c r="E714" s="10">
        <v>0.45416666666666666</v>
      </c>
      <c r="F714" s="15">
        <f t="shared" si="33"/>
        <v>8</v>
      </c>
      <c r="G714" s="10" t="str">
        <f t="shared" si="34"/>
        <v>Wednesday</v>
      </c>
      <c r="H714" s="9" t="str">
        <f t="shared" si="35"/>
        <v>August</v>
      </c>
      <c r="I714" t="s">
        <v>97</v>
      </c>
      <c r="J714" t="s">
        <v>42</v>
      </c>
      <c r="K714">
        <v>165</v>
      </c>
      <c r="L714" s="5" t="str">
        <f>IF(OR(K714&lt;Answers!$C$16,Orders!K714&gt;Answers!$C$17),"Yes","No")</f>
        <v>No</v>
      </c>
      <c r="M714" s="14">
        <f>VLOOKUP(B714,Customers!$A$1:$E$2501,4,0)</f>
        <v>47</v>
      </c>
    </row>
    <row r="715" spans="1:13" x14ac:dyDescent="0.3">
      <c r="A715">
        <v>499301</v>
      </c>
      <c r="B715">
        <v>125</v>
      </c>
      <c r="C715" s="1" t="s">
        <v>104</v>
      </c>
      <c r="D715" s="5">
        <v>45215</v>
      </c>
      <c r="E715" s="10">
        <v>6.1111111111111109E-2</v>
      </c>
      <c r="F715" s="15">
        <f t="shared" si="33"/>
        <v>10</v>
      </c>
      <c r="G715" s="10" t="str">
        <f t="shared" si="34"/>
        <v>Monday</v>
      </c>
      <c r="H715" s="9" t="str">
        <f t="shared" si="35"/>
        <v>October</v>
      </c>
      <c r="I715" t="s">
        <v>97</v>
      </c>
      <c r="J715" t="s">
        <v>26</v>
      </c>
      <c r="K715">
        <v>8557</v>
      </c>
      <c r="L715" s="5" t="str">
        <f>IF(OR(K715&lt;Answers!$C$16,Orders!K715&gt;Answers!$C$17),"Yes","No")</f>
        <v>No</v>
      </c>
      <c r="M715" s="14">
        <f>VLOOKUP(B715,Customers!$A$1:$E$2501,4,0)</f>
        <v>58</v>
      </c>
    </row>
    <row r="716" spans="1:13" x14ac:dyDescent="0.3">
      <c r="A716">
        <v>499444</v>
      </c>
      <c r="B716">
        <v>122</v>
      </c>
      <c r="C716" s="1" t="s">
        <v>104</v>
      </c>
      <c r="D716" s="5">
        <v>45131</v>
      </c>
      <c r="E716" s="10">
        <v>36597</v>
      </c>
      <c r="F716" s="15">
        <f t="shared" si="33"/>
        <v>7</v>
      </c>
      <c r="G716" s="10" t="str">
        <f t="shared" si="34"/>
        <v>Monday</v>
      </c>
      <c r="H716" s="9" t="str">
        <f t="shared" si="35"/>
        <v>July</v>
      </c>
      <c r="I716" t="s">
        <v>97</v>
      </c>
      <c r="J716" t="s">
        <v>68</v>
      </c>
      <c r="K716">
        <v>9615</v>
      </c>
      <c r="L716" s="5" t="str">
        <f>IF(OR(K716&lt;Answers!$C$16,Orders!K716&gt;Answers!$C$17),"Yes","No")</f>
        <v>No</v>
      </c>
      <c r="M716" s="14">
        <f>VLOOKUP(B716,Customers!$A$1:$E$2501,4,0)</f>
        <v>41</v>
      </c>
    </row>
    <row r="717" spans="1:13" x14ac:dyDescent="0.3">
      <c r="A717">
        <v>500116</v>
      </c>
      <c r="B717">
        <v>1317</v>
      </c>
      <c r="C717" s="1" t="s">
        <v>99</v>
      </c>
      <c r="D717" s="5">
        <v>45072</v>
      </c>
      <c r="E717" s="10">
        <v>36617</v>
      </c>
      <c r="F717" s="15">
        <f t="shared" si="33"/>
        <v>5</v>
      </c>
      <c r="G717" s="10" t="str">
        <f t="shared" si="34"/>
        <v>Friday</v>
      </c>
      <c r="H717" s="9" t="str">
        <f t="shared" si="35"/>
        <v>May</v>
      </c>
      <c r="I717" t="s">
        <v>95</v>
      </c>
      <c r="J717" t="s">
        <v>42</v>
      </c>
      <c r="K717">
        <v>4269</v>
      </c>
      <c r="L717" s="5" t="str">
        <f>IF(OR(K717&lt;Answers!$C$16,Orders!K717&gt;Answers!$C$17),"Yes","No")</f>
        <v>No</v>
      </c>
      <c r="M717" s="14">
        <f>VLOOKUP(B717,Customers!$A$1:$E$2501,4,0)</f>
        <v>54</v>
      </c>
    </row>
    <row r="718" spans="1:13" x14ac:dyDescent="0.3">
      <c r="A718">
        <v>500630</v>
      </c>
      <c r="B718">
        <v>548</v>
      </c>
      <c r="C718" s="1" t="s">
        <v>98</v>
      </c>
      <c r="D718" s="5">
        <v>45091</v>
      </c>
      <c r="E718" s="10">
        <v>0.52013888888888893</v>
      </c>
      <c r="F718" s="15">
        <f t="shared" si="33"/>
        <v>6</v>
      </c>
      <c r="G718" s="10" t="str">
        <f t="shared" si="34"/>
        <v>Wednesday</v>
      </c>
      <c r="H718" s="9" t="str">
        <f t="shared" si="35"/>
        <v>June</v>
      </c>
      <c r="I718" t="s">
        <v>95</v>
      </c>
      <c r="J718" t="s">
        <v>21</v>
      </c>
      <c r="K718">
        <v>3906</v>
      </c>
      <c r="L718" s="5" t="str">
        <f>IF(OR(K718&lt;Answers!$C$16,Orders!K718&gt;Answers!$C$17),"Yes","No")</f>
        <v>No</v>
      </c>
      <c r="M718" s="14">
        <f>VLOOKUP(B718,Customers!$A$1:$E$2501,4,0)</f>
        <v>48</v>
      </c>
    </row>
    <row r="719" spans="1:13" x14ac:dyDescent="0.3">
      <c r="A719">
        <v>501314</v>
      </c>
      <c r="B719">
        <v>319</v>
      </c>
      <c r="C719" s="1" t="s">
        <v>112</v>
      </c>
      <c r="D719" s="5">
        <v>44963</v>
      </c>
      <c r="E719" s="10">
        <v>0.45069444444444445</v>
      </c>
      <c r="F719" s="15">
        <f t="shared" si="33"/>
        <v>2</v>
      </c>
      <c r="G719" s="10" t="str">
        <f t="shared" si="34"/>
        <v>Monday</v>
      </c>
      <c r="H719" s="9" t="str">
        <f t="shared" si="35"/>
        <v>February</v>
      </c>
      <c r="I719" t="s">
        <v>97</v>
      </c>
      <c r="J719" t="s">
        <v>3</v>
      </c>
      <c r="K719">
        <v>2512</v>
      </c>
      <c r="L719" s="5" t="str">
        <f>IF(OR(K719&lt;Answers!$C$16,Orders!K719&gt;Answers!$C$17),"Yes","No")</f>
        <v>No</v>
      </c>
      <c r="M719" s="14">
        <f>VLOOKUP(B719,Customers!$A$1:$E$2501,4,0)</f>
        <v>39</v>
      </c>
    </row>
    <row r="720" spans="1:13" x14ac:dyDescent="0.3">
      <c r="A720">
        <v>502404</v>
      </c>
      <c r="B720">
        <v>62</v>
      </c>
      <c r="C720" s="1" t="s">
        <v>98</v>
      </c>
      <c r="D720" s="5">
        <v>44973</v>
      </c>
      <c r="E720" s="10">
        <v>0.49375000000000002</v>
      </c>
      <c r="F720" s="15">
        <f t="shared" si="33"/>
        <v>2</v>
      </c>
      <c r="G720" s="10" t="str">
        <f t="shared" si="34"/>
        <v>Thursday</v>
      </c>
      <c r="H720" s="9" t="str">
        <f t="shared" si="35"/>
        <v>February</v>
      </c>
      <c r="I720" t="s">
        <v>96</v>
      </c>
      <c r="J720" t="s">
        <v>18</v>
      </c>
      <c r="K720">
        <v>3368</v>
      </c>
      <c r="L720" s="5" t="str">
        <f>IF(OR(K720&lt;Answers!$C$16,Orders!K720&gt;Answers!$C$17),"Yes","No")</f>
        <v>No</v>
      </c>
      <c r="M720" s="14">
        <f>VLOOKUP(B720,Customers!$A$1:$E$2501,4,0)</f>
        <v>42</v>
      </c>
    </row>
    <row r="721" spans="1:13" x14ac:dyDescent="0.3">
      <c r="A721">
        <v>503957</v>
      </c>
      <c r="B721">
        <v>1442</v>
      </c>
      <c r="C721" s="1" t="s">
        <v>98</v>
      </c>
      <c r="D721" s="5">
        <v>45187</v>
      </c>
      <c r="E721" s="10">
        <v>36678</v>
      </c>
      <c r="F721" s="15">
        <f t="shared" si="33"/>
        <v>9</v>
      </c>
      <c r="G721" s="10" t="str">
        <f t="shared" si="34"/>
        <v>Monday</v>
      </c>
      <c r="H721" s="9" t="str">
        <f t="shared" si="35"/>
        <v>September</v>
      </c>
      <c r="I721" t="s">
        <v>96</v>
      </c>
      <c r="J721" t="s">
        <v>34</v>
      </c>
      <c r="K721">
        <v>2938</v>
      </c>
      <c r="L721" s="5" t="str">
        <f>IF(OR(K721&lt;Answers!$C$16,Orders!K721&gt;Answers!$C$17),"Yes","No")</f>
        <v>No</v>
      </c>
      <c r="M721" s="14">
        <f>VLOOKUP(B721,Customers!$A$1:$E$2501,4,0)</f>
        <v>82</v>
      </c>
    </row>
    <row r="722" spans="1:13" x14ac:dyDescent="0.3">
      <c r="A722">
        <v>504071</v>
      </c>
      <c r="B722">
        <v>1811</v>
      </c>
      <c r="C722" s="1" t="s">
        <v>98</v>
      </c>
      <c r="D722" s="5">
        <v>45152</v>
      </c>
      <c r="E722" s="10">
        <v>0.52222222222222225</v>
      </c>
      <c r="F722" s="15">
        <f t="shared" si="33"/>
        <v>8</v>
      </c>
      <c r="G722" s="10" t="str">
        <f t="shared" si="34"/>
        <v>Monday</v>
      </c>
      <c r="H722" s="9" t="str">
        <f t="shared" si="35"/>
        <v>August</v>
      </c>
      <c r="I722" t="s">
        <v>190</v>
      </c>
      <c r="J722" t="s">
        <v>14</v>
      </c>
      <c r="K722">
        <v>2261</v>
      </c>
      <c r="L722" s="5" t="str">
        <f>IF(OR(K722&lt;Answers!$C$16,Orders!K722&gt;Answers!$C$17),"Yes","No")</f>
        <v>No</v>
      </c>
      <c r="M722" s="14">
        <f>VLOOKUP(B722,Customers!$A$1:$E$2501,4,0)</f>
        <v>79</v>
      </c>
    </row>
    <row r="723" spans="1:13" x14ac:dyDescent="0.3">
      <c r="A723">
        <v>504938</v>
      </c>
      <c r="B723">
        <v>84</v>
      </c>
      <c r="C723" s="1" t="s">
        <v>98</v>
      </c>
      <c r="D723" s="5">
        <v>45117</v>
      </c>
      <c r="E723" s="10">
        <v>0.48333333333333334</v>
      </c>
      <c r="F723" s="15">
        <f t="shared" si="33"/>
        <v>7</v>
      </c>
      <c r="G723" s="10" t="str">
        <f t="shared" si="34"/>
        <v>Monday</v>
      </c>
      <c r="H723" s="9" t="str">
        <f t="shared" si="35"/>
        <v>July</v>
      </c>
      <c r="I723" t="s">
        <v>95</v>
      </c>
      <c r="J723" t="s">
        <v>27</v>
      </c>
      <c r="K723">
        <v>6541</v>
      </c>
      <c r="L723" s="5" t="str">
        <f>IF(OR(K723&lt;Answers!$C$16,Orders!K723&gt;Answers!$C$17),"Yes","No")</f>
        <v>No</v>
      </c>
      <c r="M723" s="14">
        <f>VLOOKUP(B723,Customers!$A$1:$E$2501,4,0)</f>
        <v>85</v>
      </c>
    </row>
    <row r="724" spans="1:13" x14ac:dyDescent="0.3">
      <c r="A724">
        <v>505298</v>
      </c>
      <c r="B724">
        <v>1854</v>
      </c>
      <c r="C724" s="1" t="s">
        <v>98</v>
      </c>
      <c r="D724" s="5">
        <v>45111</v>
      </c>
      <c r="E724" s="10">
        <v>0.52361111111111114</v>
      </c>
      <c r="F724" s="15">
        <f t="shared" si="33"/>
        <v>7</v>
      </c>
      <c r="G724" s="10" t="str">
        <f t="shared" si="34"/>
        <v>Tuesday</v>
      </c>
      <c r="H724" s="9" t="str">
        <f t="shared" si="35"/>
        <v>July</v>
      </c>
      <c r="I724" t="s">
        <v>95</v>
      </c>
      <c r="J724" t="s">
        <v>77</v>
      </c>
      <c r="K724">
        <v>7393</v>
      </c>
      <c r="L724" s="5" t="str">
        <f>IF(OR(K724&lt;Answers!$C$16,Orders!K724&gt;Answers!$C$17),"Yes","No")</f>
        <v>No</v>
      </c>
      <c r="M724" s="14">
        <f>VLOOKUP(B724,Customers!$A$1:$E$2501,4,0)</f>
        <v>87</v>
      </c>
    </row>
    <row r="725" spans="1:13" x14ac:dyDescent="0.3">
      <c r="A725">
        <v>506188</v>
      </c>
      <c r="B725">
        <v>515</v>
      </c>
      <c r="C725" s="1" t="s">
        <v>104</v>
      </c>
      <c r="D725" s="5">
        <v>44970</v>
      </c>
      <c r="E725" s="10">
        <v>0.52500000000000002</v>
      </c>
      <c r="F725" s="15">
        <f t="shared" si="33"/>
        <v>2</v>
      </c>
      <c r="G725" s="10" t="str">
        <f t="shared" si="34"/>
        <v>Monday</v>
      </c>
      <c r="H725" s="9" t="str">
        <f t="shared" si="35"/>
        <v>February</v>
      </c>
      <c r="I725" t="s">
        <v>95</v>
      </c>
      <c r="J725" t="s">
        <v>26</v>
      </c>
      <c r="K725">
        <v>2177</v>
      </c>
      <c r="L725" s="5" t="str">
        <f>IF(OR(K725&lt;Answers!$C$16,Orders!K725&gt;Answers!$C$17),"Yes","No")</f>
        <v>No</v>
      </c>
      <c r="M725" s="14">
        <f>VLOOKUP(B725,Customers!$A$1:$E$2501,4,0)</f>
        <v>37</v>
      </c>
    </row>
    <row r="726" spans="1:13" x14ac:dyDescent="0.3">
      <c r="A726">
        <v>506560</v>
      </c>
      <c r="B726">
        <v>301</v>
      </c>
      <c r="C726" s="1" t="s">
        <v>112</v>
      </c>
      <c r="D726" s="5">
        <v>44952</v>
      </c>
      <c r="E726" s="10">
        <v>0.51388888888888884</v>
      </c>
      <c r="F726" s="15">
        <f t="shared" si="33"/>
        <v>1</v>
      </c>
      <c r="G726" s="10" t="str">
        <f t="shared" si="34"/>
        <v>Thursday</v>
      </c>
      <c r="H726" s="9" t="str">
        <f t="shared" si="35"/>
        <v>January</v>
      </c>
      <c r="I726" t="s">
        <v>96</v>
      </c>
      <c r="J726" t="s">
        <v>45</v>
      </c>
      <c r="K726">
        <v>2071</v>
      </c>
      <c r="L726" s="5" t="str">
        <f>IF(OR(K726&lt;Answers!$C$16,Orders!K726&gt;Answers!$C$17),"Yes","No")</f>
        <v>No</v>
      </c>
      <c r="M726" s="14">
        <f>VLOOKUP(B726,Customers!$A$1:$E$2501,4,0)</f>
        <v>46</v>
      </c>
    </row>
    <row r="727" spans="1:13" x14ac:dyDescent="0.3">
      <c r="A727">
        <v>506882</v>
      </c>
      <c r="B727">
        <v>197</v>
      </c>
      <c r="C727" s="1" t="s">
        <v>98</v>
      </c>
      <c r="D727" s="5">
        <v>45232</v>
      </c>
      <c r="E727" s="10">
        <v>5.9722222222222225E-2</v>
      </c>
      <c r="F727" s="15">
        <f t="shared" si="33"/>
        <v>11</v>
      </c>
      <c r="G727" s="10" t="str">
        <f t="shared" si="34"/>
        <v>Thursday</v>
      </c>
      <c r="H727" s="9" t="str">
        <f t="shared" si="35"/>
        <v>November</v>
      </c>
      <c r="I727" t="s">
        <v>97</v>
      </c>
      <c r="J727" t="s">
        <v>26</v>
      </c>
      <c r="K727">
        <v>3087</v>
      </c>
      <c r="L727" s="5" t="str">
        <f>IF(OR(K727&lt;Answers!$C$16,Orders!K727&gt;Answers!$C$17),"Yes","No")</f>
        <v>No</v>
      </c>
      <c r="M727" s="14">
        <f>VLOOKUP(B727,Customers!$A$1:$E$2501,4,0)</f>
        <v>38</v>
      </c>
    </row>
    <row r="728" spans="1:13" x14ac:dyDescent="0.3">
      <c r="A728">
        <v>507043</v>
      </c>
      <c r="B728">
        <v>933</v>
      </c>
      <c r="C728" s="1" t="s">
        <v>98</v>
      </c>
      <c r="D728" s="5">
        <v>45126</v>
      </c>
      <c r="E728" s="10">
        <v>7.3611111111111113E-2</v>
      </c>
      <c r="F728" s="15">
        <f t="shared" si="33"/>
        <v>7</v>
      </c>
      <c r="G728" s="10" t="str">
        <f t="shared" si="34"/>
        <v>Wednesday</v>
      </c>
      <c r="H728" s="9" t="str">
        <f t="shared" si="35"/>
        <v>July</v>
      </c>
      <c r="I728" t="s">
        <v>190</v>
      </c>
      <c r="J728" t="s">
        <v>26</v>
      </c>
      <c r="K728">
        <v>6796</v>
      </c>
      <c r="L728" s="5" t="str">
        <f>IF(OR(K728&lt;Answers!$C$16,Orders!K728&gt;Answers!$C$17),"Yes","No")</f>
        <v>No</v>
      </c>
      <c r="M728" s="14">
        <f>VLOOKUP(B728,Customers!$A$1:$E$2501,4,0)</f>
        <v>24</v>
      </c>
    </row>
    <row r="729" spans="1:13" x14ac:dyDescent="0.3">
      <c r="A729">
        <v>508458</v>
      </c>
      <c r="B729">
        <v>864</v>
      </c>
      <c r="C729" s="1" t="s">
        <v>98</v>
      </c>
      <c r="D729" s="5">
        <v>45086</v>
      </c>
      <c r="E729" s="10">
        <v>5.7638888888888892E-2</v>
      </c>
      <c r="F729" s="15">
        <f t="shared" si="33"/>
        <v>6</v>
      </c>
      <c r="G729" s="10" t="str">
        <f t="shared" si="34"/>
        <v>Friday</v>
      </c>
      <c r="H729" s="9" t="str">
        <f t="shared" si="35"/>
        <v>June</v>
      </c>
      <c r="I729" t="s">
        <v>97</v>
      </c>
      <c r="J729" t="s">
        <v>17</v>
      </c>
      <c r="K729">
        <v>1522</v>
      </c>
      <c r="L729" s="5" t="str">
        <f>IF(OR(K729&lt;Answers!$C$16,Orders!K729&gt;Answers!$C$17),"Yes","No")</f>
        <v>No</v>
      </c>
      <c r="M729" s="14">
        <f>VLOOKUP(B729,Customers!$A$1:$E$2501,4,0)</f>
        <v>78</v>
      </c>
    </row>
    <row r="730" spans="1:13" x14ac:dyDescent="0.3">
      <c r="A730">
        <v>508989</v>
      </c>
      <c r="B730">
        <v>1307</v>
      </c>
      <c r="C730" s="1" t="s">
        <v>99</v>
      </c>
      <c r="D730" s="5">
        <v>44988</v>
      </c>
      <c r="E730" s="10">
        <v>36678</v>
      </c>
      <c r="F730" s="15">
        <f t="shared" si="33"/>
        <v>3</v>
      </c>
      <c r="G730" s="10" t="str">
        <f t="shared" si="34"/>
        <v>Friday</v>
      </c>
      <c r="H730" s="9" t="str">
        <f t="shared" si="35"/>
        <v>March</v>
      </c>
      <c r="I730" t="s">
        <v>95</v>
      </c>
      <c r="J730" t="s">
        <v>75</v>
      </c>
      <c r="K730">
        <v>3733</v>
      </c>
      <c r="L730" s="5" t="str">
        <f>IF(OR(K730&lt;Answers!$C$16,Orders!K730&gt;Answers!$C$17),"Yes","No")</f>
        <v>No</v>
      </c>
      <c r="M730" s="14">
        <f>VLOOKUP(B730,Customers!$A$1:$E$2501,4,0)</f>
        <v>78</v>
      </c>
    </row>
    <row r="731" spans="1:13" x14ac:dyDescent="0.3">
      <c r="A731">
        <v>509663</v>
      </c>
      <c r="B731">
        <v>1437</v>
      </c>
      <c r="C731" s="1" t="s">
        <v>98</v>
      </c>
      <c r="D731" s="5">
        <v>45102</v>
      </c>
      <c r="E731" s="10">
        <v>36597</v>
      </c>
      <c r="F731" s="15">
        <f t="shared" si="33"/>
        <v>6</v>
      </c>
      <c r="G731" s="10" t="str">
        <f t="shared" si="34"/>
        <v>Sunday</v>
      </c>
      <c r="H731" s="9" t="str">
        <f t="shared" si="35"/>
        <v>June</v>
      </c>
      <c r="I731" t="s">
        <v>96</v>
      </c>
      <c r="J731" t="s">
        <v>80</v>
      </c>
      <c r="K731">
        <v>6211</v>
      </c>
      <c r="L731" s="5" t="str">
        <f>IF(OR(K731&lt;Answers!$C$16,Orders!K731&gt;Answers!$C$17),"Yes","No")</f>
        <v>No</v>
      </c>
      <c r="M731" s="14">
        <f>VLOOKUP(B731,Customers!$A$1:$E$2501,4,0)</f>
        <v>80</v>
      </c>
    </row>
    <row r="732" spans="1:13" x14ac:dyDescent="0.3">
      <c r="A732">
        <v>510478</v>
      </c>
      <c r="B732">
        <v>12</v>
      </c>
      <c r="C732" s="1" t="s">
        <v>104</v>
      </c>
      <c r="D732" s="5">
        <v>44998</v>
      </c>
      <c r="E732" s="10">
        <v>0.46805555555555556</v>
      </c>
      <c r="F732" s="15">
        <f t="shared" si="33"/>
        <v>3</v>
      </c>
      <c r="G732" s="10" t="str">
        <f t="shared" si="34"/>
        <v>Monday</v>
      </c>
      <c r="H732" s="9" t="str">
        <f t="shared" si="35"/>
        <v>March</v>
      </c>
      <c r="I732" t="s">
        <v>96</v>
      </c>
      <c r="J732" t="s">
        <v>87</v>
      </c>
      <c r="K732">
        <v>4788</v>
      </c>
      <c r="L732" s="5" t="str">
        <f>IF(OR(K732&lt;Answers!$C$16,Orders!K732&gt;Answers!$C$17),"Yes","No")</f>
        <v>No</v>
      </c>
      <c r="M732" s="14">
        <f>VLOOKUP(B732,Customers!$A$1:$E$2501,4,0)</f>
        <v>65</v>
      </c>
    </row>
    <row r="733" spans="1:13" x14ac:dyDescent="0.3">
      <c r="A733">
        <v>510541</v>
      </c>
      <c r="B733">
        <v>1007</v>
      </c>
      <c r="C733" s="1" t="s">
        <v>98</v>
      </c>
      <c r="D733" s="5">
        <v>44988</v>
      </c>
      <c r="E733" s="10">
        <v>36842</v>
      </c>
      <c r="F733" s="15">
        <f t="shared" si="33"/>
        <v>3</v>
      </c>
      <c r="G733" s="10" t="str">
        <f t="shared" si="34"/>
        <v>Friday</v>
      </c>
      <c r="H733" s="9" t="str">
        <f t="shared" si="35"/>
        <v>March</v>
      </c>
      <c r="I733" t="s">
        <v>190</v>
      </c>
      <c r="J733" t="s">
        <v>85</v>
      </c>
      <c r="K733">
        <v>8601</v>
      </c>
      <c r="L733" s="5" t="str">
        <f>IF(OR(K733&lt;Answers!$C$16,Orders!K733&gt;Answers!$C$17),"Yes","No")</f>
        <v>No</v>
      </c>
      <c r="M733" s="14">
        <f>VLOOKUP(B733,Customers!$A$1:$E$2501,4,0)</f>
        <v>62</v>
      </c>
    </row>
    <row r="734" spans="1:13" x14ac:dyDescent="0.3">
      <c r="A734">
        <v>510910</v>
      </c>
      <c r="B734">
        <v>1461</v>
      </c>
      <c r="C734" s="1" t="s">
        <v>98</v>
      </c>
      <c r="D734" s="5">
        <v>44929</v>
      </c>
      <c r="E734" s="10">
        <v>0.48194444444444445</v>
      </c>
      <c r="F734" s="15">
        <f t="shared" si="33"/>
        <v>1</v>
      </c>
      <c r="G734" s="10" t="str">
        <f t="shared" si="34"/>
        <v>Tuesday</v>
      </c>
      <c r="H734" s="9" t="str">
        <f t="shared" si="35"/>
        <v>January</v>
      </c>
      <c r="I734" t="s">
        <v>190</v>
      </c>
      <c r="J734" t="s">
        <v>7</v>
      </c>
      <c r="K734">
        <v>1323</v>
      </c>
      <c r="L734" s="5" t="str">
        <f>IF(OR(K734&lt;Answers!$C$16,Orders!K734&gt;Answers!$C$17),"Yes","No")</f>
        <v>No</v>
      </c>
      <c r="M734" s="14">
        <f>VLOOKUP(B734,Customers!$A$1:$E$2501,4,0)</f>
        <v>77</v>
      </c>
    </row>
    <row r="735" spans="1:13" x14ac:dyDescent="0.3">
      <c r="A735">
        <v>510973</v>
      </c>
      <c r="B735">
        <v>679</v>
      </c>
      <c r="C735" s="1" t="s">
        <v>105</v>
      </c>
      <c r="D735" s="5">
        <v>44976</v>
      </c>
      <c r="E735" s="10">
        <v>36617</v>
      </c>
      <c r="F735" s="15">
        <f t="shared" si="33"/>
        <v>2</v>
      </c>
      <c r="G735" s="10" t="str">
        <f t="shared" si="34"/>
        <v>Sunday</v>
      </c>
      <c r="H735" s="9" t="str">
        <f t="shared" si="35"/>
        <v>February</v>
      </c>
      <c r="I735" t="s">
        <v>95</v>
      </c>
      <c r="J735" t="s">
        <v>89</v>
      </c>
      <c r="K735">
        <v>7192</v>
      </c>
      <c r="L735" s="5" t="str">
        <f>IF(OR(K735&lt;Answers!$C$16,Orders!K735&gt;Answers!$C$17),"Yes","No")</f>
        <v>No</v>
      </c>
      <c r="M735" s="14">
        <f>VLOOKUP(B735,Customers!$A$1:$E$2501,4,0)</f>
        <v>34</v>
      </c>
    </row>
    <row r="736" spans="1:13" x14ac:dyDescent="0.3">
      <c r="A736">
        <v>511431</v>
      </c>
      <c r="B736">
        <v>1125</v>
      </c>
      <c r="C736" s="1" t="s">
        <v>105</v>
      </c>
      <c r="D736" s="5">
        <v>45145</v>
      </c>
      <c r="E736" s="10">
        <v>6.5972222222222224E-2</v>
      </c>
      <c r="F736" s="15">
        <f t="shared" si="33"/>
        <v>8</v>
      </c>
      <c r="G736" s="10" t="str">
        <f t="shared" si="34"/>
        <v>Monday</v>
      </c>
      <c r="H736" s="9" t="str">
        <f t="shared" si="35"/>
        <v>August</v>
      </c>
      <c r="I736" t="s">
        <v>96</v>
      </c>
      <c r="J736" t="s">
        <v>42</v>
      </c>
      <c r="K736">
        <v>1624</v>
      </c>
      <c r="L736" s="5" t="str">
        <f>IF(OR(K736&lt;Answers!$C$16,Orders!K736&gt;Answers!$C$17),"Yes","No")</f>
        <v>No</v>
      </c>
      <c r="M736" s="14">
        <f>VLOOKUP(B736,Customers!$A$1:$E$2501,4,0)</f>
        <v>18</v>
      </c>
    </row>
    <row r="737" spans="1:13" x14ac:dyDescent="0.3">
      <c r="A737">
        <v>512440</v>
      </c>
      <c r="B737">
        <v>99</v>
      </c>
      <c r="C737" s="1" t="s">
        <v>100</v>
      </c>
      <c r="D737" s="5">
        <v>45084</v>
      </c>
      <c r="E737" s="10">
        <v>0.53125</v>
      </c>
      <c r="F737" s="15">
        <f t="shared" si="33"/>
        <v>6</v>
      </c>
      <c r="G737" s="10" t="str">
        <f t="shared" si="34"/>
        <v>Wednesday</v>
      </c>
      <c r="H737" s="9" t="str">
        <f t="shared" si="35"/>
        <v>June</v>
      </c>
      <c r="I737" t="s">
        <v>96</v>
      </c>
      <c r="J737" t="s">
        <v>90</v>
      </c>
      <c r="K737">
        <v>4280</v>
      </c>
      <c r="L737" s="5" t="str">
        <f>IF(OR(K737&lt;Answers!$C$16,Orders!K737&gt;Answers!$C$17),"Yes","No")</f>
        <v>No</v>
      </c>
      <c r="M737" s="14">
        <f>VLOOKUP(B737,Customers!$A$1:$E$2501,4,0)</f>
        <v>79</v>
      </c>
    </row>
    <row r="738" spans="1:13" x14ac:dyDescent="0.3">
      <c r="A738">
        <v>513417</v>
      </c>
      <c r="B738">
        <v>1836</v>
      </c>
      <c r="C738" s="1" t="s">
        <v>99</v>
      </c>
      <c r="D738" s="5">
        <v>45190</v>
      </c>
      <c r="E738" s="10">
        <v>0.53333333333333333</v>
      </c>
      <c r="F738" s="15">
        <f t="shared" si="33"/>
        <v>9</v>
      </c>
      <c r="G738" s="10" t="str">
        <f t="shared" si="34"/>
        <v>Thursday</v>
      </c>
      <c r="H738" s="9" t="str">
        <f t="shared" si="35"/>
        <v>September</v>
      </c>
      <c r="I738" t="s">
        <v>95</v>
      </c>
      <c r="J738" t="s">
        <v>77</v>
      </c>
      <c r="K738">
        <v>2613</v>
      </c>
      <c r="L738" s="5" t="str">
        <f>IF(OR(K738&lt;Answers!$C$16,Orders!K738&gt;Answers!$C$17),"Yes","No")</f>
        <v>No</v>
      </c>
      <c r="M738" s="14">
        <f>VLOOKUP(B738,Customers!$A$1:$E$2501,4,0)</f>
        <v>36</v>
      </c>
    </row>
    <row r="739" spans="1:13" x14ac:dyDescent="0.3">
      <c r="A739">
        <v>513459</v>
      </c>
      <c r="B739">
        <v>961</v>
      </c>
      <c r="C739" s="1" t="s">
        <v>98</v>
      </c>
      <c r="D739" s="5">
        <v>44966</v>
      </c>
      <c r="E739" s="10">
        <v>36689</v>
      </c>
      <c r="F739" s="15">
        <f t="shared" si="33"/>
        <v>2</v>
      </c>
      <c r="G739" s="10" t="str">
        <f t="shared" si="34"/>
        <v>Thursday</v>
      </c>
      <c r="H739" s="9" t="str">
        <f t="shared" si="35"/>
        <v>February</v>
      </c>
      <c r="I739" t="s">
        <v>95</v>
      </c>
      <c r="J739" t="s">
        <v>28</v>
      </c>
      <c r="K739">
        <v>9907</v>
      </c>
      <c r="L739" s="5" t="str">
        <f>IF(OR(K739&lt;Answers!$C$16,Orders!K739&gt;Answers!$C$17),"Yes","No")</f>
        <v>No</v>
      </c>
      <c r="M739" s="14">
        <f>VLOOKUP(B739,Customers!$A$1:$E$2501,4,0)</f>
        <v>82</v>
      </c>
    </row>
    <row r="740" spans="1:13" x14ac:dyDescent="0.3">
      <c r="A740">
        <v>514198</v>
      </c>
      <c r="B740">
        <v>1617</v>
      </c>
      <c r="C740" s="1" t="s">
        <v>103</v>
      </c>
      <c r="D740" s="5">
        <v>45253</v>
      </c>
      <c r="E740" s="10">
        <v>5.1388888888888887E-2</v>
      </c>
      <c r="F740" s="15">
        <f t="shared" si="33"/>
        <v>11</v>
      </c>
      <c r="G740" s="10" t="str">
        <f t="shared" si="34"/>
        <v>Thursday</v>
      </c>
      <c r="H740" s="9" t="str">
        <f t="shared" si="35"/>
        <v>November</v>
      </c>
      <c r="I740" t="s">
        <v>95</v>
      </c>
      <c r="J740" t="s">
        <v>33</v>
      </c>
      <c r="K740">
        <v>9711</v>
      </c>
      <c r="L740" s="5" t="str">
        <f>IF(OR(K740&lt;Answers!$C$16,Orders!K740&gt;Answers!$C$17),"Yes","No")</f>
        <v>No</v>
      </c>
      <c r="M740" s="14">
        <f>VLOOKUP(B740,Customers!$A$1:$E$2501,4,0)</f>
        <v>50</v>
      </c>
    </row>
    <row r="741" spans="1:13" x14ac:dyDescent="0.3">
      <c r="A741">
        <v>514550</v>
      </c>
      <c r="B741">
        <v>178</v>
      </c>
      <c r="C741" s="1" t="s">
        <v>112</v>
      </c>
      <c r="D741" s="5">
        <v>45078</v>
      </c>
      <c r="E741" s="10">
        <v>6.7361111111111108E-2</v>
      </c>
      <c r="F741" s="15">
        <f t="shared" si="33"/>
        <v>6</v>
      </c>
      <c r="G741" s="10" t="str">
        <f t="shared" si="34"/>
        <v>Thursday</v>
      </c>
      <c r="H741" s="9" t="str">
        <f t="shared" si="35"/>
        <v>June</v>
      </c>
      <c r="I741" t="s">
        <v>96</v>
      </c>
      <c r="J741" t="s">
        <v>67</v>
      </c>
      <c r="K741">
        <v>9871</v>
      </c>
      <c r="L741" s="5" t="str">
        <f>IF(OR(K741&lt;Answers!$C$16,Orders!K741&gt;Answers!$C$17),"Yes","No")</f>
        <v>No</v>
      </c>
      <c r="M741" s="14">
        <f>VLOOKUP(B741,Customers!$A$1:$E$2501,4,0)</f>
        <v>24</v>
      </c>
    </row>
    <row r="742" spans="1:13" x14ac:dyDescent="0.3">
      <c r="A742">
        <v>515145</v>
      </c>
      <c r="B742">
        <v>667</v>
      </c>
      <c r="C742" s="1" t="s">
        <v>99</v>
      </c>
      <c r="D742" s="5">
        <v>45251</v>
      </c>
      <c r="E742" s="10">
        <v>0.43819444444444444</v>
      </c>
      <c r="F742" s="15">
        <f t="shared" si="33"/>
        <v>11</v>
      </c>
      <c r="G742" s="10" t="str">
        <f t="shared" si="34"/>
        <v>Tuesday</v>
      </c>
      <c r="H742" s="9" t="str">
        <f t="shared" si="35"/>
        <v>November</v>
      </c>
      <c r="I742" t="s">
        <v>95</v>
      </c>
      <c r="J742" t="s">
        <v>39</v>
      </c>
      <c r="K742">
        <v>6458</v>
      </c>
      <c r="L742" s="5" t="str">
        <f>IF(OR(K742&lt;Answers!$C$16,Orders!K742&gt;Answers!$C$17),"Yes","No")</f>
        <v>No</v>
      </c>
      <c r="M742" s="14">
        <f>VLOOKUP(B742,Customers!$A$1:$E$2501,4,0)</f>
        <v>64</v>
      </c>
    </row>
    <row r="743" spans="1:13" x14ac:dyDescent="0.3">
      <c r="A743">
        <v>515694</v>
      </c>
      <c r="B743">
        <v>1034</v>
      </c>
      <c r="C743" s="1" t="s">
        <v>106</v>
      </c>
      <c r="D743" s="5">
        <v>45262</v>
      </c>
      <c r="E743" s="10">
        <v>6.25E-2</v>
      </c>
      <c r="F743" s="15">
        <f t="shared" si="33"/>
        <v>12</v>
      </c>
      <c r="G743" s="10" t="str">
        <f t="shared" si="34"/>
        <v>Saturday</v>
      </c>
      <c r="H743" s="9" t="str">
        <f t="shared" si="35"/>
        <v>December</v>
      </c>
      <c r="I743" t="s">
        <v>95</v>
      </c>
      <c r="J743" t="s">
        <v>68</v>
      </c>
      <c r="K743">
        <v>462</v>
      </c>
      <c r="L743" s="5" t="str">
        <f>IF(OR(K743&lt;Answers!$C$16,Orders!K743&gt;Answers!$C$17),"Yes","No")</f>
        <v>No</v>
      </c>
      <c r="M743" s="14">
        <f>VLOOKUP(B743,Customers!$A$1:$E$2501,4,0)</f>
        <v>31</v>
      </c>
    </row>
    <row r="744" spans="1:13" x14ac:dyDescent="0.3">
      <c r="A744">
        <v>517514</v>
      </c>
      <c r="B744">
        <v>459</v>
      </c>
      <c r="C744" s="1" t="s">
        <v>106</v>
      </c>
      <c r="D744" s="5">
        <v>45029</v>
      </c>
      <c r="E744" s="10">
        <v>0.4548611111111111</v>
      </c>
      <c r="F744" s="15">
        <f t="shared" si="33"/>
        <v>4</v>
      </c>
      <c r="G744" s="10" t="str">
        <f t="shared" si="34"/>
        <v>Thursday</v>
      </c>
      <c r="H744" s="9" t="str">
        <f t="shared" si="35"/>
        <v>April</v>
      </c>
      <c r="I744" t="s">
        <v>95</v>
      </c>
      <c r="J744" t="s">
        <v>41</v>
      </c>
      <c r="K744">
        <v>1379</v>
      </c>
      <c r="L744" s="5" t="str">
        <f>IF(OR(K744&lt;Answers!$C$16,Orders!K744&gt;Answers!$C$17),"Yes","No")</f>
        <v>No</v>
      </c>
      <c r="M744" s="14">
        <f>VLOOKUP(B744,Customers!$A$1:$E$2501,4,0)</f>
        <v>30</v>
      </c>
    </row>
    <row r="745" spans="1:13" x14ac:dyDescent="0.3">
      <c r="A745">
        <v>517568</v>
      </c>
      <c r="B745">
        <v>1475</v>
      </c>
      <c r="C745" s="1" t="s">
        <v>104</v>
      </c>
      <c r="D745" s="5">
        <v>45200</v>
      </c>
      <c r="E745" s="10">
        <v>0.52083333333333337</v>
      </c>
      <c r="F745" s="15">
        <f t="shared" si="33"/>
        <v>10</v>
      </c>
      <c r="G745" s="10" t="str">
        <f t="shared" si="34"/>
        <v>Sunday</v>
      </c>
      <c r="H745" s="9" t="str">
        <f t="shared" si="35"/>
        <v>October</v>
      </c>
      <c r="I745" t="s">
        <v>95</v>
      </c>
      <c r="J745" t="s">
        <v>42</v>
      </c>
      <c r="K745">
        <v>794</v>
      </c>
      <c r="L745" s="5" t="str">
        <f>IF(OR(K745&lt;Answers!$C$16,Orders!K745&gt;Answers!$C$17),"Yes","No")</f>
        <v>No</v>
      </c>
      <c r="M745" s="14">
        <f>VLOOKUP(B745,Customers!$A$1:$E$2501,4,0)</f>
        <v>25</v>
      </c>
    </row>
    <row r="746" spans="1:13" x14ac:dyDescent="0.3">
      <c r="A746">
        <v>517712</v>
      </c>
      <c r="B746">
        <v>817</v>
      </c>
      <c r="C746" s="1" t="s">
        <v>98</v>
      </c>
      <c r="D746" s="5">
        <v>45158</v>
      </c>
      <c r="E746" s="10">
        <v>0.5395833333333333</v>
      </c>
      <c r="F746" s="15">
        <f t="shared" si="33"/>
        <v>8</v>
      </c>
      <c r="G746" s="10" t="str">
        <f t="shared" si="34"/>
        <v>Sunday</v>
      </c>
      <c r="H746" s="9" t="str">
        <f t="shared" si="35"/>
        <v>August</v>
      </c>
      <c r="I746" t="s">
        <v>95</v>
      </c>
      <c r="J746" t="s">
        <v>43</v>
      </c>
      <c r="K746">
        <v>8560</v>
      </c>
      <c r="L746" s="5" t="str">
        <f>IF(OR(K746&lt;Answers!$C$16,Orders!K746&gt;Answers!$C$17),"Yes","No")</f>
        <v>No</v>
      </c>
      <c r="M746" s="14">
        <f>VLOOKUP(B746,Customers!$A$1:$E$2501,4,0)</f>
        <v>39</v>
      </c>
    </row>
    <row r="747" spans="1:13" x14ac:dyDescent="0.3">
      <c r="A747">
        <v>519130</v>
      </c>
      <c r="B747">
        <v>1036</v>
      </c>
      <c r="C747" s="1" t="s">
        <v>112</v>
      </c>
      <c r="D747" s="5">
        <v>45197</v>
      </c>
      <c r="E747" s="10">
        <v>0.52430555555555558</v>
      </c>
      <c r="F747" s="15">
        <f t="shared" si="33"/>
        <v>9</v>
      </c>
      <c r="G747" s="10" t="str">
        <f t="shared" si="34"/>
        <v>Thursday</v>
      </c>
      <c r="H747" s="9" t="str">
        <f t="shared" si="35"/>
        <v>September</v>
      </c>
      <c r="I747" t="s">
        <v>97</v>
      </c>
      <c r="J747" t="s">
        <v>80</v>
      </c>
      <c r="K747">
        <v>6750</v>
      </c>
      <c r="L747" s="5" t="str">
        <f>IF(OR(K747&lt;Answers!$C$16,Orders!K747&gt;Answers!$C$17),"Yes","No")</f>
        <v>No</v>
      </c>
      <c r="M747" s="14">
        <f>VLOOKUP(B747,Customers!$A$1:$E$2501,4,0)</f>
        <v>29</v>
      </c>
    </row>
    <row r="748" spans="1:13" x14ac:dyDescent="0.3">
      <c r="A748">
        <v>520080</v>
      </c>
      <c r="B748">
        <v>922</v>
      </c>
      <c r="C748" s="1" t="s">
        <v>109</v>
      </c>
      <c r="D748" s="5">
        <v>45217</v>
      </c>
      <c r="E748" s="10">
        <v>6.5277777777777782E-2</v>
      </c>
      <c r="F748" s="15">
        <f t="shared" si="33"/>
        <v>10</v>
      </c>
      <c r="G748" s="10" t="str">
        <f t="shared" si="34"/>
        <v>Wednesday</v>
      </c>
      <c r="H748" s="9" t="str">
        <f t="shared" si="35"/>
        <v>October</v>
      </c>
      <c r="I748" t="s">
        <v>190</v>
      </c>
      <c r="J748" t="s">
        <v>70</v>
      </c>
      <c r="K748">
        <v>917</v>
      </c>
      <c r="L748" s="5" t="str">
        <f>IF(OR(K748&lt;Answers!$C$16,Orders!K748&gt;Answers!$C$17),"Yes","No")</f>
        <v>No</v>
      </c>
      <c r="M748" s="14">
        <f>VLOOKUP(B748,Customers!$A$1:$E$2501,4,0)</f>
        <v>31</v>
      </c>
    </row>
    <row r="749" spans="1:13" x14ac:dyDescent="0.3">
      <c r="A749">
        <v>520860</v>
      </c>
      <c r="B749">
        <v>848</v>
      </c>
      <c r="C749" s="1" t="s">
        <v>98</v>
      </c>
      <c r="D749" s="5">
        <v>44949</v>
      </c>
      <c r="E749" s="10">
        <v>0.44374999999999998</v>
      </c>
      <c r="F749" s="15">
        <f t="shared" si="33"/>
        <v>1</v>
      </c>
      <c r="G749" s="10" t="str">
        <f t="shared" si="34"/>
        <v>Monday</v>
      </c>
      <c r="H749" s="9" t="str">
        <f t="shared" si="35"/>
        <v>January</v>
      </c>
      <c r="I749" t="s">
        <v>96</v>
      </c>
      <c r="J749" t="s">
        <v>5</v>
      </c>
      <c r="K749">
        <v>7161</v>
      </c>
      <c r="L749" s="5" t="str">
        <f>IF(OR(K749&lt;Answers!$C$16,Orders!K749&gt;Answers!$C$17),"Yes","No")</f>
        <v>No</v>
      </c>
      <c r="M749" s="14">
        <f>VLOOKUP(B749,Customers!$A$1:$E$2501,4,0)</f>
        <v>44</v>
      </c>
    </row>
    <row r="750" spans="1:13" x14ac:dyDescent="0.3">
      <c r="A750">
        <v>520868</v>
      </c>
      <c r="B750">
        <v>1941</v>
      </c>
      <c r="C750" s="1" t="s">
        <v>104</v>
      </c>
      <c r="D750" s="5">
        <v>45254</v>
      </c>
      <c r="E750" s="10">
        <v>0.52986111111111112</v>
      </c>
      <c r="F750" s="15">
        <f t="shared" si="33"/>
        <v>11</v>
      </c>
      <c r="G750" s="10" t="str">
        <f t="shared" si="34"/>
        <v>Friday</v>
      </c>
      <c r="H750" s="9" t="str">
        <f t="shared" si="35"/>
        <v>November</v>
      </c>
      <c r="I750" t="s">
        <v>95</v>
      </c>
      <c r="J750" t="s">
        <v>6</v>
      </c>
      <c r="K750">
        <v>870</v>
      </c>
      <c r="L750" s="5" t="str">
        <f>IF(OR(K750&lt;Answers!$C$16,Orders!K750&gt;Answers!$C$17),"Yes","No")</f>
        <v>No</v>
      </c>
      <c r="M750" s="14">
        <f>VLOOKUP(B750,Customers!$A$1:$E$2501,4,0)</f>
        <v>86</v>
      </c>
    </row>
    <row r="751" spans="1:13" x14ac:dyDescent="0.3">
      <c r="A751">
        <v>521015</v>
      </c>
      <c r="B751">
        <v>1351</v>
      </c>
      <c r="C751" s="1" t="s">
        <v>104</v>
      </c>
      <c r="D751" s="5">
        <v>45020</v>
      </c>
      <c r="E751" s="10">
        <v>36770</v>
      </c>
      <c r="F751" s="15">
        <f t="shared" si="33"/>
        <v>4</v>
      </c>
      <c r="G751" s="10" t="str">
        <f t="shared" si="34"/>
        <v>Tuesday</v>
      </c>
      <c r="H751" s="9" t="str">
        <f t="shared" si="35"/>
        <v>April</v>
      </c>
      <c r="I751" t="s">
        <v>97</v>
      </c>
      <c r="J751" t="s">
        <v>26</v>
      </c>
      <c r="K751">
        <v>9200</v>
      </c>
      <c r="L751" s="5" t="str">
        <f>IF(OR(K751&lt;Answers!$C$16,Orders!K751&gt;Answers!$C$17),"Yes","No")</f>
        <v>No</v>
      </c>
      <c r="M751" s="14">
        <f>VLOOKUP(B751,Customers!$A$1:$E$2501,4,0)</f>
        <v>42</v>
      </c>
    </row>
    <row r="752" spans="1:13" x14ac:dyDescent="0.3">
      <c r="A752">
        <v>521330</v>
      </c>
      <c r="B752">
        <v>1714</v>
      </c>
      <c r="C752" s="1" t="s">
        <v>104</v>
      </c>
      <c r="D752" s="5">
        <v>45144</v>
      </c>
      <c r="E752" s="10">
        <v>0.47152777777777777</v>
      </c>
      <c r="F752" s="15">
        <f t="shared" si="33"/>
        <v>8</v>
      </c>
      <c r="G752" s="10" t="str">
        <f t="shared" si="34"/>
        <v>Sunday</v>
      </c>
      <c r="H752" s="9" t="str">
        <f t="shared" si="35"/>
        <v>August</v>
      </c>
      <c r="I752" t="s">
        <v>97</v>
      </c>
      <c r="J752" t="s">
        <v>42</v>
      </c>
      <c r="K752">
        <v>9321</v>
      </c>
      <c r="L752" s="5" t="str">
        <f>IF(OR(K752&lt;Answers!$C$16,Orders!K752&gt;Answers!$C$17),"Yes","No")</f>
        <v>No</v>
      </c>
      <c r="M752" s="14">
        <f>VLOOKUP(B752,Customers!$A$1:$E$2501,4,0)</f>
        <v>33</v>
      </c>
    </row>
    <row r="753" spans="1:13" x14ac:dyDescent="0.3">
      <c r="A753">
        <v>521761</v>
      </c>
      <c r="B753">
        <v>1504</v>
      </c>
      <c r="C753" s="1" t="s">
        <v>99</v>
      </c>
      <c r="D753" s="5">
        <v>45113</v>
      </c>
      <c r="E753" s="10">
        <v>0.47569444444444442</v>
      </c>
      <c r="F753" s="15">
        <f t="shared" si="33"/>
        <v>7</v>
      </c>
      <c r="G753" s="10" t="str">
        <f t="shared" si="34"/>
        <v>Thursday</v>
      </c>
      <c r="H753" s="9" t="str">
        <f t="shared" si="35"/>
        <v>July</v>
      </c>
      <c r="I753" t="s">
        <v>190</v>
      </c>
      <c r="J753" t="s">
        <v>68</v>
      </c>
      <c r="K753">
        <v>4462</v>
      </c>
      <c r="L753" s="5" t="str">
        <f>IF(OR(K753&lt;Answers!$C$16,Orders!K753&gt;Answers!$C$17),"Yes","No")</f>
        <v>No</v>
      </c>
      <c r="M753" s="14">
        <f>VLOOKUP(B753,Customers!$A$1:$E$2501,4,0)</f>
        <v>33</v>
      </c>
    </row>
    <row r="754" spans="1:13" x14ac:dyDescent="0.3">
      <c r="A754">
        <v>522201</v>
      </c>
      <c r="B754">
        <v>760</v>
      </c>
      <c r="C754" s="1" t="s">
        <v>112</v>
      </c>
      <c r="D754" s="5">
        <v>45240</v>
      </c>
      <c r="E754" s="10">
        <v>0.49027777777777776</v>
      </c>
      <c r="F754" s="15">
        <f t="shared" si="33"/>
        <v>11</v>
      </c>
      <c r="G754" s="10" t="str">
        <f t="shared" si="34"/>
        <v>Friday</v>
      </c>
      <c r="H754" s="9" t="str">
        <f t="shared" si="35"/>
        <v>November</v>
      </c>
      <c r="I754" t="s">
        <v>95</v>
      </c>
      <c r="J754" t="s">
        <v>23</v>
      </c>
      <c r="K754">
        <v>9296</v>
      </c>
      <c r="L754" s="5" t="str">
        <f>IF(OR(K754&lt;Answers!$C$16,Orders!K754&gt;Answers!$C$17),"Yes","No")</f>
        <v>No</v>
      </c>
      <c r="M754" s="14">
        <f>VLOOKUP(B754,Customers!$A$1:$E$2501,4,0)</f>
        <v>22</v>
      </c>
    </row>
    <row r="755" spans="1:13" x14ac:dyDescent="0.3">
      <c r="A755">
        <v>525192</v>
      </c>
      <c r="B755">
        <v>1484</v>
      </c>
      <c r="C755" s="1" t="s">
        <v>98</v>
      </c>
      <c r="D755" s="5">
        <v>44952</v>
      </c>
      <c r="E755" s="10">
        <v>36781</v>
      </c>
      <c r="F755" s="15">
        <f t="shared" si="33"/>
        <v>1</v>
      </c>
      <c r="G755" s="10" t="str">
        <f t="shared" si="34"/>
        <v>Thursday</v>
      </c>
      <c r="H755" s="9" t="str">
        <f t="shared" si="35"/>
        <v>January</v>
      </c>
      <c r="I755" t="s">
        <v>95</v>
      </c>
      <c r="J755" t="s">
        <v>20</v>
      </c>
      <c r="K755">
        <v>2431</v>
      </c>
      <c r="L755" s="5" t="str">
        <f>IF(OR(K755&lt;Answers!$C$16,Orders!K755&gt;Answers!$C$17),"Yes","No")</f>
        <v>No</v>
      </c>
      <c r="M755" s="14">
        <f>VLOOKUP(B755,Customers!$A$1:$E$2501,4,0)</f>
        <v>84</v>
      </c>
    </row>
    <row r="756" spans="1:13" x14ac:dyDescent="0.3">
      <c r="A756">
        <v>525405</v>
      </c>
      <c r="B756">
        <v>796</v>
      </c>
      <c r="C756" s="1" t="s">
        <v>101</v>
      </c>
      <c r="D756" s="5">
        <v>44943</v>
      </c>
      <c r="E756" s="10">
        <v>0.51041666666666663</v>
      </c>
      <c r="F756" s="15">
        <f t="shared" si="33"/>
        <v>1</v>
      </c>
      <c r="G756" s="10" t="str">
        <f t="shared" si="34"/>
        <v>Tuesday</v>
      </c>
      <c r="H756" s="9" t="str">
        <f t="shared" si="35"/>
        <v>January</v>
      </c>
      <c r="I756" t="s">
        <v>97</v>
      </c>
      <c r="J756" t="s">
        <v>65</v>
      </c>
      <c r="K756">
        <v>6640</v>
      </c>
      <c r="L756" s="5" t="str">
        <f>IF(OR(K756&lt;Answers!$C$16,Orders!K756&gt;Answers!$C$17),"Yes","No")</f>
        <v>No</v>
      </c>
      <c r="M756" s="14">
        <f>VLOOKUP(B756,Customers!$A$1:$E$2501,4,0)</f>
        <v>27</v>
      </c>
    </row>
    <row r="757" spans="1:13" x14ac:dyDescent="0.3">
      <c r="A757">
        <v>525500</v>
      </c>
      <c r="B757">
        <v>299</v>
      </c>
      <c r="C757" s="1" t="s">
        <v>112</v>
      </c>
      <c r="D757" s="5">
        <v>45111</v>
      </c>
      <c r="E757" s="10">
        <v>36861</v>
      </c>
      <c r="F757" s="15">
        <f t="shared" si="33"/>
        <v>7</v>
      </c>
      <c r="G757" s="10" t="str">
        <f t="shared" si="34"/>
        <v>Tuesday</v>
      </c>
      <c r="H757" s="9" t="str">
        <f t="shared" si="35"/>
        <v>July</v>
      </c>
      <c r="I757" t="s">
        <v>95</v>
      </c>
      <c r="J757" t="s">
        <v>28</v>
      </c>
      <c r="K757">
        <v>9056</v>
      </c>
      <c r="L757" s="5" t="str">
        <f>IF(OR(K757&lt;Answers!$C$16,Orders!K757&gt;Answers!$C$17),"Yes","No")</f>
        <v>No</v>
      </c>
      <c r="M757" s="14">
        <f>VLOOKUP(B757,Customers!$A$1:$E$2501,4,0)</f>
        <v>58</v>
      </c>
    </row>
    <row r="758" spans="1:13" x14ac:dyDescent="0.3">
      <c r="A758">
        <v>525782</v>
      </c>
      <c r="B758">
        <v>833</v>
      </c>
      <c r="C758" s="1" t="s">
        <v>109</v>
      </c>
      <c r="D758" s="5">
        <v>45079</v>
      </c>
      <c r="E758" s="10">
        <v>0.51666666666666672</v>
      </c>
      <c r="F758" s="15">
        <f t="shared" si="33"/>
        <v>6</v>
      </c>
      <c r="G758" s="10" t="str">
        <f t="shared" si="34"/>
        <v>Friday</v>
      </c>
      <c r="H758" s="9" t="str">
        <f t="shared" si="35"/>
        <v>June</v>
      </c>
      <c r="I758" t="s">
        <v>95</v>
      </c>
      <c r="J758" t="s">
        <v>8</v>
      </c>
      <c r="K758">
        <v>257</v>
      </c>
      <c r="L758" s="5" t="str">
        <f>IF(OR(K758&lt;Answers!$C$16,Orders!K758&gt;Answers!$C$17),"Yes","No")</f>
        <v>No</v>
      </c>
      <c r="M758" s="14">
        <f>VLOOKUP(B758,Customers!$A$1:$E$2501,4,0)</f>
        <v>52</v>
      </c>
    </row>
    <row r="759" spans="1:13" x14ac:dyDescent="0.3">
      <c r="A759">
        <v>528569</v>
      </c>
      <c r="B759">
        <v>1993</v>
      </c>
      <c r="C759" s="1" t="s">
        <v>98</v>
      </c>
      <c r="D759" s="5">
        <v>45103</v>
      </c>
      <c r="E759" s="10">
        <v>7.0833333333333331E-2</v>
      </c>
      <c r="F759" s="15">
        <f t="shared" si="33"/>
        <v>6</v>
      </c>
      <c r="G759" s="10" t="str">
        <f t="shared" si="34"/>
        <v>Monday</v>
      </c>
      <c r="H759" s="9" t="str">
        <f t="shared" si="35"/>
        <v>June</v>
      </c>
      <c r="I759" t="s">
        <v>96</v>
      </c>
      <c r="J759" t="s">
        <v>63</v>
      </c>
      <c r="K759">
        <v>613</v>
      </c>
      <c r="L759" s="5" t="str">
        <f>IF(OR(K759&lt;Answers!$C$16,Orders!K759&gt;Answers!$C$17),"Yes","No")</f>
        <v>No</v>
      </c>
      <c r="M759" s="14">
        <f>VLOOKUP(B759,Customers!$A$1:$E$2501,4,0)</f>
        <v>61</v>
      </c>
    </row>
    <row r="760" spans="1:13" x14ac:dyDescent="0.3">
      <c r="A760">
        <v>529245</v>
      </c>
      <c r="B760">
        <v>650</v>
      </c>
      <c r="C760" s="1" t="s">
        <v>99</v>
      </c>
      <c r="D760" s="5">
        <v>44973</v>
      </c>
      <c r="E760" s="10">
        <v>0.51597222222222228</v>
      </c>
      <c r="F760" s="15">
        <f t="shared" si="33"/>
        <v>2</v>
      </c>
      <c r="G760" s="10" t="str">
        <f t="shared" si="34"/>
        <v>Thursday</v>
      </c>
      <c r="H760" s="9" t="str">
        <f t="shared" si="35"/>
        <v>February</v>
      </c>
      <c r="I760" t="s">
        <v>190</v>
      </c>
      <c r="J760" t="s">
        <v>29</v>
      </c>
      <c r="K760">
        <v>1465</v>
      </c>
      <c r="L760" s="5" t="str">
        <f>IF(OR(K760&lt;Answers!$C$16,Orders!K760&gt;Answers!$C$17),"Yes","No")</f>
        <v>No</v>
      </c>
      <c r="M760" s="14">
        <f>VLOOKUP(B760,Customers!$A$1:$E$2501,4,0)</f>
        <v>38</v>
      </c>
    </row>
    <row r="761" spans="1:13" x14ac:dyDescent="0.3">
      <c r="A761">
        <v>529816</v>
      </c>
      <c r="B761">
        <v>424</v>
      </c>
      <c r="C761" s="1" t="s">
        <v>104</v>
      </c>
      <c r="D761" s="5">
        <v>45173</v>
      </c>
      <c r="E761" s="10">
        <v>0.49236111111111114</v>
      </c>
      <c r="F761" s="15">
        <f t="shared" si="33"/>
        <v>9</v>
      </c>
      <c r="G761" s="10" t="str">
        <f t="shared" si="34"/>
        <v>Monday</v>
      </c>
      <c r="H761" s="9" t="str">
        <f t="shared" si="35"/>
        <v>September</v>
      </c>
      <c r="I761" t="s">
        <v>97</v>
      </c>
      <c r="J761" t="s">
        <v>52</v>
      </c>
      <c r="K761">
        <v>4135</v>
      </c>
      <c r="L761" s="5" t="str">
        <f>IF(OR(K761&lt;Answers!$C$16,Orders!K761&gt;Answers!$C$17),"Yes","No")</f>
        <v>No</v>
      </c>
      <c r="M761" s="14">
        <f>VLOOKUP(B761,Customers!$A$1:$E$2501,4,0)</f>
        <v>66</v>
      </c>
    </row>
    <row r="762" spans="1:13" x14ac:dyDescent="0.3">
      <c r="A762">
        <v>530067</v>
      </c>
      <c r="B762">
        <v>1126</v>
      </c>
      <c r="C762" s="1" t="s">
        <v>99</v>
      </c>
      <c r="D762" s="5">
        <v>45155</v>
      </c>
      <c r="E762" s="10">
        <v>5.347222222222222E-2</v>
      </c>
      <c r="F762" s="15">
        <f t="shared" si="33"/>
        <v>8</v>
      </c>
      <c r="G762" s="10" t="str">
        <f t="shared" si="34"/>
        <v>Thursday</v>
      </c>
      <c r="H762" s="9" t="str">
        <f t="shared" si="35"/>
        <v>August</v>
      </c>
      <c r="I762" t="s">
        <v>95</v>
      </c>
      <c r="J762" t="s">
        <v>84</v>
      </c>
      <c r="K762">
        <v>8259</v>
      </c>
      <c r="L762" s="5" t="str">
        <f>IF(OR(K762&lt;Answers!$C$16,Orders!K762&gt;Answers!$C$17),"Yes","No")</f>
        <v>No</v>
      </c>
      <c r="M762" s="14">
        <f>VLOOKUP(B762,Customers!$A$1:$E$2501,4,0)</f>
        <v>65</v>
      </c>
    </row>
    <row r="763" spans="1:13" x14ac:dyDescent="0.3">
      <c r="A763">
        <v>531173</v>
      </c>
      <c r="B763">
        <v>27</v>
      </c>
      <c r="C763" s="1" t="s">
        <v>98</v>
      </c>
      <c r="D763" s="5">
        <v>45146</v>
      </c>
      <c r="E763" s="10">
        <v>8.3333333333333329E-2</v>
      </c>
      <c r="F763" s="15">
        <f t="shared" si="33"/>
        <v>8</v>
      </c>
      <c r="G763" s="10" t="str">
        <f t="shared" si="34"/>
        <v>Tuesday</v>
      </c>
      <c r="H763" s="9" t="str">
        <f t="shared" si="35"/>
        <v>August</v>
      </c>
      <c r="I763" t="s">
        <v>96</v>
      </c>
      <c r="J763" t="s">
        <v>33</v>
      </c>
      <c r="K763">
        <v>9787</v>
      </c>
      <c r="L763" s="5" t="str">
        <f>IF(OR(K763&lt;Answers!$C$16,Orders!K763&gt;Answers!$C$17),"Yes","No")</f>
        <v>No</v>
      </c>
      <c r="M763" s="14">
        <f>VLOOKUP(B763,Customers!$A$1:$E$2501,4,0)</f>
        <v>66</v>
      </c>
    </row>
    <row r="764" spans="1:13" x14ac:dyDescent="0.3">
      <c r="A764">
        <v>531700</v>
      </c>
      <c r="B764">
        <v>925</v>
      </c>
      <c r="C764" s="1" t="s">
        <v>98</v>
      </c>
      <c r="D764" s="5">
        <v>45082</v>
      </c>
      <c r="E764" s="10">
        <v>0.53541666666666665</v>
      </c>
      <c r="F764" s="15">
        <f t="shared" si="33"/>
        <v>6</v>
      </c>
      <c r="G764" s="10" t="str">
        <f t="shared" si="34"/>
        <v>Monday</v>
      </c>
      <c r="H764" s="9" t="str">
        <f t="shared" si="35"/>
        <v>June</v>
      </c>
      <c r="I764" t="s">
        <v>96</v>
      </c>
      <c r="J764" t="s">
        <v>67</v>
      </c>
      <c r="K764">
        <v>8597</v>
      </c>
      <c r="L764" s="5" t="str">
        <f>IF(OR(K764&lt;Answers!$C$16,Orders!K764&gt;Answers!$C$17),"Yes","No")</f>
        <v>No</v>
      </c>
      <c r="M764" s="14">
        <f>VLOOKUP(B764,Customers!$A$1:$E$2501,4,0)</f>
        <v>34</v>
      </c>
    </row>
    <row r="765" spans="1:13" x14ac:dyDescent="0.3">
      <c r="A765">
        <v>532196</v>
      </c>
      <c r="B765">
        <v>1019</v>
      </c>
      <c r="C765" s="1" t="s">
        <v>106</v>
      </c>
      <c r="D765" s="5">
        <v>45207</v>
      </c>
      <c r="E765" s="10">
        <v>0.53333333333333333</v>
      </c>
      <c r="F765" s="15">
        <f t="shared" si="33"/>
        <v>10</v>
      </c>
      <c r="G765" s="10" t="str">
        <f t="shared" si="34"/>
        <v>Sunday</v>
      </c>
      <c r="H765" s="9" t="str">
        <f t="shared" si="35"/>
        <v>October</v>
      </c>
      <c r="I765" t="s">
        <v>95</v>
      </c>
      <c r="J765" t="s">
        <v>68</v>
      </c>
      <c r="K765">
        <v>3019</v>
      </c>
      <c r="L765" s="5" t="str">
        <f>IF(OR(K765&lt;Answers!$C$16,Orders!K765&gt;Answers!$C$17),"Yes","No")</f>
        <v>No</v>
      </c>
      <c r="M765" s="14">
        <f>VLOOKUP(B765,Customers!$A$1:$E$2501,4,0)</f>
        <v>64</v>
      </c>
    </row>
    <row r="766" spans="1:13" x14ac:dyDescent="0.3">
      <c r="A766">
        <v>532654</v>
      </c>
      <c r="B766">
        <v>1948</v>
      </c>
      <c r="C766" s="1" t="s">
        <v>98</v>
      </c>
      <c r="D766" s="5">
        <v>45239</v>
      </c>
      <c r="E766" s="10">
        <v>6.805555555555555E-2</v>
      </c>
      <c r="F766" s="15">
        <f t="shared" si="33"/>
        <v>11</v>
      </c>
      <c r="G766" s="10" t="str">
        <f t="shared" si="34"/>
        <v>Thursday</v>
      </c>
      <c r="H766" s="9" t="str">
        <f t="shared" si="35"/>
        <v>November</v>
      </c>
      <c r="I766" t="s">
        <v>97</v>
      </c>
      <c r="J766" t="s">
        <v>42</v>
      </c>
      <c r="K766">
        <v>3310</v>
      </c>
      <c r="L766" s="5" t="str">
        <f>IF(OR(K766&lt;Answers!$C$16,Orders!K766&gt;Answers!$C$17),"Yes","No")</f>
        <v>No</v>
      </c>
      <c r="M766" s="14">
        <f>VLOOKUP(B766,Customers!$A$1:$E$2501,4,0)</f>
        <v>79</v>
      </c>
    </row>
    <row r="767" spans="1:13" x14ac:dyDescent="0.3">
      <c r="A767">
        <v>533187</v>
      </c>
      <c r="B767">
        <v>1510</v>
      </c>
      <c r="C767" s="1" t="s">
        <v>102</v>
      </c>
      <c r="D767" s="5">
        <v>44998</v>
      </c>
      <c r="E767" s="10">
        <v>36617</v>
      </c>
      <c r="F767" s="15">
        <f t="shared" si="33"/>
        <v>3</v>
      </c>
      <c r="G767" s="10" t="str">
        <f t="shared" si="34"/>
        <v>Monday</v>
      </c>
      <c r="H767" s="9" t="str">
        <f t="shared" si="35"/>
        <v>March</v>
      </c>
      <c r="I767" t="s">
        <v>95</v>
      </c>
      <c r="J767" t="s">
        <v>26</v>
      </c>
      <c r="K767">
        <v>825</v>
      </c>
      <c r="L767" s="5" t="str">
        <f>IF(OR(K767&lt;Answers!$C$16,Orders!K767&gt;Answers!$C$17),"Yes","No")</f>
        <v>No</v>
      </c>
      <c r="M767" s="14">
        <f>VLOOKUP(B767,Customers!$A$1:$E$2501,4,0)</f>
        <v>23</v>
      </c>
    </row>
    <row r="768" spans="1:13" x14ac:dyDescent="0.3">
      <c r="A768">
        <v>533511</v>
      </c>
      <c r="B768">
        <v>615</v>
      </c>
      <c r="C768" s="1" t="s">
        <v>99</v>
      </c>
      <c r="D768" s="5">
        <v>45008</v>
      </c>
      <c r="E768" s="10">
        <v>36628</v>
      </c>
      <c r="F768" s="15">
        <f t="shared" si="33"/>
        <v>3</v>
      </c>
      <c r="G768" s="10" t="str">
        <f t="shared" si="34"/>
        <v>Thursday</v>
      </c>
      <c r="H768" s="9" t="str">
        <f t="shared" si="35"/>
        <v>March</v>
      </c>
      <c r="I768" t="s">
        <v>97</v>
      </c>
      <c r="J768" t="s">
        <v>68</v>
      </c>
      <c r="K768">
        <v>4159</v>
      </c>
      <c r="L768" s="5" t="str">
        <f>IF(OR(K768&lt;Answers!$C$16,Orders!K768&gt;Answers!$C$17),"Yes","No")</f>
        <v>No</v>
      </c>
      <c r="M768" s="14">
        <f>VLOOKUP(B768,Customers!$A$1:$E$2501,4,0)</f>
        <v>53</v>
      </c>
    </row>
    <row r="769" spans="1:13" x14ac:dyDescent="0.3">
      <c r="A769">
        <v>533763</v>
      </c>
      <c r="B769">
        <v>1008</v>
      </c>
      <c r="C769" s="1" t="s">
        <v>105</v>
      </c>
      <c r="D769" s="5">
        <v>45103</v>
      </c>
      <c r="E769" s="10">
        <v>0.52013888888888893</v>
      </c>
      <c r="F769" s="15">
        <f t="shared" si="33"/>
        <v>6</v>
      </c>
      <c r="G769" s="10" t="str">
        <f t="shared" si="34"/>
        <v>Monday</v>
      </c>
      <c r="H769" s="9" t="str">
        <f t="shared" si="35"/>
        <v>June</v>
      </c>
      <c r="I769" t="s">
        <v>96</v>
      </c>
      <c r="J769" t="s">
        <v>42</v>
      </c>
      <c r="K769">
        <v>4873</v>
      </c>
      <c r="L769" s="5" t="str">
        <f>IF(OR(K769&lt;Answers!$C$16,Orders!K769&gt;Answers!$C$17),"Yes","No")</f>
        <v>No</v>
      </c>
      <c r="M769" s="14">
        <f>VLOOKUP(B769,Customers!$A$1:$E$2501,4,0)</f>
        <v>27</v>
      </c>
    </row>
    <row r="770" spans="1:13" x14ac:dyDescent="0.3">
      <c r="A770">
        <v>533914</v>
      </c>
      <c r="B770">
        <v>1884</v>
      </c>
      <c r="C770" s="1" t="s">
        <v>98</v>
      </c>
      <c r="D770" s="5">
        <v>45076</v>
      </c>
      <c r="E770" s="10">
        <v>0.45555555555555555</v>
      </c>
      <c r="F770" s="15">
        <f t="shared" si="33"/>
        <v>5</v>
      </c>
      <c r="G770" s="10" t="str">
        <f t="shared" si="34"/>
        <v>Tuesday</v>
      </c>
      <c r="H770" s="9" t="str">
        <f t="shared" si="35"/>
        <v>May</v>
      </c>
      <c r="I770" t="s">
        <v>95</v>
      </c>
      <c r="J770" t="s">
        <v>21</v>
      </c>
      <c r="K770">
        <v>5436</v>
      </c>
      <c r="L770" s="5" t="str">
        <f>IF(OR(K770&lt;Answers!$C$16,Orders!K770&gt;Answers!$C$17),"Yes","No")</f>
        <v>No</v>
      </c>
      <c r="M770" s="14">
        <f>VLOOKUP(B770,Customers!$A$1:$E$2501,4,0)</f>
        <v>31</v>
      </c>
    </row>
    <row r="771" spans="1:13" x14ac:dyDescent="0.3">
      <c r="A771">
        <v>534259</v>
      </c>
      <c r="B771">
        <v>249</v>
      </c>
      <c r="C771" s="1" t="s">
        <v>98</v>
      </c>
      <c r="D771" s="5">
        <v>45049</v>
      </c>
      <c r="E771" s="10">
        <v>0.46875</v>
      </c>
      <c r="F771" s="15">
        <f t="shared" ref="F771:F834" si="36">MONTH(D771)</f>
        <v>5</v>
      </c>
      <c r="G771" s="10" t="str">
        <f t="shared" ref="G771:G834" si="37">TEXT(D771,"dddd")</f>
        <v>Wednesday</v>
      </c>
      <c r="H771" s="9" t="str">
        <f t="shared" ref="H771:H834" si="38">TEXT(D771,"mmmm")</f>
        <v>May</v>
      </c>
      <c r="I771" t="s">
        <v>95</v>
      </c>
      <c r="J771" t="s">
        <v>40</v>
      </c>
      <c r="K771">
        <v>3939</v>
      </c>
      <c r="L771" s="5" t="str">
        <f>IF(OR(K771&lt;Answers!$C$16,Orders!K771&gt;Answers!$C$17),"Yes","No")</f>
        <v>No</v>
      </c>
      <c r="M771" s="14">
        <f>VLOOKUP(B771,Customers!$A$1:$E$2501,4,0)</f>
        <v>58</v>
      </c>
    </row>
    <row r="772" spans="1:13" x14ac:dyDescent="0.3">
      <c r="A772">
        <v>534263</v>
      </c>
      <c r="B772">
        <v>109</v>
      </c>
      <c r="C772" s="1" t="s">
        <v>98</v>
      </c>
      <c r="D772" s="5">
        <v>45093</v>
      </c>
      <c r="E772" s="10">
        <v>0.52361111111111114</v>
      </c>
      <c r="F772" s="15">
        <f t="shared" si="36"/>
        <v>6</v>
      </c>
      <c r="G772" s="10" t="str">
        <f t="shared" si="37"/>
        <v>Friday</v>
      </c>
      <c r="H772" s="9" t="str">
        <f t="shared" si="38"/>
        <v>June</v>
      </c>
      <c r="I772" t="s">
        <v>96</v>
      </c>
      <c r="J772" t="s">
        <v>18</v>
      </c>
      <c r="K772">
        <v>3129</v>
      </c>
      <c r="L772" s="5" t="str">
        <f>IF(OR(K772&lt;Answers!$C$16,Orders!K772&gt;Answers!$C$17),"Yes","No")</f>
        <v>No</v>
      </c>
      <c r="M772" s="14">
        <f>VLOOKUP(B772,Customers!$A$1:$E$2501,4,0)</f>
        <v>32</v>
      </c>
    </row>
    <row r="773" spans="1:13" x14ac:dyDescent="0.3">
      <c r="A773">
        <v>534708</v>
      </c>
      <c r="B773">
        <v>854</v>
      </c>
      <c r="C773" s="1" t="s">
        <v>98</v>
      </c>
      <c r="D773" s="5">
        <v>45179</v>
      </c>
      <c r="E773" s="10">
        <v>0.53611111111111109</v>
      </c>
      <c r="F773" s="15">
        <f t="shared" si="36"/>
        <v>9</v>
      </c>
      <c r="G773" s="10" t="str">
        <f t="shared" si="37"/>
        <v>Sunday</v>
      </c>
      <c r="H773" s="9" t="str">
        <f t="shared" si="38"/>
        <v>September</v>
      </c>
      <c r="I773" t="s">
        <v>95</v>
      </c>
      <c r="J773" t="s">
        <v>34</v>
      </c>
      <c r="K773">
        <v>577</v>
      </c>
      <c r="L773" s="5" t="str">
        <f>IF(OR(K773&lt;Answers!$C$16,Orders!K773&gt;Answers!$C$17),"Yes","No")</f>
        <v>No</v>
      </c>
      <c r="M773" s="14">
        <f>VLOOKUP(B773,Customers!$A$1:$E$2501,4,0)</f>
        <v>61</v>
      </c>
    </row>
    <row r="774" spans="1:13" x14ac:dyDescent="0.3">
      <c r="A774">
        <v>535104</v>
      </c>
      <c r="B774">
        <v>324</v>
      </c>
      <c r="C774" s="1" t="s">
        <v>100</v>
      </c>
      <c r="D774" s="5">
        <v>45229</v>
      </c>
      <c r="E774" s="10">
        <v>0.46736111111111112</v>
      </c>
      <c r="F774" s="15">
        <f t="shared" si="36"/>
        <v>10</v>
      </c>
      <c r="G774" s="10" t="str">
        <f t="shared" si="37"/>
        <v>Monday</v>
      </c>
      <c r="H774" s="9" t="str">
        <f t="shared" si="38"/>
        <v>October</v>
      </c>
      <c r="I774" t="s">
        <v>190</v>
      </c>
      <c r="J774" t="s">
        <v>43</v>
      </c>
      <c r="K774">
        <v>7237</v>
      </c>
      <c r="L774" s="5" t="str">
        <f>IF(OR(K774&lt;Answers!$C$16,Orders!K774&gt;Answers!$C$17),"Yes","No")</f>
        <v>No</v>
      </c>
      <c r="M774" s="14">
        <f>VLOOKUP(B774,Customers!$A$1:$E$2501,4,0)</f>
        <v>28</v>
      </c>
    </row>
    <row r="775" spans="1:13" x14ac:dyDescent="0.3">
      <c r="A775">
        <v>535213</v>
      </c>
      <c r="B775">
        <v>998</v>
      </c>
      <c r="C775" s="1" t="s">
        <v>102</v>
      </c>
      <c r="D775" s="5">
        <v>45158</v>
      </c>
      <c r="E775" s="10">
        <v>36678</v>
      </c>
      <c r="F775" s="15">
        <f t="shared" si="36"/>
        <v>8</v>
      </c>
      <c r="G775" s="10" t="str">
        <f t="shared" si="37"/>
        <v>Sunday</v>
      </c>
      <c r="H775" s="9" t="str">
        <f t="shared" si="38"/>
        <v>August</v>
      </c>
      <c r="I775" t="s">
        <v>97</v>
      </c>
      <c r="J775" t="s">
        <v>27</v>
      </c>
      <c r="K775">
        <v>1196</v>
      </c>
      <c r="L775" s="5" t="str">
        <f>IF(OR(K775&lt;Answers!$C$16,Orders!K775&gt;Answers!$C$17),"Yes","No")</f>
        <v>No</v>
      </c>
      <c r="M775" s="14">
        <f>VLOOKUP(B775,Customers!$A$1:$E$2501,4,0)</f>
        <v>89</v>
      </c>
    </row>
    <row r="776" spans="1:13" x14ac:dyDescent="0.3">
      <c r="A776">
        <v>535352</v>
      </c>
      <c r="B776">
        <v>622</v>
      </c>
      <c r="C776" s="1" t="s">
        <v>112</v>
      </c>
      <c r="D776" s="5">
        <v>45130</v>
      </c>
      <c r="E776" s="10">
        <v>0.47638888888888886</v>
      </c>
      <c r="F776" s="15">
        <f t="shared" si="36"/>
        <v>7</v>
      </c>
      <c r="G776" s="10" t="str">
        <f t="shared" si="37"/>
        <v>Sunday</v>
      </c>
      <c r="H776" s="9" t="str">
        <f t="shared" si="38"/>
        <v>July</v>
      </c>
      <c r="I776" t="s">
        <v>97</v>
      </c>
      <c r="J776" t="s">
        <v>13</v>
      </c>
      <c r="K776">
        <v>9155</v>
      </c>
      <c r="L776" s="5" t="str">
        <f>IF(OR(K776&lt;Answers!$C$16,Orders!K776&gt;Answers!$C$17),"Yes","No")</f>
        <v>No</v>
      </c>
      <c r="M776" s="14">
        <f>VLOOKUP(B776,Customers!$A$1:$E$2501,4,0)</f>
        <v>71</v>
      </c>
    </row>
    <row r="777" spans="1:13" x14ac:dyDescent="0.3">
      <c r="A777">
        <v>536530</v>
      </c>
      <c r="B777">
        <v>738</v>
      </c>
      <c r="C777" s="1" t="s">
        <v>99</v>
      </c>
      <c r="D777" s="5">
        <v>45043</v>
      </c>
      <c r="E777" s="10">
        <v>0.49861111111111112</v>
      </c>
      <c r="F777" s="15">
        <f t="shared" si="36"/>
        <v>4</v>
      </c>
      <c r="G777" s="10" t="str">
        <f t="shared" si="37"/>
        <v>Thursday</v>
      </c>
      <c r="H777" s="9" t="str">
        <f t="shared" si="38"/>
        <v>April</v>
      </c>
      <c r="I777" t="s">
        <v>190</v>
      </c>
      <c r="J777" t="s">
        <v>42</v>
      </c>
      <c r="K777">
        <v>891</v>
      </c>
      <c r="L777" s="5" t="str">
        <f>IF(OR(K777&lt;Answers!$C$16,Orders!K777&gt;Answers!$C$17),"Yes","No")</f>
        <v>No</v>
      </c>
      <c r="M777" s="14">
        <f>VLOOKUP(B777,Customers!$A$1:$E$2501,4,0)</f>
        <v>25</v>
      </c>
    </row>
    <row r="778" spans="1:13" x14ac:dyDescent="0.3">
      <c r="A778">
        <v>537418</v>
      </c>
      <c r="B778">
        <v>51</v>
      </c>
      <c r="C778" s="1" t="s">
        <v>98</v>
      </c>
      <c r="D778" s="5">
        <v>45128</v>
      </c>
      <c r="E778" s="10">
        <v>0.44097222222222221</v>
      </c>
      <c r="F778" s="15">
        <f t="shared" si="36"/>
        <v>7</v>
      </c>
      <c r="G778" s="10" t="str">
        <f t="shared" si="37"/>
        <v>Friday</v>
      </c>
      <c r="H778" s="9" t="str">
        <f t="shared" si="38"/>
        <v>July</v>
      </c>
      <c r="I778" t="s">
        <v>190</v>
      </c>
      <c r="J778" t="s">
        <v>45</v>
      </c>
      <c r="K778">
        <v>7284</v>
      </c>
      <c r="L778" s="5" t="str">
        <f>IF(OR(K778&lt;Answers!$C$16,Orders!K778&gt;Answers!$C$17),"Yes","No")</f>
        <v>No</v>
      </c>
      <c r="M778" s="14">
        <f>VLOOKUP(B778,Customers!$A$1:$E$2501,4,0)</f>
        <v>63</v>
      </c>
    </row>
    <row r="779" spans="1:13" x14ac:dyDescent="0.3">
      <c r="A779">
        <v>537514</v>
      </c>
      <c r="B779">
        <v>12</v>
      </c>
      <c r="C779" s="1" t="s">
        <v>104</v>
      </c>
      <c r="D779" s="5">
        <v>45207</v>
      </c>
      <c r="E779" s="10">
        <v>0.5395833333333333</v>
      </c>
      <c r="F779" s="15">
        <f t="shared" si="36"/>
        <v>10</v>
      </c>
      <c r="G779" s="10" t="str">
        <f t="shared" si="37"/>
        <v>Sunday</v>
      </c>
      <c r="H779" s="9" t="str">
        <f t="shared" si="38"/>
        <v>October</v>
      </c>
      <c r="I779" t="s">
        <v>95</v>
      </c>
      <c r="J779" t="s">
        <v>7</v>
      </c>
      <c r="K779">
        <v>8747</v>
      </c>
      <c r="L779" s="5" t="str">
        <f>IF(OR(K779&lt;Answers!$C$16,Orders!K779&gt;Answers!$C$17),"Yes","No")</f>
        <v>No</v>
      </c>
      <c r="M779" s="14">
        <f>VLOOKUP(B779,Customers!$A$1:$E$2501,4,0)</f>
        <v>65</v>
      </c>
    </row>
    <row r="780" spans="1:13" x14ac:dyDescent="0.3">
      <c r="A780">
        <v>537900</v>
      </c>
      <c r="B780">
        <v>1009</v>
      </c>
      <c r="C780" s="1" t="s">
        <v>98</v>
      </c>
      <c r="D780" s="5">
        <v>44936</v>
      </c>
      <c r="E780" s="10">
        <v>0.51180555555555551</v>
      </c>
      <c r="F780" s="15">
        <f t="shared" si="36"/>
        <v>1</v>
      </c>
      <c r="G780" s="10" t="str">
        <f t="shared" si="37"/>
        <v>Tuesday</v>
      </c>
      <c r="H780" s="9" t="str">
        <f t="shared" si="38"/>
        <v>January</v>
      </c>
      <c r="I780" t="s">
        <v>190</v>
      </c>
      <c r="J780" t="s">
        <v>45</v>
      </c>
      <c r="K780">
        <v>3462</v>
      </c>
      <c r="L780" s="5" t="str">
        <f>IF(OR(K780&lt;Answers!$C$16,Orders!K780&gt;Answers!$C$17),"Yes","No")</f>
        <v>No</v>
      </c>
      <c r="M780" s="14">
        <f>VLOOKUP(B780,Customers!$A$1:$E$2501,4,0)</f>
        <v>44</v>
      </c>
    </row>
    <row r="781" spans="1:13" x14ac:dyDescent="0.3">
      <c r="A781">
        <v>538560</v>
      </c>
      <c r="B781">
        <v>31</v>
      </c>
      <c r="C781" s="1" t="s">
        <v>98</v>
      </c>
      <c r="D781" s="5">
        <v>45231</v>
      </c>
      <c r="E781" s="10">
        <v>0.51458333333333328</v>
      </c>
      <c r="F781" s="15">
        <f t="shared" si="36"/>
        <v>11</v>
      </c>
      <c r="G781" s="10" t="str">
        <f t="shared" si="37"/>
        <v>Wednesday</v>
      </c>
      <c r="H781" s="9" t="str">
        <f t="shared" si="38"/>
        <v>November</v>
      </c>
      <c r="I781" t="s">
        <v>96</v>
      </c>
      <c r="J781" t="s">
        <v>26</v>
      </c>
      <c r="K781">
        <v>9928</v>
      </c>
      <c r="L781" s="5" t="str">
        <f>IF(OR(K781&lt;Answers!$C$16,Orders!K781&gt;Answers!$C$17),"Yes","No")</f>
        <v>No</v>
      </c>
      <c r="M781" s="14">
        <f>VLOOKUP(B781,Customers!$A$1:$E$2501,4,0)</f>
        <v>22</v>
      </c>
    </row>
    <row r="782" spans="1:13" x14ac:dyDescent="0.3">
      <c r="A782">
        <v>539212</v>
      </c>
      <c r="B782">
        <v>488</v>
      </c>
      <c r="C782" s="1" t="s">
        <v>98</v>
      </c>
      <c r="D782" s="5">
        <v>45259</v>
      </c>
      <c r="E782" s="10">
        <v>7.7777777777777779E-2</v>
      </c>
      <c r="F782" s="15">
        <f t="shared" si="36"/>
        <v>11</v>
      </c>
      <c r="G782" s="10" t="str">
        <f t="shared" si="37"/>
        <v>Wednesday</v>
      </c>
      <c r="H782" s="9" t="str">
        <f t="shared" si="38"/>
        <v>November</v>
      </c>
      <c r="I782" t="s">
        <v>190</v>
      </c>
      <c r="J782" t="s">
        <v>17</v>
      </c>
      <c r="K782">
        <v>8345</v>
      </c>
      <c r="L782" s="5" t="str">
        <f>IF(OR(K782&lt;Answers!$C$16,Orders!K782&gt;Answers!$C$17),"Yes","No")</f>
        <v>No</v>
      </c>
      <c r="M782" s="14">
        <f>VLOOKUP(B782,Customers!$A$1:$E$2501,4,0)</f>
        <v>19</v>
      </c>
    </row>
    <row r="783" spans="1:13" x14ac:dyDescent="0.3">
      <c r="A783">
        <v>539679</v>
      </c>
      <c r="B783">
        <v>668</v>
      </c>
      <c r="C783" s="1" t="s">
        <v>99</v>
      </c>
      <c r="D783" s="5">
        <v>45053</v>
      </c>
      <c r="E783" s="10">
        <v>0.51944444444444449</v>
      </c>
      <c r="F783" s="15">
        <f t="shared" si="36"/>
        <v>5</v>
      </c>
      <c r="G783" s="10" t="str">
        <f t="shared" si="37"/>
        <v>Sunday</v>
      </c>
      <c r="H783" s="9" t="str">
        <f t="shared" si="38"/>
        <v>May</v>
      </c>
      <c r="I783" t="s">
        <v>97</v>
      </c>
      <c r="J783" t="s">
        <v>89</v>
      </c>
      <c r="K783">
        <v>24</v>
      </c>
      <c r="L783" s="5" t="str">
        <f>IF(OR(K783&lt;Answers!$C$16,Orders!K783&gt;Answers!$C$17),"Yes","No")</f>
        <v>No</v>
      </c>
      <c r="M783" s="14">
        <f>VLOOKUP(B783,Customers!$A$1:$E$2501,4,0)</f>
        <v>90</v>
      </c>
    </row>
    <row r="784" spans="1:13" x14ac:dyDescent="0.3">
      <c r="A784">
        <v>540823</v>
      </c>
      <c r="B784">
        <v>306</v>
      </c>
      <c r="C784" s="1" t="s">
        <v>112</v>
      </c>
      <c r="D784" s="5">
        <v>45260</v>
      </c>
      <c r="E784" s="10">
        <v>0.51527777777777772</v>
      </c>
      <c r="F784" s="15">
        <f t="shared" si="36"/>
        <v>11</v>
      </c>
      <c r="G784" s="10" t="str">
        <f t="shared" si="37"/>
        <v>Thursday</v>
      </c>
      <c r="H784" s="9" t="str">
        <f t="shared" si="38"/>
        <v>November</v>
      </c>
      <c r="I784" t="s">
        <v>96</v>
      </c>
      <c r="J784" t="s">
        <v>13</v>
      </c>
      <c r="K784">
        <v>3011</v>
      </c>
      <c r="L784" s="5" t="str">
        <f>IF(OR(K784&lt;Answers!$C$16,Orders!K784&gt;Answers!$C$17),"Yes","No")</f>
        <v>No</v>
      </c>
      <c r="M784" s="14">
        <f>VLOOKUP(B784,Customers!$A$1:$E$2501,4,0)</f>
        <v>20</v>
      </c>
    </row>
    <row r="785" spans="1:13" x14ac:dyDescent="0.3">
      <c r="A785">
        <v>541612</v>
      </c>
      <c r="B785">
        <v>248</v>
      </c>
      <c r="C785" s="1" t="s">
        <v>98</v>
      </c>
      <c r="D785" s="5">
        <v>45236</v>
      </c>
      <c r="E785" s="10">
        <v>0.5180555555555556</v>
      </c>
      <c r="F785" s="15">
        <f t="shared" si="36"/>
        <v>11</v>
      </c>
      <c r="G785" s="10" t="str">
        <f t="shared" si="37"/>
        <v>Monday</v>
      </c>
      <c r="H785" s="9" t="str">
        <f t="shared" si="38"/>
        <v>November</v>
      </c>
      <c r="I785" t="s">
        <v>96</v>
      </c>
      <c r="J785" t="s">
        <v>26</v>
      </c>
      <c r="K785">
        <v>3155</v>
      </c>
      <c r="L785" s="5" t="str">
        <f>IF(OR(K785&lt;Answers!$C$16,Orders!K785&gt;Answers!$C$17),"Yes","No")</f>
        <v>No</v>
      </c>
      <c r="M785" s="14">
        <f>VLOOKUP(B785,Customers!$A$1:$E$2501,4,0)</f>
        <v>47</v>
      </c>
    </row>
    <row r="786" spans="1:13" x14ac:dyDescent="0.3">
      <c r="A786">
        <v>541737</v>
      </c>
      <c r="B786">
        <v>1365</v>
      </c>
      <c r="C786" s="1" t="s">
        <v>98</v>
      </c>
      <c r="D786" s="5">
        <v>45283</v>
      </c>
      <c r="E786" s="10">
        <v>0.51597222222222228</v>
      </c>
      <c r="F786" s="15">
        <f t="shared" si="36"/>
        <v>12</v>
      </c>
      <c r="G786" s="10" t="str">
        <f t="shared" si="37"/>
        <v>Saturday</v>
      </c>
      <c r="H786" s="9" t="str">
        <f t="shared" si="38"/>
        <v>December</v>
      </c>
      <c r="I786" t="s">
        <v>190</v>
      </c>
      <c r="J786" t="s">
        <v>6</v>
      </c>
      <c r="K786">
        <v>1362</v>
      </c>
      <c r="L786" s="5" t="str">
        <f>IF(OR(K786&lt;Answers!$C$16,Orders!K786&gt;Answers!$C$17),"Yes","No")</f>
        <v>No</v>
      </c>
      <c r="M786" s="14">
        <f>VLOOKUP(B786,Customers!$A$1:$E$2501,4,0)</f>
        <v>53</v>
      </c>
    </row>
    <row r="787" spans="1:13" x14ac:dyDescent="0.3">
      <c r="A787">
        <v>541762</v>
      </c>
      <c r="B787">
        <v>1492</v>
      </c>
      <c r="C787" s="1" t="s">
        <v>98</v>
      </c>
      <c r="D787" s="5">
        <v>45135</v>
      </c>
      <c r="E787" s="10">
        <v>0.49861111111111112</v>
      </c>
      <c r="F787" s="15">
        <f t="shared" si="36"/>
        <v>7</v>
      </c>
      <c r="G787" s="10" t="str">
        <f t="shared" si="37"/>
        <v>Friday</v>
      </c>
      <c r="H787" s="9" t="str">
        <f t="shared" si="38"/>
        <v>July</v>
      </c>
      <c r="I787" t="s">
        <v>97</v>
      </c>
      <c r="J787" t="s">
        <v>8</v>
      </c>
      <c r="K787">
        <v>5062</v>
      </c>
      <c r="L787" s="5" t="str">
        <f>IF(OR(K787&lt;Answers!$C$16,Orders!K787&gt;Answers!$C$17),"Yes","No")</f>
        <v>No</v>
      </c>
      <c r="M787" s="14">
        <f>VLOOKUP(B787,Customers!$A$1:$E$2501,4,0)</f>
        <v>78</v>
      </c>
    </row>
    <row r="788" spans="1:13" x14ac:dyDescent="0.3">
      <c r="A788">
        <v>541964</v>
      </c>
      <c r="B788">
        <v>465</v>
      </c>
      <c r="C788" s="1" t="s">
        <v>98</v>
      </c>
      <c r="D788" s="5">
        <v>45221</v>
      </c>
      <c r="E788" s="10">
        <v>0.49722222222222223</v>
      </c>
      <c r="F788" s="15">
        <f t="shared" si="36"/>
        <v>10</v>
      </c>
      <c r="G788" s="10" t="str">
        <f t="shared" si="37"/>
        <v>Sunday</v>
      </c>
      <c r="H788" s="9" t="str">
        <f t="shared" si="38"/>
        <v>October</v>
      </c>
      <c r="I788" t="s">
        <v>190</v>
      </c>
      <c r="J788" t="s">
        <v>47</v>
      </c>
      <c r="K788">
        <v>3372</v>
      </c>
      <c r="L788" s="5" t="str">
        <f>IF(OR(K788&lt;Answers!$C$16,Orders!K788&gt;Answers!$C$17),"Yes","No")</f>
        <v>No</v>
      </c>
      <c r="M788" s="14">
        <f>VLOOKUP(B788,Customers!$A$1:$E$2501,4,0)</f>
        <v>49</v>
      </c>
    </row>
    <row r="789" spans="1:13" x14ac:dyDescent="0.3">
      <c r="A789">
        <v>542381</v>
      </c>
      <c r="B789">
        <v>1767</v>
      </c>
      <c r="C789" s="1" t="s">
        <v>99</v>
      </c>
      <c r="D789" s="5">
        <v>45286</v>
      </c>
      <c r="E789" s="10">
        <v>0.50902777777777775</v>
      </c>
      <c r="F789" s="15">
        <f t="shared" si="36"/>
        <v>12</v>
      </c>
      <c r="G789" s="10" t="str">
        <f t="shared" si="37"/>
        <v>Tuesday</v>
      </c>
      <c r="H789" s="9" t="str">
        <f t="shared" si="38"/>
        <v>December</v>
      </c>
      <c r="I789" t="s">
        <v>190</v>
      </c>
      <c r="J789" t="s">
        <v>13</v>
      </c>
      <c r="K789">
        <v>6198</v>
      </c>
      <c r="L789" s="5" t="str">
        <f>IF(OR(K789&lt;Answers!$C$16,Orders!K789&gt;Answers!$C$17),"Yes","No")</f>
        <v>No</v>
      </c>
      <c r="M789" s="14">
        <f>VLOOKUP(B789,Customers!$A$1:$E$2501,4,0)</f>
        <v>52</v>
      </c>
    </row>
    <row r="790" spans="1:13" x14ac:dyDescent="0.3">
      <c r="A790">
        <v>543294</v>
      </c>
      <c r="B790">
        <v>1504</v>
      </c>
      <c r="C790" s="1" t="s">
        <v>99</v>
      </c>
      <c r="D790" s="5">
        <v>45182</v>
      </c>
      <c r="E790" s="10">
        <v>0.51875000000000004</v>
      </c>
      <c r="F790" s="15">
        <f t="shared" si="36"/>
        <v>9</v>
      </c>
      <c r="G790" s="10" t="str">
        <f t="shared" si="37"/>
        <v>Wednesday</v>
      </c>
      <c r="H790" s="9" t="str">
        <f t="shared" si="38"/>
        <v>September</v>
      </c>
      <c r="I790" t="s">
        <v>190</v>
      </c>
      <c r="J790" t="s">
        <v>60</v>
      </c>
      <c r="K790">
        <v>3639</v>
      </c>
      <c r="L790" s="5" t="str">
        <f>IF(OR(K790&lt;Answers!$C$16,Orders!K790&gt;Answers!$C$17),"Yes","No")</f>
        <v>No</v>
      </c>
      <c r="M790" s="14">
        <f>VLOOKUP(B790,Customers!$A$1:$E$2501,4,0)</f>
        <v>33</v>
      </c>
    </row>
    <row r="791" spans="1:13" x14ac:dyDescent="0.3">
      <c r="A791">
        <v>543420</v>
      </c>
      <c r="B791">
        <v>1942</v>
      </c>
      <c r="C791" s="1" t="s">
        <v>98</v>
      </c>
      <c r="D791" s="5">
        <v>45092</v>
      </c>
      <c r="E791" s="10">
        <v>0.48958333333333331</v>
      </c>
      <c r="F791" s="15">
        <f t="shared" si="36"/>
        <v>6</v>
      </c>
      <c r="G791" s="10" t="str">
        <f t="shared" si="37"/>
        <v>Thursday</v>
      </c>
      <c r="H791" s="9" t="str">
        <f t="shared" si="38"/>
        <v>June</v>
      </c>
      <c r="I791" t="s">
        <v>97</v>
      </c>
      <c r="J791" t="s">
        <v>64</v>
      </c>
      <c r="K791">
        <v>4380</v>
      </c>
      <c r="L791" s="5" t="str">
        <f>IF(OR(K791&lt;Answers!$C$16,Orders!K791&gt;Answers!$C$17),"Yes","No")</f>
        <v>No</v>
      </c>
      <c r="M791" s="14">
        <f>VLOOKUP(B791,Customers!$A$1:$E$2501,4,0)</f>
        <v>30</v>
      </c>
    </row>
    <row r="792" spans="1:13" x14ac:dyDescent="0.3">
      <c r="A792">
        <v>543688</v>
      </c>
      <c r="B792">
        <v>1393</v>
      </c>
      <c r="C792" s="1" t="s">
        <v>106</v>
      </c>
      <c r="D792" s="5">
        <v>45146</v>
      </c>
      <c r="E792" s="10">
        <v>0.52361111111111114</v>
      </c>
      <c r="F792" s="15">
        <f t="shared" si="36"/>
        <v>8</v>
      </c>
      <c r="G792" s="10" t="str">
        <f t="shared" si="37"/>
        <v>Tuesday</v>
      </c>
      <c r="H792" s="9" t="str">
        <f t="shared" si="38"/>
        <v>August</v>
      </c>
      <c r="I792" t="s">
        <v>97</v>
      </c>
      <c r="J792" t="s">
        <v>16</v>
      </c>
      <c r="K792">
        <v>9836</v>
      </c>
      <c r="L792" s="5" t="str">
        <f>IF(OR(K792&lt;Answers!$C$16,Orders!K792&gt;Answers!$C$17),"Yes","No")</f>
        <v>No</v>
      </c>
      <c r="M792" s="14">
        <f>VLOOKUP(B792,Customers!$A$1:$E$2501,4,0)</f>
        <v>76</v>
      </c>
    </row>
    <row r="793" spans="1:13" x14ac:dyDescent="0.3">
      <c r="A793">
        <v>544608</v>
      </c>
      <c r="B793">
        <v>643</v>
      </c>
      <c r="C793" s="1" t="s">
        <v>112</v>
      </c>
      <c r="D793" s="5">
        <v>45192</v>
      </c>
      <c r="E793" s="10">
        <v>8.0555555555555561E-2</v>
      </c>
      <c r="F793" s="15">
        <f t="shared" si="36"/>
        <v>9</v>
      </c>
      <c r="G793" s="10" t="str">
        <f t="shared" si="37"/>
        <v>Saturday</v>
      </c>
      <c r="H793" s="9" t="str">
        <f t="shared" si="38"/>
        <v>September</v>
      </c>
      <c r="I793" t="s">
        <v>96</v>
      </c>
      <c r="J793" t="s">
        <v>17</v>
      </c>
      <c r="K793">
        <v>3678</v>
      </c>
      <c r="L793" s="5" t="str">
        <f>IF(OR(K793&lt;Answers!$C$16,Orders!K793&gt;Answers!$C$17),"Yes","No")</f>
        <v>No</v>
      </c>
      <c r="M793" s="14">
        <f>VLOOKUP(B793,Customers!$A$1:$E$2501,4,0)</f>
        <v>39</v>
      </c>
    </row>
    <row r="794" spans="1:13" x14ac:dyDescent="0.3">
      <c r="A794">
        <v>544675</v>
      </c>
      <c r="B794">
        <v>459</v>
      </c>
      <c r="C794" s="1" t="s">
        <v>106</v>
      </c>
      <c r="D794" s="5">
        <v>45059</v>
      </c>
      <c r="E794" s="10">
        <v>7.8472222222222221E-2</v>
      </c>
      <c r="F794" s="15">
        <f t="shared" si="36"/>
        <v>5</v>
      </c>
      <c r="G794" s="10" t="str">
        <f t="shared" si="37"/>
        <v>Saturday</v>
      </c>
      <c r="H794" s="9" t="str">
        <f t="shared" si="38"/>
        <v>May</v>
      </c>
      <c r="I794" t="s">
        <v>190</v>
      </c>
      <c r="J794" t="s">
        <v>88</v>
      </c>
      <c r="K794">
        <v>6757</v>
      </c>
      <c r="L794" s="5" t="str">
        <f>IF(OR(K794&lt;Answers!$C$16,Orders!K794&gt;Answers!$C$17),"Yes","No")</f>
        <v>No</v>
      </c>
      <c r="M794" s="14">
        <f>VLOOKUP(B794,Customers!$A$1:$E$2501,4,0)</f>
        <v>30</v>
      </c>
    </row>
    <row r="795" spans="1:13" x14ac:dyDescent="0.3">
      <c r="A795">
        <v>545696</v>
      </c>
      <c r="B795">
        <v>1682</v>
      </c>
      <c r="C795" s="1" t="s">
        <v>99</v>
      </c>
      <c r="D795" s="5">
        <v>45085</v>
      </c>
      <c r="E795" s="10">
        <v>36647</v>
      </c>
      <c r="F795" s="15">
        <f t="shared" si="36"/>
        <v>6</v>
      </c>
      <c r="G795" s="10" t="str">
        <f t="shared" si="37"/>
        <v>Thursday</v>
      </c>
      <c r="H795" s="9" t="str">
        <f t="shared" si="38"/>
        <v>June</v>
      </c>
      <c r="I795" t="s">
        <v>96</v>
      </c>
      <c r="J795" t="s">
        <v>78</v>
      </c>
      <c r="K795">
        <v>9120</v>
      </c>
      <c r="L795" s="5" t="str">
        <f>IF(OR(K795&lt;Answers!$C$16,Orders!K795&gt;Answers!$C$17),"Yes","No")</f>
        <v>No</v>
      </c>
      <c r="M795" s="14">
        <f>VLOOKUP(B795,Customers!$A$1:$E$2501,4,0)</f>
        <v>72</v>
      </c>
    </row>
    <row r="796" spans="1:13" x14ac:dyDescent="0.3">
      <c r="A796">
        <v>546278</v>
      </c>
      <c r="B796">
        <v>1510</v>
      </c>
      <c r="C796" s="1" t="s">
        <v>102</v>
      </c>
      <c r="D796" s="5">
        <v>45081</v>
      </c>
      <c r="E796" s="10">
        <v>36739</v>
      </c>
      <c r="F796" s="15">
        <f t="shared" si="36"/>
        <v>6</v>
      </c>
      <c r="G796" s="10" t="str">
        <f t="shared" si="37"/>
        <v>Sunday</v>
      </c>
      <c r="H796" s="9" t="str">
        <f t="shared" si="38"/>
        <v>June</v>
      </c>
      <c r="I796" t="s">
        <v>190</v>
      </c>
      <c r="J796" t="s">
        <v>50</v>
      </c>
      <c r="K796">
        <v>5853</v>
      </c>
      <c r="L796" s="5" t="str">
        <f>IF(OR(K796&lt;Answers!$C$16,Orders!K796&gt;Answers!$C$17),"Yes","No")</f>
        <v>No</v>
      </c>
      <c r="M796" s="14">
        <f>VLOOKUP(B796,Customers!$A$1:$E$2501,4,0)</f>
        <v>23</v>
      </c>
    </row>
    <row r="797" spans="1:13" x14ac:dyDescent="0.3">
      <c r="A797">
        <v>546758</v>
      </c>
      <c r="B797">
        <v>1844</v>
      </c>
      <c r="C797" s="1" t="s">
        <v>105</v>
      </c>
      <c r="D797" s="5">
        <v>45140</v>
      </c>
      <c r="E797" s="10">
        <v>0.53125</v>
      </c>
      <c r="F797" s="15">
        <f t="shared" si="36"/>
        <v>8</v>
      </c>
      <c r="G797" s="10" t="str">
        <f t="shared" si="37"/>
        <v>Wednesday</v>
      </c>
      <c r="H797" s="9" t="str">
        <f t="shared" si="38"/>
        <v>August</v>
      </c>
      <c r="I797" t="s">
        <v>95</v>
      </c>
      <c r="J797" t="s">
        <v>21</v>
      </c>
      <c r="K797">
        <v>316</v>
      </c>
      <c r="L797" s="5" t="str">
        <f>IF(OR(K797&lt;Answers!$C$16,Orders!K797&gt;Answers!$C$17),"Yes","No")</f>
        <v>No</v>
      </c>
      <c r="M797" s="14">
        <f>VLOOKUP(B797,Customers!$A$1:$E$2501,4,0)</f>
        <v>88</v>
      </c>
    </row>
    <row r="798" spans="1:13" x14ac:dyDescent="0.3">
      <c r="A798">
        <v>546839</v>
      </c>
      <c r="B798">
        <v>1566</v>
      </c>
      <c r="C798" s="1" t="s">
        <v>98</v>
      </c>
      <c r="D798" s="5">
        <v>45270</v>
      </c>
      <c r="E798" s="10">
        <v>0.5395833333333333</v>
      </c>
      <c r="F798" s="15">
        <f t="shared" si="36"/>
        <v>12</v>
      </c>
      <c r="G798" s="10" t="str">
        <f t="shared" si="37"/>
        <v>Sunday</v>
      </c>
      <c r="H798" s="9" t="str">
        <f t="shared" si="38"/>
        <v>December</v>
      </c>
      <c r="I798" t="s">
        <v>190</v>
      </c>
      <c r="J798" t="s">
        <v>51</v>
      </c>
      <c r="K798">
        <v>8639</v>
      </c>
      <c r="L798" s="5" t="str">
        <f>IF(OR(K798&lt;Answers!$C$16,Orders!K798&gt;Answers!$C$17),"Yes","No")</f>
        <v>No</v>
      </c>
      <c r="M798" s="14">
        <f>VLOOKUP(B798,Customers!$A$1:$E$2501,4,0)</f>
        <v>64</v>
      </c>
    </row>
    <row r="799" spans="1:13" x14ac:dyDescent="0.3">
      <c r="A799">
        <v>547144</v>
      </c>
      <c r="B799">
        <v>1666</v>
      </c>
      <c r="C799" s="1" t="s">
        <v>104</v>
      </c>
      <c r="D799" s="5">
        <v>44940</v>
      </c>
      <c r="E799" s="10">
        <v>36557</v>
      </c>
      <c r="F799" s="15">
        <f t="shared" si="36"/>
        <v>1</v>
      </c>
      <c r="G799" s="10" t="str">
        <f t="shared" si="37"/>
        <v>Saturday</v>
      </c>
      <c r="H799" s="9" t="str">
        <f t="shared" si="38"/>
        <v>January</v>
      </c>
      <c r="I799" t="s">
        <v>96</v>
      </c>
      <c r="J799" t="s">
        <v>38</v>
      </c>
      <c r="K799">
        <v>5455</v>
      </c>
      <c r="L799" s="5" t="str">
        <f>IF(OR(K799&lt;Answers!$C$16,Orders!K799&gt;Answers!$C$17),"Yes","No")</f>
        <v>No</v>
      </c>
      <c r="M799" s="14">
        <f>VLOOKUP(B799,Customers!$A$1:$E$2501,4,0)</f>
        <v>21</v>
      </c>
    </row>
    <row r="800" spans="1:13" x14ac:dyDescent="0.3">
      <c r="A800">
        <v>547283</v>
      </c>
      <c r="B800">
        <v>1363</v>
      </c>
      <c r="C800" s="1" t="s">
        <v>99</v>
      </c>
      <c r="D800" s="5">
        <v>45040</v>
      </c>
      <c r="E800" s="10">
        <v>36628</v>
      </c>
      <c r="F800" s="15">
        <f t="shared" si="36"/>
        <v>4</v>
      </c>
      <c r="G800" s="10" t="str">
        <f t="shared" si="37"/>
        <v>Monday</v>
      </c>
      <c r="H800" s="9" t="str">
        <f t="shared" si="38"/>
        <v>April</v>
      </c>
      <c r="I800" t="s">
        <v>190</v>
      </c>
      <c r="J800" t="s">
        <v>91</v>
      </c>
      <c r="K800">
        <v>2149</v>
      </c>
      <c r="L800" s="5" t="str">
        <f>IF(OR(K800&lt;Answers!$C$16,Orders!K800&gt;Answers!$C$17),"Yes","No")</f>
        <v>No</v>
      </c>
      <c r="M800" s="14">
        <f>VLOOKUP(B800,Customers!$A$1:$E$2501,4,0)</f>
        <v>81</v>
      </c>
    </row>
    <row r="801" spans="1:13" x14ac:dyDescent="0.3">
      <c r="A801">
        <v>548423</v>
      </c>
      <c r="B801">
        <v>1109</v>
      </c>
      <c r="C801" s="1" t="s">
        <v>112</v>
      </c>
      <c r="D801" s="5">
        <v>45190</v>
      </c>
      <c r="E801" s="10">
        <v>5.2777777777777778E-2</v>
      </c>
      <c r="F801" s="15">
        <f t="shared" si="36"/>
        <v>9</v>
      </c>
      <c r="G801" s="10" t="str">
        <f t="shared" si="37"/>
        <v>Thursday</v>
      </c>
      <c r="H801" s="9" t="str">
        <f t="shared" si="38"/>
        <v>September</v>
      </c>
      <c r="I801" t="s">
        <v>95</v>
      </c>
      <c r="J801" t="s">
        <v>31</v>
      </c>
      <c r="K801">
        <v>3958</v>
      </c>
      <c r="L801" s="5" t="str">
        <f>IF(OR(K801&lt;Answers!$C$16,Orders!K801&gt;Answers!$C$17),"Yes","No")</f>
        <v>No</v>
      </c>
      <c r="M801" s="14">
        <f>VLOOKUP(B801,Customers!$A$1:$E$2501,4,0)</f>
        <v>86</v>
      </c>
    </row>
    <row r="802" spans="1:13" x14ac:dyDescent="0.3">
      <c r="A802">
        <v>548714</v>
      </c>
      <c r="B802">
        <v>1156</v>
      </c>
      <c r="C802" s="1" t="s">
        <v>102</v>
      </c>
      <c r="D802" s="5">
        <v>45099</v>
      </c>
      <c r="E802" s="10">
        <v>0.52152777777777781</v>
      </c>
      <c r="F802" s="15">
        <f t="shared" si="36"/>
        <v>6</v>
      </c>
      <c r="G802" s="10" t="str">
        <f t="shared" si="37"/>
        <v>Thursday</v>
      </c>
      <c r="H802" s="9" t="str">
        <f t="shared" si="38"/>
        <v>June</v>
      </c>
      <c r="I802" t="s">
        <v>96</v>
      </c>
      <c r="J802" t="s">
        <v>26</v>
      </c>
      <c r="K802">
        <v>6145</v>
      </c>
      <c r="L802" s="5" t="str">
        <f>IF(OR(K802&lt;Answers!$C$16,Orders!K802&gt;Answers!$C$17),"Yes","No")</f>
        <v>No</v>
      </c>
      <c r="M802" s="14">
        <f>VLOOKUP(B802,Customers!$A$1:$E$2501,4,0)</f>
        <v>35</v>
      </c>
    </row>
    <row r="803" spans="1:13" x14ac:dyDescent="0.3">
      <c r="A803">
        <v>549930</v>
      </c>
      <c r="B803">
        <v>685</v>
      </c>
      <c r="C803" s="1" t="s">
        <v>100</v>
      </c>
      <c r="D803" s="5">
        <v>45103</v>
      </c>
      <c r="E803" s="10">
        <v>0.49583333333333335</v>
      </c>
      <c r="F803" s="15">
        <f t="shared" si="36"/>
        <v>6</v>
      </c>
      <c r="G803" s="10" t="str">
        <f t="shared" si="37"/>
        <v>Monday</v>
      </c>
      <c r="H803" s="9" t="str">
        <f t="shared" si="38"/>
        <v>June</v>
      </c>
      <c r="I803" t="s">
        <v>96</v>
      </c>
      <c r="J803" t="s">
        <v>4</v>
      </c>
      <c r="K803">
        <v>8311</v>
      </c>
      <c r="L803" s="5" t="str">
        <f>IF(OR(K803&lt;Answers!$C$16,Orders!K803&gt;Answers!$C$17),"Yes","No")</f>
        <v>No</v>
      </c>
      <c r="M803" s="14">
        <f>VLOOKUP(B803,Customers!$A$1:$E$2501,4,0)</f>
        <v>50</v>
      </c>
    </row>
    <row r="804" spans="1:13" x14ac:dyDescent="0.3">
      <c r="A804">
        <v>550510</v>
      </c>
      <c r="B804">
        <v>536</v>
      </c>
      <c r="C804" s="1" t="s">
        <v>108</v>
      </c>
      <c r="D804" s="5">
        <v>45036</v>
      </c>
      <c r="E804" s="10">
        <v>0.4826388888888889</v>
      </c>
      <c r="F804" s="15">
        <f t="shared" si="36"/>
        <v>4</v>
      </c>
      <c r="G804" s="10" t="str">
        <f t="shared" si="37"/>
        <v>Thursday</v>
      </c>
      <c r="H804" s="9" t="str">
        <f t="shared" si="38"/>
        <v>April</v>
      </c>
      <c r="I804" t="s">
        <v>190</v>
      </c>
      <c r="J804" t="s">
        <v>15</v>
      </c>
      <c r="K804">
        <v>4540</v>
      </c>
      <c r="L804" s="5" t="str">
        <f>IF(OR(K804&lt;Answers!$C$16,Orders!K804&gt;Answers!$C$17),"Yes","No")</f>
        <v>No</v>
      </c>
      <c r="M804" s="14">
        <f>VLOOKUP(B804,Customers!$A$1:$E$2501,4,0)</f>
        <v>69</v>
      </c>
    </row>
    <row r="805" spans="1:13" x14ac:dyDescent="0.3">
      <c r="A805">
        <v>551810</v>
      </c>
      <c r="B805">
        <v>477</v>
      </c>
      <c r="C805" s="1" t="s">
        <v>100</v>
      </c>
      <c r="D805" s="5">
        <v>45085</v>
      </c>
      <c r="E805" s="10">
        <v>0.52430555555555558</v>
      </c>
      <c r="F805" s="15">
        <f t="shared" si="36"/>
        <v>6</v>
      </c>
      <c r="G805" s="10" t="str">
        <f t="shared" si="37"/>
        <v>Thursday</v>
      </c>
      <c r="H805" s="9" t="str">
        <f t="shared" si="38"/>
        <v>June</v>
      </c>
      <c r="I805" t="s">
        <v>96</v>
      </c>
      <c r="J805" t="s">
        <v>73</v>
      </c>
      <c r="K805">
        <v>8174</v>
      </c>
      <c r="L805" s="5" t="str">
        <f>IF(OR(K805&lt;Answers!$C$16,Orders!K805&gt;Answers!$C$17),"Yes","No")</f>
        <v>No</v>
      </c>
      <c r="M805" s="14">
        <f>VLOOKUP(B805,Customers!$A$1:$E$2501,4,0)</f>
        <v>31</v>
      </c>
    </row>
    <row r="806" spans="1:13" x14ac:dyDescent="0.3">
      <c r="A806">
        <v>551997</v>
      </c>
      <c r="B806">
        <v>1620</v>
      </c>
      <c r="C806" s="1" t="s">
        <v>98</v>
      </c>
      <c r="D806" s="5">
        <v>45195</v>
      </c>
      <c r="E806" s="10">
        <v>0.47361111111111109</v>
      </c>
      <c r="F806" s="15">
        <f t="shared" si="36"/>
        <v>9</v>
      </c>
      <c r="G806" s="10" t="str">
        <f t="shared" si="37"/>
        <v>Tuesday</v>
      </c>
      <c r="H806" s="9" t="str">
        <f t="shared" si="38"/>
        <v>September</v>
      </c>
      <c r="I806" t="s">
        <v>190</v>
      </c>
      <c r="J806" t="s">
        <v>3</v>
      </c>
      <c r="K806">
        <v>5017</v>
      </c>
      <c r="L806" s="5" t="str">
        <f>IF(OR(K806&lt;Answers!$C$16,Orders!K806&gt;Answers!$C$17),"Yes","No")</f>
        <v>No</v>
      </c>
      <c r="M806" s="14">
        <f>VLOOKUP(B806,Customers!$A$1:$E$2501,4,0)</f>
        <v>61</v>
      </c>
    </row>
    <row r="807" spans="1:13" x14ac:dyDescent="0.3">
      <c r="A807">
        <v>552382</v>
      </c>
      <c r="B807">
        <v>375</v>
      </c>
      <c r="C807" s="1" t="s">
        <v>100</v>
      </c>
      <c r="D807" s="5">
        <v>45048</v>
      </c>
      <c r="E807" s="10">
        <v>0.52013888888888893</v>
      </c>
      <c r="F807" s="15">
        <f t="shared" si="36"/>
        <v>5</v>
      </c>
      <c r="G807" s="10" t="str">
        <f t="shared" si="37"/>
        <v>Tuesday</v>
      </c>
      <c r="H807" s="9" t="str">
        <f t="shared" si="38"/>
        <v>May</v>
      </c>
      <c r="I807" t="s">
        <v>97</v>
      </c>
      <c r="J807" t="s">
        <v>13</v>
      </c>
      <c r="K807">
        <v>626</v>
      </c>
      <c r="L807" s="5" t="str">
        <f>IF(OR(K807&lt;Answers!$C$16,Orders!K807&gt;Answers!$C$17),"Yes","No")</f>
        <v>No</v>
      </c>
      <c r="M807" s="14">
        <f>VLOOKUP(B807,Customers!$A$1:$E$2501,4,0)</f>
        <v>45</v>
      </c>
    </row>
    <row r="808" spans="1:13" x14ac:dyDescent="0.3">
      <c r="A808">
        <v>552420</v>
      </c>
      <c r="B808">
        <v>31</v>
      </c>
      <c r="C808" s="1" t="s">
        <v>98</v>
      </c>
      <c r="D808" s="5">
        <v>45131</v>
      </c>
      <c r="E808" s="10">
        <v>0.48125000000000001</v>
      </c>
      <c r="F808" s="15">
        <f t="shared" si="36"/>
        <v>7</v>
      </c>
      <c r="G808" s="10" t="str">
        <f t="shared" si="37"/>
        <v>Monday</v>
      </c>
      <c r="H808" s="9" t="str">
        <f t="shared" si="38"/>
        <v>July</v>
      </c>
      <c r="I808" t="s">
        <v>95</v>
      </c>
      <c r="J808" t="s">
        <v>5</v>
      </c>
      <c r="K808">
        <v>3937</v>
      </c>
      <c r="L808" s="5" t="str">
        <f>IF(OR(K808&lt;Answers!$C$16,Orders!K808&gt;Answers!$C$17),"Yes","No")</f>
        <v>No</v>
      </c>
      <c r="M808" s="14">
        <f>VLOOKUP(B808,Customers!$A$1:$E$2501,4,0)</f>
        <v>22</v>
      </c>
    </row>
    <row r="809" spans="1:13" x14ac:dyDescent="0.3">
      <c r="A809">
        <v>552683</v>
      </c>
      <c r="B809">
        <v>131</v>
      </c>
      <c r="C809" s="1" t="s">
        <v>106</v>
      </c>
      <c r="D809" s="5">
        <v>45054</v>
      </c>
      <c r="E809" s="10">
        <v>5.9722222222222225E-2</v>
      </c>
      <c r="F809" s="15">
        <f t="shared" si="36"/>
        <v>5</v>
      </c>
      <c r="G809" s="10" t="str">
        <f t="shared" si="37"/>
        <v>Monday</v>
      </c>
      <c r="H809" s="9" t="str">
        <f t="shared" si="38"/>
        <v>May</v>
      </c>
      <c r="I809" t="s">
        <v>95</v>
      </c>
      <c r="J809" t="s">
        <v>6</v>
      </c>
      <c r="K809">
        <v>6578</v>
      </c>
      <c r="L809" s="5" t="str">
        <f>IF(OR(K809&lt;Answers!$C$16,Orders!K809&gt;Answers!$C$17),"Yes","No")</f>
        <v>No</v>
      </c>
      <c r="M809" s="14">
        <f>VLOOKUP(B809,Customers!$A$1:$E$2501,4,0)</f>
        <v>90</v>
      </c>
    </row>
    <row r="810" spans="1:13" x14ac:dyDescent="0.3">
      <c r="A810">
        <v>554150</v>
      </c>
      <c r="B810">
        <v>343</v>
      </c>
      <c r="C810" s="1" t="s">
        <v>112</v>
      </c>
      <c r="D810" s="5">
        <v>45051</v>
      </c>
      <c r="E810" s="10">
        <v>36597</v>
      </c>
      <c r="F810" s="15">
        <f t="shared" si="36"/>
        <v>5</v>
      </c>
      <c r="G810" s="10" t="str">
        <f t="shared" si="37"/>
        <v>Friday</v>
      </c>
      <c r="H810" s="9" t="str">
        <f t="shared" si="38"/>
        <v>May</v>
      </c>
      <c r="I810" t="s">
        <v>97</v>
      </c>
      <c r="J810" t="s">
        <v>7</v>
      </c>
      <c r="K810">
        <v>1090</v>
      </c>
      <c r="L810" s="5" t="str">
        <f>IF(OR(K810&lt;Answers!$C$16,Orders!K810&gt;Answers!$C$17),"Yes","No")</f>
        <v>No</v>
      </c>
      <c r="M810" s="14">
        <f>VLOOKUP(B810,Customers!$A$1:$E$2501,4,0)</f>
        <v>88</v>
      </c>
    </row>
    <row r="811" spans="1:13" x14ac:dyDescent="0.3">
      <c r="A811">
        <v>556001</v>
      </c>
      <c r="B811">
        <v>395</v>
      </c>
      <c r="C811" s="1" t="s">
        <v>112</v>
      </c>
      <c r="D811" s="5">
        <v>44954</v>
      </c>
      <c r="E811" s="10">
        <v>0.51249999999999996</v>
      </c>
      <c r="F811" s="15">
        <f t="shared" si="36"/>
        <v>1</v>
      </c>
      <c r="G811" s="10" t="str">
        <f t="shared" si="37"/>
        <v>Saturday</v>
      </c>
      <c r="H811" s="9" t="str">
        <f t="shared" si="38"/>
        <v>January</v>
      </c>
      <c r="I811" t="s">
        <v>95</v>
      </c>
      <c r="J811" t="s">
        <v>8</v>
      </c>
      <c r="K811">
        <v>8901</v>
      </c>
      <c r="L811" s="5" t="str">
        <f>IF(OR(K811&lt;Answers!$C$16,Orders!K811&gt;Answers!$C$17),"Yes","No")</f>
        <v>No</v>
      </c>
      <c r="M811" s="14">
        <f>VLOOKUP(B811,Customers!$A$1:$E$2501,4,0)</f>
        <v>22</v>
      </c>
    </row>
    <row r="812" spans="1:13" x14ac:dyDescent="0.3">
      <c r="A812">
        <v>556930</v>
      </c>
      <c r="B812">
        <v>1847</v>
      </c>
      <c r="C812" s="1" t="s">
        <v>99</v>
      </c>
      <c r="D812" s="5">
        <v>44940</v>
      </c>
      <c r="E812" s="10">
        <v>0.51597222222222228</v>
      </c>
      <c r="F812" s="15">
        <f t="shared" si="36"/>
        <v>1</v>
      </c>
      <c r="G812" s="10" t="str">
        <f t="shared" si="37"/>
        <v>Saturday</v>
      </c>
      <c r="H812" s="9" t="str">
        <f t="shared" si="38"/>
        <v>January</v>
      </c>
      <c r="I812" t="s">
        <v>97</v>
      </c>
      <c r="J812" t="s">
        <v>9</v>
      </c>
      <c r="K812">
        <v>1675</v>
      </c>
      <c r="L812" s="5" t="str">
        <f>IF(OR(K812&lt;Answers!$C$16,Orders!K812&gt;Answers!$C$17),"Yes","No")</f>
        <v>No</v>
      </c>
      <c r="M812" s="14">
        <f>VLOOKUP(B812,Customers!$A$1:$E$2501,4,0)</f>
        <v>33</v>
      </c>
    </row>
    <row r="813" spans="1:13" x14ac:dyDescent="0.3">
      <c r="A813">
        <v>557919</v>
      </c>
      <c r="B813">
        <v>736</v>
      </c>
      <c r="C813" s="1" t="s">
        <v>98</v>
      </c>
      <c r="D813" s="5">
        <v>45237</v>
      </c>
      <c r="E813" s="10">
        <v>7.7083333333333337E-2</v>
      </c>
      <c r="F813" s="15">
        <f t="shared" si="36"/>
        <v>11</v>
      </c>
      <c r="G813" s="10" t="str">
        <f t="shared" si="37"/>
        <v>Tuesday</v>
      </c>
      <c r="H813" s="9" t="str">
        <f t="shared" si="38"/>
        <v>November</v>
      </c>
      <c r="I813" t="s">
        <v>190</v>
      </c>
      <c r="J813" t="s">
        <v>10</v>
      </c>
      <c r="K813">
        <v>1848</v>
      </c>
      <c r="L813" s="5" t="str">
        <f>IF(OR(K813&lt;Answers!$C$16,Orders!K813&gt;Answers!$C$17),"Yes","No")</f>
        <v>No</v>
      </c>
      <c r="M813" s="14">
        <f>VLOOKUP(B813,Customers!$A$1:$E$2501,4,0)</f>
        <v>50</v>
      </c>
    </row>
    <row r="814" spans="1:13" x14ac:dyDescent="0.3">
      <c r="A814">
        <v>558573</v>
      </c>
      <c r="B814">
        <v>342</v>
      </c>
      <c r="C814" s="1" t="s">
        <v>112</v>
      </c>
      <c r="D814" s="5">
        <v>45192</v>
      </c>
      <c r="E814" s="10">
        <v>0.52430555555555558</v>
      </c>
      <c r="F814" s="15">
        <f t="shared" si="36"/>
        <v>9</v>
      </c>
      <c r="G814" s="10" t="str">
        <f t="shared" si="37"/>
        <v>Saturday</v>
      </c>
      <c r="H814" s="9" t="str">
        <f t="shared" si="38"/>
        <v>September</v>
      </c>
      <c r="I814" t="s">
        <v>95</v>
      </c>
      <c r="J814" t="s">
        <v>11</v>
      </c>
      <c r="K814">
        <v>2278</v>
      </c>
      <c r="L814" s="5" t="str">
        <f>IF(OR(K814&lt;Answers!$C$16,Orders!K814&gt;Answers!$C$17),"Yes","No")</f>
        <v>No</v>
      </c>
      <c r="M814" s="14">
        <f>VLOOKUP(B814,Customers!$A$1:$E$2501,4,0)</f>
        <v>65</v>
      </c>
    </row>
    <row r="815" spans="1:13" x14ac:dyDescent="0.3">
      <c r="A815">
        <v>559015</v>
      </c>
      <c r="B815">
        <v>785</v>
      </c>
      <c r="C815" s="1" t="s">
        <v>110</v>
      </c>
      <c r="D815" s="5">
        <v>45059</v>
      </c>
      <c r="E815" s="10">
        <v>0.53194444444444444</v>
      </c>
      <c r="F815" s="15">
        <f t="shared" si="36"/>
        <v>5</v>
      </c>
      <c r="G815" s="10" t="str">
        <f t="shared" si="37"/>
        <v>Saturday</v>
      </c>
      <c r="H815" s="9" t="str">
        <f t="shared" si="38"/>
        <v>May</v>
      </c>
      <c r="I815" t="s">
        <v>95</v>
      </c>
      <c r="J815" t="s">
        <v>47</v>
      </c>
      <c r="K815">
        <v>9196</v>
      </c>
      <c r="L815" s="5" t="str">
        <f>IF(OR(K815&lt;Answers!$C$16,Orders!K815&gt;Answers!$C$17),"Yes","No")</f>
        <v>No</v>
      </c>
      <c r="M815" s="14">
        <f>VLOOKUP(B815,Customers!$A$1:$E$2501,4,0)</f>
        <v>44</v>
      </c>
    </row>
    <row r="816" spans="1:13" x14ac:dyDescent="0.3">
      <c r="A816">
        <v>559948</v>
      </c>
      <c r="B816">
        <v>1548</v>
      </c>
      <c r="C816" s="1" t="s">
        <v>99</v>
      </c>
      <c r="D816" s="5">
        <v>45177</v>
      </c>
      <c r="E816" s="10">
        <v>0.47916666666666669</v>
      </c>
      <c r="F816" s="15">
        <f t="shared" si="36"/>
        <v>9</v>
      </c>
      <c r="G816" s="10" t="str">
        <f t="shared" si="37"/>
        <v>Friday</v>
      </c>
      <c r="H816" s="9" t="str">
        <f t="shared" si="38"/>
        <v>September</v>
      </c>
      <c r="I816" t="s">
        <v>190</v>
      </c>
      <c r="J816" t="s">
        <v>13</v>
      </c>
      <c r="K816">
        <v>1404</v>
      </c>
      <c r="L816" s="5" t="str">
        <f>IF(OR(K816&lt;Answers!$C$16,Orders!K816&gt;Answers!$C$17),"Yes","No")</f>
        <v>No</v>
      </c>
      <c r="M816" s="14">
        <f>VLOOKUP(B816,Customers!$A$1:$E$2501,4,0)</f>
        <v>46</v>
      </c>
    </row>
    <row r="817" spans="1:13" x14ac:dyDescent="0.3">
      <c r="A817">
        <v>560179</v>
      </c>
      <c r="B817">
        <v>1615</v>
      </c>
      <c r="C817" s="1" t="s">
        <v>104</v>
      </c>
      <c r="D817" s="5">
        <v>45112</v>
      </c>
      <c r="E817" s="10">
        <v>36617</v>
      </c>
      <c r="F817" s="15">
        <f t="shared" si="36"/>
        <v>7</v>
      </c>
      <c r="G817" s="10" t="str">
        <f t="shared" si="37"/>
        <v>Wednesday</v>
      </c>
      <c r="H817" s="9" t="str">
        <f t="shared" si="38"/>
        <v>July</v>
      </c>
      <c r="I817" t="s">
        <v>190</v>
      </c>
      <c r="J817" t="s">
        <v>48</v>
      </c>
      <c r="K817">
        <v>227</v>
      </c>
      <c r="L817" s="5" t="str">
        <f>IF(OR(K817&lt;Answers!$C$16,Orders!K817&gt;Answers!$C$17),"Yes","No")</f>
        <v>No</v>
      </c>
      <c r="M817" s="14">
        <f>VLOOKUP(B817,Customers!$A$1:$E$2501,4,0)</f>
        <v>64</v>
      </c>
    </row>
    <row r="818" spans="1:13" x14ac:dyDescent="0.3">
      <c r="A818">
        <v>560929</v>
      </c>
      <c r="B818">
        <v>995</v>
      </c>
      <c r="C818" s="1" t="s">
        <v>99</v>
      </c>
      <c r="D818" s="5">
        <v>44947</v>
      </c>
      <c r="E818" s="10">
        <v>36597</v>
      </c>
      <c r="F818" s="15">
        <f t="shared" si="36"/>
        <v>1</v>
      </c>
      <c r="G818" s="10" t="str">
        <f t="shared" si="37"/>
        <v>Saturday</v>
      </c>
      <c r="H818" s="9" t="str">
        <f t="shared" si="38"/>
        <v>January</v>
      </c>
      <c r="I818" t="s">
        <v>95</v>
      </c>
      <c r="J818" t="s">
        <v>15</v>
      </c>
      <c r="K818">
        <v>2792</v>
      </c>
      <c r="L818" s="5" t="str">
        <f>IF(OR(K818&lt;Answers!$C$16,Orders!K818&gt;Answers!$C$17),"Yes","No")</f>
        <v>No</v>
      </c>
      <c r="M818" s="14">
        <f>VLOOKUP(B818,Customers!$A$1:$E$2501,4,0)</f>
        <v>82</v>
      </c>
    </row>
    <row r="819" spans="1:13" x14ac:dyDescent="0.3">
      <c r="A819">
        <v>561027</v>
      </c>
      <c r="B819">
        <v>185</v>
      </c>
      <c r="C819" s="1" t="s">
        <v>103</v>
      </c>
      <c r="D819" s="5">
        <v>45255</v>
      </c>
      <c r="E819" s="10">
        <v>5.5555555555555552E-2</v>
      </c>
      <c r="F819" s="15">
        <f t="shared" si="36"/>
        <v>11</v>
      </c>
      <c r="G819" s="10" t="str">
        <f t="shared" si="37"/>
        <v>Saturday</v>
      </c>
      <c r="H819" s="9" t="str">
        <f t="shared" si="38"/>
        <v>November</v>
      </c>
      <c r="I819" t="s">
        <v>190</v>
      </c>
      <c r="J819" t="s">
        <v>16</v>
      </c>
      <c r="K819">
        <v>9534</v>
      </c>
      <c r="L819" s="5" t="str">
        <f>IF(OR(K819&lt;Answers!$C$16,Orders!K819&gt;Answers!$C$17),"Yes","No")</f>
        <v>No</v>
      </c>
      <c r="M819" s="14">
        <f>VLOOKUP(B819,Customers!$A$1:$E$2501,4,0)</f>
        <v>86</v>
      </c>
    </row>
    <row r="820" spans="1:13" x14ac:dyDescent="0.3">
      <c r="A820">
        <v>561399</v>
      </c>
      <c r="B820">
        <v>761</v>
      </c>
      <c r="C820" s="1" t="s">
        <v>107</v>
      </c>
      <c r="D820" s="5">
        <v>45225</v>
      </c>
      <c r="E820" s="10">
        <v>0.53333333333333333</v>
      </c>
      <c r="F820" s="15">
        <f t="shared" si="36"/>
        <v>10</v>
      </c>
      <c r="G820" s="10" t="str">
        <f t="shared" si="37"/>
        <v>Thursday</v>
      </c>
      <c r="H820" s="9" t="str">
        <f t="shared" si="38"/>
        <v>October</v>
      </c>
      <c r="I820" t="s">
        <v>95</v>
      </c>
      <c r="J820" t="s">
        <v>17</v>
      </c>
      <c r="K820">
        <v>6729</v>
      </c>
      <c r="L820" s="5" t="str">
        <f>IF(OR(K820&lt;Answers!$C$16,Orders!K820&gt;Answers!$C$17),"Yes","No")</f>
        <v>No</v>
      </c>
      <c r="M820" s="14">
        <f>VLOOKUP(B820,Customers!$A$1:$E$2501,4,0)</f>
        <v>42</v>
      </c>
    </row>
    <row r="821" spans="1:13" x14ac:dyDescent="0.3">
      <c r="A821">
        <v>561511</v>
      </c>
      <c r="B821">
        <v>690</v>
      </c>
      <c r="C821" s="1" t="s">
        <v>108</v>
      </c>
      <c r="D821" s="5">
        <v>45261</v>
      </c>
      <c r="E821" s="10">
        <v>5.2083333333333336E-2</v>
      </c>
      <c r="F821" s="15">
        <f t="shared" si="36"/>
        <v>12</v>
      </c>
      <c r="G821" s="10" t="str">
        <f t="shared" si="37"/>
        <v>Friday</v>
      </c>
      <c r="H821" s="9" t="str">
        <f t="shared" si="38"/>
        <v>December</v>
      </c>
      <c r="I821" t="s">
        <v>95</v>
      </c>
      <c r="J821" t="s">
        <v>18</v>
      </c>
      <c r="K821">
        <v>6808</v>
      </c>
      <c r="L821" s="5" t="str">
        <f>IF(OR(K821&lt;Answers!$C$16,Orders!K821&gt;Answers!$C$17),"Yes","No")</f>
        <v>No</v>
      </c>
      <c r="M821" s="14">
        <f>VLOOKUP(B821,Customers!$A$1:$E$2501,4,0)</f>
        <v>37</v>
      </c>
    </row>
    <row r="822" spans="1:13" x14ac:dyDescent="0.3">
      <c r="A822">
        <v>561728</v>
      </c>
      <c r="B822">
        <v>1193</v>
      </c>
      <c r="C822" s="1" t="s">
        <v>106</v>
      </c>
      <c r="D822" s="5">
        <v>45011</v>
      </c>
      <c r="E822" s="10">
        <v>36567</v>
      </c>
      <c r="F822" s="15">
        <f t="shared" si="36"/>
        <v>3</v>
      </c>
      <c r="G822" s="10" t="str">
        <f t="shared" si="37"/>
        <v>Sunday</v>
      </c>
      <c r="H822" s="9" t="str">
        <f t="shared" si="38"/>
        <v>March</v>
      </c>
      <c r="I822" t="s">
        <v>97</v>
      </c>
      <c r="J822" t="s">
        <v>49</v>
      </c>
      <c r="K822">
        <v>9790</v>
      </c>
      <c r="L822" s="5" t="str">
        <f>IF(OR(K822&lt;Answers!$C$16,Orders!K822&gt;Answers!$C$17),"Yes","No")</f>
        <v>No</v>
      </c>
      <c r="M822" s="14">
        <f>VLOOKUP(B822,Customers!$A$1:$E$2501,4,0)</f>
        <v>69</v>
      </c>
    </row>
    <row r="823" spans="1:13" x14ac:dyDescent="0.3">
      <c r="A823">
        <v>561976</v>
      </c>
      <c r="B823">
        <v>286</v>
      </c>
      <c r="C823" s="1" t="s">
        <v>98</v>
      </c>
      <c r="D823" s="5">
        <v>45020</v>
      </c>
      <c r="E823" s="10">
        <v>0.51041666666666663</v>
      </c>
      <c r="F823" s="15">
        <f t="shared" si="36"/>
        <v>4</v>
      </c>
      <c r="G823" s="10" t="str">
        <f t="shared" si="37"/>
        <v>Tuesday</v>
      </c>
      <c r="H823" s="9" t="str">
        <f t="shared" si="38"/>
        <v>April</v>
      </c>
      <c r="I823" t="s">
        <v>95</v>
      </c>
      <c r="J823" t="s">
        <v>50</v>
      </c>
      <c r="K823">
        <v>3146</v>
      </c>
      <c r="L823" s="5" t="str">
        <f>IF(OR(K823&lt;Answers!$C$16,Orders!K823&gt;Answers!$C$17),"Yes","No")</f>
        <v>No</v>
      </c>
      <c r="M823" s="14">
        <f>VLOOKUP(B823,Customers!$A$1:$E$2501,4,0)</f>
        <v>79</v>
      </c>
    </row>
    <row r="824" spans="1:13" x14ac:dyDescent="0.3">
      <c r="A824">
        <v>562295</v>
      </c>
      <c r="B824">
        <v>853</v>
      </c>
      <c r="C824" s="1" t="s">
        <v>98</v>
      </c>
      <c r="D824" s="5">
        <v>45128</v>
      </c>
      <c r="E824" s="10">
        <v>36568</v>
      </c>
      <c r="F824" s="15">
        <f t="shared" si="36"/>
        <v>7</v>
      </c>
      <c r="G824" s="10" t="str">
        <f t="shared" si="37"/>
        <v>Friday</v>
      </c>
      <c r="H824" s="9" t="str">
        <f t="shared" si="38"/>
        <v>July</v>
      </c>
      <c r="I824" t="s">
        <v>190</v>
      </c>
      <c r="J824" t="s">
        <v>21</v>
      </c>
      <c r="K824">
        <v>3046</v>
      </c>
      <c r="L824" s="5" t="str">
        <f>IF(OR(K824&lt;Answers!$C$16,Orders!K824&gt;Answers!$C$17),"Yes","No")</f>
        <v>No</v>
      </c>
      <c r="M824" s="14">
        <f>VLOOKUP(B824,Customers!$A$1:$E$2501,4,0)</f>
        <v>57</v>
      </c>
    </row>
    <row r="825" spans="1:13" x14ac:dyDescent="0.3">
      <c r="A825">
        <v>563443</v>
      </c>
      <c r="B825">
        <v>173</v>
      </c>
      <c r="C825" s="1" t="s">
        <v>112</v>
      </c>
      <c r="D825" s="5">
        <v>45228</v>
      </c>
      <c r="E825" s="10">
        <v>0.52500000000000002</v>
      </c>
      <c r="F825" s="15">
        <f t="shared" si="36"/>
        <v>10</v>
      </c>
      <c r="G825" s="10" t="str">
        <f t="shared" si="37"/>
        <v>Sunday</v>
      </c>
      <c r="H825" s="9" t="str">
        <f t="shared" si="38"/>
        <v>October</v>
      </c>
      <c r="I825" t="s">
        <v>95</v>
      </c>
      <c r="J825" t="s">
        <v>3</v>
      </c>
      <c r="K825">
        <v>8023</v>
      </c>
      <c r="L825" s="5" t="str">
        <f>IF(OR(K825&lt;Answers!$C$16,Orders!K825&gt;Answers!$C$17),"Yes","No")</f>
        <v>No</v>
      </c>
      <c r="M825" s="14">
        <f>VLOOKUP(B825,Customers!$A$1:$E$2501,4,0)</f>
        <v>59</v>
      </c>
    </row>
    <row r="826" spans="1:13" x14ac:dyDescent="0.3">
      <c r="A826">
        <v>563575</v>
      </c>
      <c r="B826">
        <v>947</v>
      </c>
      <c r="C826" s="1" t="s">
        <v>100</v>
      </c>
      <c r="D826" s="5">
        <v>45021</v>
      </c>
      <c r="E826" s="10">
        <v>0.48680555555555555</v>
      </c>
      <c r="F826" s="15">
        <f t="shared" si="36"/>
        <v>4</v>
      </c>
      <c r="G826" s="10" t="str">
        <f t="shared" si="37"/>
        <v>Wednesday</v>
      </c>
      <c r="H826" s="9" t="str">
        <f t="shared" si="38"/>
        <v>April</v>
      </c>
      <c r="I826" t="s">
        <v>96</v>
      </c>
      <c r="J826" t="s">
        <v>38</v>
      </c>
      <c r="K826">
        <v>2260</v>
      </c>
      <c r="L826" s="5" t="str">
        <f>IF(OR(K826&lt;Answers!$C$16,Orders!K826&gt;Answers!$C$17),"Yes","No")</f>
        <v>No</v>
      </c>
      <c r="M826" s="14">
        <f>VLOOKUP(B826,Customers!$A$1:$E$2501,4,0)</f>
        <v>22</v>
      </c>
    </row>
    <row r="827" spans="1:13" x14ac:dyDescent="0.3">
      <c r="A827">
        <v>564076</v>
      </c>
      <c r="B827">
        <v>1862</v>
      </c>
      <c r="C827" s="1" t="s">
        <v>100</v>
      </c>
      <c r="D827" s="5">
        <v>45076</v>
      </c>
      <c r="E827" s="10">
        <v>0.49375000000000002</v>
      </c>
      <c r="F827" s="15">
        <f t="shared" si="36"/>
        <v>5</v>
      </c>
      <c r="G827" s="10" t="str">
        <f t="shared" si="37"/>
        <v>Tuesday</v>
      </c>
      <c r="H827" s="9" t="str">
        <f t="shared" si="38"/>
        <v>May</v>
      </c>
      <c r="I827" t="s">
        <v>96</v>
      </c>
      <c r="J827" t="s">
        <v>8</v>
      </c>
      <c r="K827">
        <v>7241</v>
      </c>
      <c r="L827" s="5" t="str">
        <f>IF(OR(K827&lt;Answers!$C$16,Orders!K827&gt;Answers!$C$17),"Yes","No")</f>
        <v>No</v>
      </c>
      <c r="M827" s="14">
        <f>VLOOKUP(B827,Customers!$A$1:$E$2501,4,0)</f>
        <v>70</v>
      </c>
    </row>
    <row r="828" spans="1:13" x14ac:dyDescent="0.3">
      <c r="A828">
        <v>564478</v>
      </c>
      <c r="B828">
        <v>1827</v>
      </c>
      <c r="C828" s="1" t="s">
        <v>98</v>
      </c>
      <c r="D828" s="5">
        <v>44967</v>
      </c>
      <c r="E828" s="10">
        <v>0.52013888888888893</v>
      </c>
      <c r="F828" s="15">
        <f t="shared" si="36"/>
        <v>2</v>
      </c>
      <c r="G828" s="10" t="str">
        <f t="shared" si="37"/>
        <v>Friday</v>
      </c>
      <c r="H828" s="9" t="str">
        <f t="shared" si="38"/>
        <v>February</v>
      </c>
      <c r="I828" t="s">
        <v>95</v>
      </c>
      <c r="J828" t="s">
        <v>31</v>
      </c>
      <c r="K828">
        <v>4891</v>
      </c>
      <c r="L828" s="5" t="str">
        <f>IF(OR(K828&lt;Answers!$C$16,Orders!K828&gt;Answers!$C$17),"Yes","No")</f>
        <v>No</v>
      </c>
      <c r="M828" s="14">
        <f>VLOOKUP(B828,Customers!$A$1:$E$2501,4,0)</f>
        <v>61</v>
      </c>
    </row>
    <row r="829" spans="1:13" x14ac:dyDescent="0.3">
      <c r="A829">
        <v>565068</v>
      </c>
      <c r="B829">
        <v>1689</v>
      </c>
      <c r="C829" s="1" t="s">
        <v>100</v>
      </c>
      <c r="D829" s="5">
        <v>45087</v>
      </c>
      <c r="E829" s="10">
        <v>0.47291666666666665</v>
      </c>
      <c r="F829" s="15">
        <f t="shared" si="36"/>
        <v>6</v>
      </c>
      <c r="G829" s="10" t="str">
        <f t="shared" si="37"/>
        <v>Saturday</v>
      </c>
      <c r="H829" s="9" t="str">
        <f t="shared" si="38"/>
        <v>June</v>
      </c>
      <c r="I829" t="s">
        <v>190</v>
      </c>
      <c r="J829" t="s">
        <v>40</v>
      </c>
      <c r="K829">
        <v>1282</v>
      </c>
      <c r="L829" s="5" t="str">
        <f>IF(OR(K829&lt;Answers!$C$16,Orders!K829&gt;Answers!$C$17),"Yes","No")</f>
        <v>No</v>
      </c>
      <c r="M829" s="14">
        <f>VLOOKUP(B829,Customers!$A$1:$E$2501,4,0)</f>
        <v>50</v>
      </c>
    </row>
    <row r="830" spans="1:13" x14ac:dyDescent="0.3">
      <c r="A830">
        <v>565931</v>
      </c>
      <c r="B830">
        <v>256</v>
      </c>
      <c r="C830" s="1" t="s">
        <v>100</v>
      </c>
      <c r="D830" s="5">
        <v>45129</v>
      </c>
      <c r="E830" s="10">
        <v>0.51388888888888884</v>
      </c>
      <c r="F830" s="15">
        <f t="shared" si="36"/>
        <v>7</v>
      </c>
      <c r="G830" s="10" t="str">
        <f t="shared" si="37"/>
        <v>Saturday</v>
      </c>
      <c r="H830" s="9" t="str">
        <f t="shared" si="38"/>
        <v>July</v>
      </c>
      <c r="I830" t="s">
        <v>190</v>
      </c>
      <c r="J830" t="s">
        <v>12</v>
      </c>
      <c r="K830">
        <v>9251</v>
      </c>
      <c r="L830" s="5" t="str">
        <f>IF(OR(K830&lt;Answers!$C$16,Orders!K830&gt;Answers!$C$17),"Yes","No")</f>
        <v>No</v>
      </c>
      <c r="M830" s="14">
        <f>VLOOKUP(B830,Customers!$A$1:$E$2501,4,0)</f>
        <v>72</v>
      </c>
    </row>
    <row r="831" spans="1:13" x14ac:dyDescent="0.3">
      <c r="A831">
        <v>566436</v>
      </c>
      <c r="B831">
        <v>1406</v>
      </c>
      <c r="C831" s="1" t="s">
        <v>100</v>
      </c>
      <c r="D831" s="5">
        <v>45277</v>
      </c>
      <c r="E831" s="10">
        <v>0.43888888888888888</v>
      </c>
      <c r="F831" s="15">
        <f t="shared" si="36"/>
        <v>12</v>
      </c>
      <c r="G831" s="10" t="str">
        <f t="shared" si="37"/>
        <v>Sunday</v>
      </c>
      <c r="H831" s="9" t="str">
        <f t="shared" si="38"/>
        <v>December</v>
      </c>
      <c r="I831" t="s">
        <v>95</v>
      </c>
      <c r="J831" t="s">
        <v>26</v>
      </c>
      <c r="K831">
        <v>806</v>
      </c>
      <c r="L831" s="5" t="str">
        <f>IF(OR(K831&lt;Answers!$C$16,Orders!K831&gt;Answers!$C$17),"Yes","No")</f>
        <v>No</v>
      </c>
      <c r="M831" s="14">
        <f>VLOOKUP(B831,Customers!$A$1:$E$2501,4,0)</f>
        <v>18</v>
      </c>
    </row>
    <row r="832" spans="1:13" x14ac:dyDescent="0.3">
      <c r="A832">
        <v>566985</v>
      </c>
      <c r="B832">
        <v>146</v>
      </c>
      <c r="C832" s="1" t="s">
        <v>102</v>
      </c>
      <c r="D832" s="5">
        <v>45104</v>
      </c>
      <c r="E832" s="10">
        <v>0.53333333333333333</v>
      </c>
      <c r="F832" s="15">
        <f t="shared" si="36"/>
        <v>6</v>
      </c>
      <c r="G832" s="10" t="str">
        <f t="shared" si="37"/>
        <v>Tuesday</v>
      </c>
      <c r="H832" s="9" t="str">
        <f t="shared" si="38"/>
        <v>June</v>
      </c>
      <c r="I832" t="s">
        <v>95</v>
      </c>
      <c r="J832" t="s">
        <v>75</v>
      </c>
      <c r="K832">
        <v>3344</v>
      </c>
      <c r="L832" s="5" t="str">
        <f>IF(OR(K832&lt;Answers!$C$16,Orders!K832&gt;Answers!$C$17),"Yes","No")</f>
        <v>No</v>
      </c>
      <c r="M832" s="14">
        <f>VLOOKUP(B832,Customers!$A$1:$E$2501,4,0)</f>
        <v>85</v>
      </c>
    </row>
    <row r="833" spans="1:13" x14ac:dyDescent="0.3">
      <c r="A833">
        <v>568627</v>
      </c>
      <c r="B833">
        <v>428</v>
      </c>
      <c r="C833" s="1" t="s">
        <v>100</v>
      </c>
      <c r="D833" s="5">
        <v>44965</v>
      </c>
      <c r="E833" s="10">
        <v>36536</v>
      </c>
      <c r="F833" s="15">
        <f t="shared" si="36"/>
        <v>2</v>
      </c>
      <c r="G833" s="10" t="str">
        <f t="shared" si="37"/>
        <v>Wednesday</v>
      </c>
      <c r="H833" s="9" t="str">
        <f t="shared" si="38"/>
        <v>February</v>
      </c>
      <c r="I833" t="s">
        <v>190</v>
      </c>
      <c r="J833" t="s">
        <v>80</v>
      </c>
      <c r="K833">
        <v>8884</v>
      </c>
      <c r="L833" s="5" t="str">
        <f>IF(OR(K833&lt;Answers!$C$16,Orders!K833&gt;Answers!$C$17),"Yes","No")</f>
        <v>No</v>
      </c>
      <c r="M833" s="14">
        <f>VLOOKUP(B833,Customers!$A$1:$E$2501,4,0)</f>
        <v>87</v>
      </c>
    </row>
    <row r="834" spans="1:13" x14ac:dyDescent="0.3">
      <c r="A834">
        <v>568799</v>
      </c>
      <c r="B834">
        <v>1429</v>
      </c>
      <c r="C834" s="1" t="s">
        <v>103</v>
      </c>
      <c r="D834" s="5">
        <v>45210</v>
      </c>
      <c r="E834" s="10">
        <v>0.49375000000000002</v>
      </c>
      <c r="F834" s="15">
        <f t="shared" si="36"/>
        <v>10</v>
      </c>
      <c r="G834" s="10" t="str">
        <f t="shared" si="37"/>
        <v>Wednesday</v>
      </c>
      <c r="H834" s="9" t="str">
        <f t="shared" si="38"/>
        <v>October</v>
      </c>
      <c r="I834" t="s">
        <v>95</v>
      </c>
      <c r="J834" t="s">
        <v>13</v>
      </c>
      <c r="K834">
        <v>9085</v>
      </c>
      <c r="L834" s="5" t="str">
        <f>IF(OR(K834&lt;Answers!$C$16,Orders!K834&gt;Answers!$C$17),"Yes","No")</f>
        <v>No</v>
      </c>
      <c r="M834" s="14">
        <f>VLOOKUP(B834,Customers!$A$1:$E$2501,4,0)</f>
        <v>47</v>
      </c>
    </row>
    <row r="835" spans="1:13" x14ac:dyDescent="0.3">
      <c r="A835">
        <v>568873</v>
      </c>
      <c r="B835">
        <v>435</v>
      </c>
      <c r="C835" s="1" t="s">
        <v>112</v>
      </c>
      <c r="D835" s="5">
        <v>45031</v>
      </c>
      <c r="E835" s="10">
        <v>0.44513888888888886</v>
      </c>
      <c r="F835" s="15">
        <f t="shared" ref="F835:F898" si="39">MONTH(D835)</f>
        <v>4</v>
      </c>
      <c r="G835" s="10" t="str">
        <f t="shared" ref="G835:G898" si="40">TEXT(D835,"dddd")</f>
        <v>Saturday</v>
      </c>
      <c r="H835" s="9" t="str">
        <f t="shared" ref="H835:H898" si="41">TEXT(D835,"mmmm")</f>
        <v>April</v>
      </c>
      <c r="I835" t="s">
        <v>95</v>
      </c>
      <c r="J835" t="s">
        <v>23</v>
      </c>
      <c r="K835">
        <v>8247</v>
      </c>
      <c r="L835" s="5" t="str">
        <f>IF(OR(K835&lt;Answers!$C$16,Orders!K835&gt;Answers!$C$17),"Yes","No")</f>
        <v>No</v>
      </c>
      <c r="M835" s="14">
        <f>VLOOKUP(B835,Customers!$A$1:$E$2501,4,0)</f>
        <v>89</v>
      </c>
    </row>
    <row r="836" spans="1:13" x14ac:dyDescent="0.3">
      <c r="A836">
        <v>568908</v>
      </c>
      <c r="B836">
        <v>1297</v>
      </c>
      <c r="C836" s="1" t="s">
        <v>98</v>
      </c>
      <c r="D836" s="5">
        <v>45073</v>
      </c>
      <c r="E836" s="10">
        <v>0.45277777777777778</v>
      </c>
      <c r="F836" s="15">
        <f t="shared" si="39"/>
        <v>5</v>
      </c>
      <c r="G836" s="10" t="str">
        <f t="shared" si="40"/>
        <v>Saturday</v>
      </c>
      <c r="H836" s="9" t="str">
        <f t="shared" si="41"/>
        <v>May</v>
      </c>
      <c r="I836" t="s">
        <v>95</v>
      </c>
      <c r="J836" t="s">
        <v>85</v>
      </c>
      <c r="K836">
        <v>3377</v>
      </c>
      <c r="L836" s="5" t="str">
        <f>IF(OR(K836&lt;Answers!$C$16,Orders!K836&gt;Answers!$C$17),"Yes","No")</f>
        <v>No</v>
      </c>
      <c r="M836" s="14">
        <f>VLOOKUP(B836,Customers!$A$1:$E$2501,4,0)</f>
        <v>86</v>
      </c>
    </row>
    <row r="837" spans="1:13" x14ac:dyDescent="0.3">
      <c r="A837">
        <v>569033</v>
      </c>
      <c r="B837">
        <v>674</v>
      </c>
      <c r="C837" s="1" t="s">
        <v>98</v>
      </c>
      <c r="D837" s="5">
        <v>45230</v>
      </c>
      <c r="E837" s="10">
        <v>0.49722222222222223</v>
      </c>
      <c r="F837" s="15">
        <f t="shared" si="39"/>
        <v>10</v>
      </c>
      <c r="G837" s="10" t="str">
        <f t="shared" si="40"/>
        <v>Tuesday</v>
      </c>
      <c r="H837" s="9" t="str">
        <f t="shared" si="41"/>
        <v>October</v>
      </c>
      <c r="I837" t="s">
        <v>97</v>
      </c>
      <c r="J837" t="s">
        <v>7</v>
      </c>
      <c r="K837">
        <v>8931</v>
      </c>
      <c r="L837" s="5" t="str">
        <f>IF(OR(K837&lt;Answers!$C$16,Orders!K837&gt;Answers!$C$17),"Yes","No")</f>
        <v>No</v>
      </c>
      <c r="M837" s="14">
        <f>VLOOKUP(B837,Customers!$A$1:$E$2501,4,0)</f>
        <v>71</v>
      </c>
    </row>
    <row r="838" spans="1:13" x14ac:dyDescent="0.3">
      <c r="A838">
        <v>569318</v>
      </c>
      <c r="B838">
        <v>30</v>
      </c>
      <c r="C838" s="1" t="s">
        <v>99</v>
      </c>
      <c r="D838" s="5">
        <v>44972</v>
      </c>
      <c r="E838" s="10">
        <v>6.25E-2</v>
      </c>
      <c r="F838" s="15">
        <f t="shared" si="39"/>
        <v>2</v>
      </c>
      <c r="G838" s="10" t="str">
        <f t="shared" si="40"/>
        <v>Wednesday</v>
      </c>
      <c r="H838" s="9" t="str">
        <f t="shared" si="41"/>
        <v>February</v>
      </c>
      <c r="I838" t="s">
        <v>95</v>
      </c>
      <c r="J838" t="s">
        <v>89</v>
      </c>
      <c r="K838">
        <v>3887</v>
      </c>
      <c r="L838" s="5" t="str">
        <f>IF(OR(K838&lt;Answers!$C$16,Orders!K838&gt;Answers!$C$17),"Yes","No")</f>
        <v>No</v>
      </c>
      <c r="M838" s="14">
        <f>VLOOKUP(B838,Customers!$A$1:$E$2501,4,0)</f>
        <v>72</v>
      </c>
    </row>
    <row r="839" spans="1:13" x14ac:dyDescent="0.3">
      <c r="A839">
        <v>569689</v>
      </c>
      <c r="B839">
        <v>1492</v>
      </c>
      <c r="C839" s="1" t="s">
        <v>98</v>
      </c>
      <c r="D839" s="5">
        <v>45227</v>
      </c>
      <c r="E839" s="10">
        <v>7.2916666666666671E-2</v>
      </c>
      <c r="F839" s="15">
        <f t="shared" si="39"/>
        <v>10</v>
      </c>
      <c r="G839" s="10" t="str">
        <f t="shared" si="40"/>
        <v>Saturday</v>
      </c>
      <c r="H839" s="9" t="str">
        <f t="shared" si="41"/>
        <v>October</v>
      </c>
      <c r="I839" t="s">
        <v>97</v>
      </c>
      <c r="J839" t="s">
        <v>42</v>
      </c>
      <c r="K839">
        <v>2171</v>
      </c>
      <c r="L839" s="5" t="str">
        <f>IF(OR(K839&lt;Answers!$C$16,Orders!K839&gt;Answers!$C$17),"Yes","No")</f>
        <v>No</v>
      </c>
      <c r="M839" s="14">
        <f>VLOOKUP(B839,Customers!$A$1:$E$2501,4,0)</f>
        <v>78</v>
      </c>
    </row>
    <row r="840" spans="1:13" x14ac:dyDescent="0.3">
      <c r="A840">
        <v>570816</v>
      </c>
      <c r="B840">
        <v>1266</v>
      </c>
      <c r="C840" s="1" t="s">
        <v>98</v>
      </c>
      <c r="D840" s="5">
        <v>44927</v>
      </c>
      <c r="E840" s="10">
        <v>0.12361111111111112</v>
      </c>
      <c r="F840" s="15">
        <f t="shared" si="39"/>
        <v>1</v>
      </c>
      <c r="G840" s="10" t="str">
        <f t="shared" si="40"/>
        <v>Sunday</v>
      </c>
      <c r="H840" s="9" t="str">
        <f t="shared" si="41"/>
        <v>January</v>
      </c>
      <c r="I840" t="s">
        <v>97</v>
      </c>
      <c r="J840" t="s">
        <v>90</v>
      </c>
      <c r="K840">
        <v>1195</v>
      </c>
      <c r="L840" s="5" t="str">
        <f>IF(OR(K840&lt;Answers!$C$16,Orders!K840&gt;Answers!$C$17),"Yes","No")</f>
        <v>No</v>
      </c>
      <c r="M840" s="14">
        <f>VLOOKUP(B840,Customers!$A$1:$E$2501,4,0)</f>
        <v>42</v>
      </c>
    </row>
    <row r="841" spans="1:13" x14ac:dyDescent="0.3">
      <c r="A841">
        <v>571316</v>
      </c>
      <c r="B841">
        <v>1052</v>
      </c>
      <c r="C841" s="1" t="s">
        <v>108</v>
      </c>
      <c r="D841" s="5">
        <v>45064</v>
      </c>
      <c r="E841" s="10">
        <v>8.2638888888888887E-2</v>
      </c>
      <c r="F841" s="15">
        <f t="shared" si="39"/>
        <v>5</v>
      </c>
      <c r="G841" s="10" t="str">
        <f t="shared" si="40"/>
        <v>Thursday</v>
      </c>
      <c r="H841" s="9" t="str">
        <f t="shared" si="41"/>
        <v>May</v>
      </c>
      <c r="I841" t="s">
        <v>97</v>
      </c>
      <c r="J841" t="s">
        <v>26</v>
      </c>
      <c r="K841">
        <v>1658</v>
      </c>
      <c r="L841" s="5" t="str">
        <f>IF(OR(K841&lt;Answers!$C$16,Orders!K841&gt;Answers!$C$17),"Yes","No")</f>
        <v>No</v>
      </c>
      <c r="M841" s="14">
        <f>VLOOKUP(B841,Customers!$A$1:$E$2501,4,0)</f>
        <v>66</v>
      </c>
    </row>
    <row r="842" spans="1:13" x14ac:dyDescent="0.3">
      <c r="A842">
        <v>571695</v>
      </c>
      <c r="B842">
        <v>53</v>
      </c>
      <c r="C842" s="1" t="s">
        <v>200</v>
      </c>
      <c r="D842" s="5">
        <v>45140</v>
      </c>
      <c r="E842" s="10">
        <v>0.52708333333333335</v>
      </c>
      <c r="F842" s="15">
        <f t="shared" si="39"/>
        <v>8</v>
      </c>
      <c r="G842" s="10" t="str">
        <f t="shared" si="40"/>
        <v>Wednesday</v>
      </c>
      <c r="H842" s="9" t="str">
        <f t="shared" si="41"/>
        <v>August</v>
      </c>
      <c r="I842" t="s">
        <v>96</v>
      </c>
      <c r="J842" t="s">
        <v>28</v>
      </c>
      <c r="K842">
        <v>832</v>
      </c>
      <c r="L842" s="5" t="str">
        <f>IF(OR(K842&lt;Answers!$C$16,Orders!K842&gt;Answers!$C$17),"Yes","No")</f>
        <v>No</v>
      </c>
      <c r="M842" s="14">
        <f>VLOOKUP(B842,Customers!$A$1:$E$2501,4,0)</f>
        <v>62</v>
      </c>
    </row>
    <row r="843" spans="1:13" x14ac:dyDescent="0.3">
      <c r="A843">
        <v>571764</v>
      </c>
      <c r="B843">
        <v>568</v>
      </c>
      <c r="C843" s="1" t="s">
        <v>99</v>
      </c>
      <c r="D843" s="5">
        <v>45146</v>
      </c>
      <c r="E843" s="10">
        <v>36872</v>
      </c>
      <c r="F843" s="15">
        <f t="shared" si="39"/>
        <v>8</v>
      </c>
      <c r="G843" s="10" t="str">
        <f t="shared" si="40"/>
        <v>Tuesday</v>
      </c>
      <c r="H843" s="9" t="str">
        <f t="shared" si="41"/>
        <v>August</v>
      </c>
      <c r="I843" t="s">
        <v>95</v>
      </c>
      <c r="J843" t="s">
        <v>33</v>
      </c>
      <c r="K843">
        <v>1895</v>
      </c>
      <c r="L843" s="5" t="str">
        <f>IF(OR(K843&lt;Answers!$C$16,Orders!K843&gt;Answers!$C$17),"Yes","No")</f>
        <v>No</v>
      </c>
      <c r="M843" s="14">
        <f>VLOOKUP(B843,Customers!$A$1:$E$2501,4,0)</f>
        <v>82</v>
      </c>
    </row>
    <row r="844" spans="1:13" x14ac:dyDescent="0.3">
      <c r="A844">
        <v>572221</v>
      </c>
      <c r="B844">
        <v>1253</v>
      </c>
      <c r="C844" s="1" t="s">
        <v>98</v>
      </c>
      <c r="D844" s="5">
        <v>45132</v>
      </c>
      <c r="E844" s="10">
        <v>0.47708333333333336</v>
      </c>
      <c r="F844" s="15">
        <f t="shared" si="39"/>
        <v>7</v>
      </c>
      <c r="G844" s="10" t="str">
        <f t="shared" si="40"/>
        <v>Tuesday</v>
      </c>
      <c r="H844" s="9" t="str">
        <f t="shared" si="41"/>
        <v>July</v>
      </c>
      <c r="I844" t="s">
        <v>190</v>
      </c>
      <c r="J844" t="s">
        <v>26</v>
      </c>
      <c r="K844">
        <v>9800</v>
      </c>
      <c r="L844" s="5" t="str">
        <f>IF(OR(K844&lt;Answers!$C$16,Orders!K844&gt;Answers!$C$17),"Yes","No")</f>
        <v>No</v>
      </c>
      <c r="M844" s="14">
        <f>VLOOKUP(B844,Customers!$A$1:$E$2501,4,0)</f>
        <v>79</v>
      </c>
    </row>
    <row r="845" spans="1:13" x14ac:dyDescent="0.3">
      <c r="A845">
        <v>572449</v>
      </c>
      <c r="B845">
        <v>43</v>
      </c>
      <c r="C845" s="1" t="s">
        <v>105</v>
      </c>
      <c r="D845" s="5">
        <v>45047</v>
      </c>
      <c r="E845" s="10">
        <v>0.49583333333333335</v>
      </c>
      <c r="F845" s="15">
        <f t="shared" si="39"/>
        <v>5</v>
      </c>
      <c r="G845" s="10" t="str">
        <f t="shared" si="40"/>
        <v>Monday</v>
      </c>
      <c r="H845" s="9" t="str">
        <f t="shared" si="41"/>
        <v>May</v>
      </c>
      <c r="I845" t="s">
        <v>97</v>
      </c>
      <c r="J845" t="s">
        <v>86</v>
      </c>
      <c r="K845">
        <v>2289</v>
      </c>
      <c r="L845" s="5" t="str">
        <f>IF(OR(K845&lt;Answers!$C$16,Orders!K845&gt;Answers!$C$17),"Yes","No")</f>
        <v>No</v>
      </c>
      <c r="M845" s="14">
        <f>VLOOKUP(B845,Customers!$A$1:$E$2501,4,0)</f>
        <v>55</v>
      </c>
    </row>
    <row r="846" spans="1:13" x14ac:dyDescent="0.3">
      <c r="A846">
        <v>573127</v>
      </c>
      <c r="B846">
        <v>1960</v>
      </c>
      <c r="C846" s="1" t="s">
        <v>110</v>
      </c>
      <c r="D846" s="5">
        <v>45277</v>
      </c>
      <c r="E846" s="10">
        <v>0.43819444444444444</v>
      </c>
      <c r="F846" s="15">
        <f t="shared" si="39"/>
        <v>12</v>
      </c>
      <c r="G846" s="10" t="str">
        <f t="shared" si="40"/>
        <v>Sunday</v>
      </c>
      <c r="H846" s="9" t="str">
        <f t="shared" si="41"/>
        <v>December</v>
      </c>
      <c r="I846" t="s">
        <v>95</v>
      </c>
      <c r="J846" t="s">
        <v>39</v>
      </c>
      <c r="K846">
        <v>7588</v>
      </c>
      <c r="L846" s="5" t="str">
        <f>IF(OR(K846&lt;Answers!$C$16,Orders!K846&gt;Answers!$C$17),"Yes","No")</f>
        <v>No</v>
      </c>
      <c r="M846" s="14">
        <f>VLOOKUP(B846,Customers!$A$1:$E$2501,4,0)</f>
        <v>33</v>
      </c>
    </row>
    <row r="847" spans="1:13" x14ac:dyDescent="0.3">
      <c r="A847">
        <v>573331</v>
      </c>
      <c r="B847">
        <v>1045</v>
      </c>
      <c r="C847" s="1" t="s">
        <v>104</v>
      </c>
      <c r="D847" s="5">
        <v>45201</v>
      </c>
      <c r="E847" s="10">
        <v>5.486111111111111E-2</v>
      </c>
      <c r="F847" s="15">
        <f t="shared" si="39"/>
        <v>10</v>
      </c>
      <c r="G847" s="10" t="str">
        <f t="shared" si="40"/>
        <v>Monday</v>
      </c>
      <c r="H847" s="9" t="str">
        <f t="shared" si="41"/>
        <v>October</v>
      </c>
      <c r="I847" t="s">
        <v>97</v>
      </c>
      <c r="J847" t="s">
        <v>10</v>
      </c>
      <c r="K847">
        <v>8506</v>
      </c>
      <c r="L847" s="5" t="str">
        <f>IF(OR(K847&lt;Answers!$C$16,Orders!K847&gt;Answers!$C$17),"Yes","No")</f>
        <v>No</v>
      </c>
      <c r="M847" s="14">
        <f>VLOOKUP(B847,Customers!$A$1:$E$2501,4,0)</f>
        <v>19</v>
      </c>
    </row>
    <row r="848" spans="1:13" x14ac:dyDescent="0.3">
      <c r="A848">
        <v>573406</v>
      </c>
      <c r="B848">
        <v>695</v>
      </c>
      <c r="C848" s="1" t="s">
        <v>99</v>
      </c>
      <c r="D848" s="5">
        <v>45188</v>
      </c>
      <c r="E848" s="10">
        <v>0.49861111111111112</v>
      </c>
      <c r="F848" s="15">
        <f t="shared" si="39"/>
        <v>9</v>
      </c>
      <c r="G848" s="10" t="str">
        <f t="shared" si="40"/>
        <v>Tuesday</v>
      </c>
      <c r="H848" s="9" t="str">
        <f t="shared" si="41"/>
        <v>September</v>
      </c>
      <c r="I848" t="s">
        <v>95</v>
      </c>
      <c r="J848" t="s">
        <v>41</v>
      </c>
      <c r="K848">
        <v>989</v>
      </c>
      <c r="L848" s="5" t="str">
        <f>IF(OR(K848&lt;Answers!$C$16,Orders!K848&gt;Answers!$C$17),"Yes","No")</f>
        <v>No</v>
      </c>
      <c r="M848" s="14">
        <f>VLOOKUP(B848,Customers!$A$1:$E$2501,4,0)</f>
        <v>25</v>
      </c>
    </row>
    <row r="849" spans="1:13" x14ac:dyDescent="0.3">
      <c r="A849">
        <v>573466</v>
      </c>
      <c r="B849">
        <v>1010</v>
      </c>
      <c r="C849" s="1" t="s">
        <v>104</v>
      </c>
      <c r="D849" s="5">
        <v>45153</v>
      </c>
      <c r="E849" s="10">
        <v>0.51666666666666672</v>
      </c>
      <c r="F849" s="15">
        <f t="shared" si="39"/>
        <v>8</v>
      </c>
      <c r="G849" s="10" t="str">
        <f t="shared" si="40"/>
        <v>Tuesday</v>
      </c>
      <c r="H849" s="9" t="str">
        <f t="shared" si="41"/>
        <v>August</v>
      </c>
      <c r="I849" t="s">
        <v>97</v>
      </c>
      <c r="J849" t="s">
        <v>42</v>
      </c>
      <c r="K849">
        <v>8552</v>
      </c>
      <c r="L849" s="5" t="str">
        <f>IF(OR(K849&lt;Answers!$C$16,Orders!K849&gt;Answers!$C$17),"Yes","No")</f>
        <v>No</v>
      </c>
      <c r="M849" s="14">
        <f>VLOOKUP(B849,Customers!$A$1:$E$2501,4,0)</f>
        <v>28</v>
      </c>
    </row>
    <row r="850" spans="1:13" x14ac:dyDescent="0.3">
      <c r="A850">
        <v>573585</v>
      </c>
      <c r="B850">
        <v>97</v>
      </c>
      <c r="C850" s="1" t="s">
        <v>98</v>
      </c>
      <c r="D850" s="5">
        <v>45065</v>
      </c>
      <c r="E850" s="10">
        <v>0.48680555555555555</v>
      </c>
      <c r="F850" s="15">
        <f t="shared" si="39"/>
        <v>5</v>
      </c>
      <c r="G850" s="10" t="str">
        <f t="shared" si="40"/>
        <v>Friday</v>
      </c>
      <c r="H850" s="9" t="str">
        <f t="shared" si="41"/>
        <v>May</v>
      </c>
      <c r="I850" t="s">
        <v>190</v>
      </c>
      <c r="J850" t="s">
        <v>43</v>
      </c>
      <c r="K850">
        <v>3551</v>
      </c>
      <c r="L850" s="5" t="str">
        <f>IF(OR(K850&lt;Answers!$C$16,Orders!K850&gt;Answers!$C$17),"Yes","No")</f>
        <v>No</v>
      </c>
      <c r="M850" s="14">
        <f>VLOOKUP(B850,Customers!$A$1:$E$2501,4,0)</f>
        <v>84</v>
      </c>
    </row>
    <row r="851" spans="1:13" x14ac:dyDescent="0.3">
      <c r="A851">
        <v>573613</v>
      </c>
      <c r="B851">
        <v>1477</v>
      </c>
      <c r="C851" s="1" t="s">
        <v>104</v>
      </c>
      <c r="D851" s="5">
        <v>45156</v>
      </c>
      <c r="E851" s="10">
        <v>5.347222222222222E-2</v>
      </c>
      <c r="F851" s="15">
        <f t="shared" si="39"/>
        <v>8</v>
      </c>
      <c r="G851" s="10" t="str">
        <f t="shared" si="40"/>
        <v>Friday</v>
      </c>
      <c r="H851" s="9" t="str">
        <f t="shared" si="41"/>
        <v>August</v>
      </c>
      <c r="I851" t="s">
        <v>96</v>
      </c>
      <c r="J851" t="s">
        <v>80</v>
      </c>
      <c r="K851">
        <v>7954</v>
      </c>
      <c r="L851" s="5" t="str">
        <f>IF(OR(K851&lt;Answers!$C$16,Orders!K851&gt;Answers!$C$17),"Yes","No")</f>
        <v>No</v>
      </c>
      <c r="M851" s="14">
        <f>VLOOKUP(B851,Customers!$A$1:$E$2501,4,0)</f>
        <v>73</v>
      </c>
    </row>
    <row r="852" spans="1:13" x14ac:dyDescent="0.3">
      <c r="A852">
        <v>573756</v>
      </c>
      <c r="B852">
        <v>1900</v>
      </c>
      <c r="C852" s="1" t="s">
        <v>105</v>
      </c>
      <c r="D852" s="5">
        <v>45179</v>
      </c>
      <c r="E852" s="10">
        <v>5.2083333333333336E-2</v>
      </c>
      <c r="F852" s="15">
        <f t="shared" si="39"/>
        <v>9</v>
      </c>
      <c r="G852" s="10" t="str">
        <f t="shared" si="40"/>
        <v>Sunday</v>
      </c>
      <c r="H852" s="9" t="str">
        <f t="shared" si="41"/>
        <v>September</v>
      </c>
      <c r="I852" t="s">
        <v>190</v>
      </c>
      <c r="J852" t="s">
        <v>13</v>
      </c>
      <c r="K852">
        <v>7244</v>
      </c>
      <c r="L852" s="5" t="str">
        <f>IF(OR(K852&lt;Answers!$C$16,Orders!K852&gt;Answers!$C$17),"Yes","No")</f>
        <v>No</v>
      </c>
      <c r="M852" s="14">
        <f>VLOOKUP(B852,Customers!$A$1:$E$2501,4,0)</f>
        <v>28</v>
      </c>
    </row>
    <row r="853" spans="1:13" x14ac:dyDescent="0.3">
      <c r="A853">
        <v>574480</v>
      </c>
      <c r="B853">
        <v>1907</v>
      </c>
      <c r="C853" s="1" t="s">
        <v>100</v>
      </c>
      <c r="D853" s="5">
        <v>45197</v>
      </c>
      <c r="E853" s="10">
        <v>0.51597222222222228</v>
      </c>
      <c r="F853" s="15">
        <f t="shared" si="39"/>
        <v>9</v>
      </c>
      <c r="G853" s="10" t="str">
        <f t="shared" si="40"/>
        <v>Thursday</v>
      </c>
      <c r="H853" s="9" t="str">
        <f t="shared" si="41"/>
        <v>September</v>
      </c>
      <c r="I853" t="s">
        <v>190</v>
      </c>
      <c r="J853" t="s">
        <v>5</v>
      </c>
      <c r="K853">
        <v>6577</v>
      </c>
      <c r="L853" s="5" t="str">
        <f>IF(OR(K853&lt;Answers!$C$16,Orders!K853&gt;Answers!$C$17),"Yes","No")</f>
        <v>No</v>
      </c>
      <c r="M853" s="14">
        <f>VLOOKUP(B853,Customers!$A$1:$E$2501,4,0)</f>
        <v>83</v>
      </c>
    </row>
    <row r="854" spans="1:13" x14ac:dyDescent="0.3">
      <c r="A854">
        <v>574845</v>
      </c>
      <c r="B854">
        <v>357</v>
      </c>
      <c r="C854" s="1" t="s">
        <v>102</v>
      </c>
      <c r="D854" s="5">
        <v>45266</v>
      </c>
      <c r="E854" s="10">
        <v>0.4861111111111111</v>
      </c>
      <c r="F854" s="15">
        <f t="shared" si="39"/>
        <v>12</v>
      </c>
      <c r="G854" s="10" t="str">
        <f t="shared" si="40"/>
        <v>Wednesday</v>
      </c>
      <c r="H854" s="9" t="str">
        <f t="shared" si="41"/>
        <v>December</v>
      </c>
      <c r="I854" t="s">
        <v>95</v>
      </c>
      <c r="J854" t="s">
        <v>6</v>
      </c>
      <c r="K854">
        <v>1101</v>
      </c>
      <c r="L854" s="5" t="str">
        <f>IF(OR(K854&lt;Answers!$C$16,Orders!K854&gt;Answers!$C$17),"Yes","No")</f>
        <v>No</v>
      </c>
      <c r="M854" s="14">
        <f>VLOOKUP(B854,Customers!$A$1:$E$2501,4,0)</f>
        <v>70</v>
      </c>
    </row>
    <row r="855" spans="1:13" x14ac:dyDescent="0.3">
      <c r="A855">
        <v>575162</v>
      </c>
      <c r="B855">
        <v>1040</v>
      </c>
      <c r="C855" s="1" t="s">
        <v>112</v>
      </c>
      <c r="D855" s="5">
        <v>45251</v>
      </c>
      <c r="E855" s="10">
        <v>0.46875</v>
      </c>
      <c r="F855" s="15">
        <f t="shared" si="39"/>
        <v>11</v>
      </c>
      <c r="G855" s="10" t="str">
        <f t="shared" si="40"/>
        <v>Tuesday</v>
      </c>
      <c r="H855" s="9" t="str">
        <f t="shared" si="41"/>
        <v>November</v>
      </c>
      <c r="I855" t="s">
        <v>97</v>
      </c>
      <c r="J855" t="s">
        <v>26</v>
      </c>
      <c r="K855">
        <v>1854</v>
      </c>
      <c r="L855" s="5" t="str">
        <f>IF(OR(K855&lt;Answers!$C$16,Orders!K855&gt;Answers!$C$17),"Yes","No")</f>
        <v>No</v>
      </c>
      <c r="M855" s="14">
        <f>VLOOKUP(B855,Customers!$A$1:$E$2501,4,0)</f>
        <v>63</v>
      </c>
    </row>
    <row r="856" spans="1:13" x14ac:dyDescent="0.3">
      <c r="A856">
        <v>576171</v>
      </c>
      <c r="B856">
        <v>707</v>
      </c>
      <c r="C856" s="1" t="s">
        <v>99</v>
      </c>
      <c r="D856" s="5">
        <v>45231</v>
      </c>
      <c r="E856" s="10">
        <v>0.48333333333333334</v>
      </c>
      <c r="F856" s="15">
        <f t="shared" si="39"/>
        <v>11</v>
      </c>
      <c r="G856" s="10" t="str">
        <f t="shared" si="40"/>
        <v>Wednesday</v>
      </c>
      <c r="H856" s="9" t="str">
        <f t="shared" si="41"/>
        <v>November</v>
      </c>
      <c r="I856" t="s">
        <v>190</v>
      </c>
      <c r="J856" t="s">
        <v>42</v>
      </c>
      <c r="K856">
        <v>9989</v>
      </c>
      <c r="L856" s="5" t="str">
        <f>IF(OR(K856&lt;Answers!$C$16,Orders!K856&gt;Answers!$C$17),"Yes","No")</f>
        <v>No</v>
      </c>
      <c r="M856" s="14">
        <f>VLOOKUP(B856,Customers!$A$1:$E$2501,4,0)</f>
        <v>23</v>
      </c>
    </row>
    <row r="857" spans="1:13" x14ac:dyDescent="0.3">
      <c r="A857">
        <v>576486</v>
      </c>
      <c r="B857">
        <v>842</v>
      </c>
      <c r="C857" s="1" t="s">
        <v>99</v>
      </c>
      <c r="D857" s="5">
        <v>45097</v>
      </c>
      <c r="E857" s="10">
        <v>6.8750000000000006E-2</v>
      </c>
      <c r="F857" s="15">
        <f t="shared" si="39"/>
        <v>6</v>
      </c>
      <c r="G857" s="10" t="str">
        <f t="shared" si="40"/>
        <v>Tuesday</v>
      </c>
      <c r="H857" s="9" t="str">
        <f t="shared" si="41"/>
        <v>June</v>
      </c>
      <c r="I857" t="s">
        <v>95</v>
      </c>
      <c r="J857" t="s">
        <v>42</v>
      </c>
      <c r="K857">
        <v>2847</v>
      </c>
      <c r="L857" s="5" t="str">
        <f>IF(OR(K857&lt;Answers!$C$16,Orders!K857&gt;Answers!$C$17),"Yes","No")</f>
        <v>No</v>
      </c>
      <c r="M857" s="14">
        <f>VLOOKUP(B857,Customers!$A$1:$E$2501,4,0)</f>
        <v>41</v>
      </c>
    </row>
    <row r="858" spans="1:13" x14ac:dyDescent="0.3">
      <c r="A858">
        <v>577243</v>
      </c>
      <c r="B858">
        <v>1283</v>
      </c>
      <c r="C858" s="1" t="s">
        <v>98</v>
      </c>
      <c r="D858" s="5">
        <v>44957</v>
      </c>
      <c r="E858" s="10">
        <v>5.8333333333333334E-2</v>
      </c>
      <c r="F858" s="15">
        <f t="shared" si="39"/>
        <v>1</v>
      </c>
      <c r="G858" s="10" t="str">
        <f t="shared" si="40"/>
        <v>Tuesday</v>
      </c>
      <c r="H858" s="9" t="str">
        <f t="shared" si="41"/>
        <v>January</v>
      </c>
      <c r="I858" t="s">
        <v>95</v>
      </c>
      <c r="J858" t="s">
        <v>48</v>
      </c>
      <c r="K858">
        <v>4138</v>
      </c>
      <c r="L858" s="5" t="str">
        <f>IF(OR(K858&lt;Answers!$C$16,Orders!K858&gt;Answers!$C$17),"Yes","No")</f>
        <v>No</v>
      </c>
      <c r="M858" s="14">
        <f>VLOOKUP(B858,Customers!$A$1:$E$2501,4,0)</f>
        <v>30</v>
      </c>
    </row>
    <row r="859" spans="1:13" x14ac:dyDescent="0.3">
      <c r="A859">
        <v>581118</v>
      </c>
      <c r="B859">
        <v>1199</v>
      </c>
      <c r="C859" s="1" t="s">
        <v>106</v>
      </c>
      <c r="D859" s="5">
        <v>45257</v>
      </c>
      <c r="E859" s="10">
        <v>0.51527777777777772</v>
      </c>
      <c r="F859" s="15">
        <f t="shared" si="39"/>
        <v>11</v>
      </c>
      <c r="G859" s="10" t="str">
        <f t="shared" si="40"/>
        <v>Monday</v>
      </c>
      <c r="H859" s="9" t="str">
        <f t="shared" si="41"/>
        <v>November</v>
      </c>
      <c r="I859" t="s">
        <v>97</v>
      </c>
      <c r="J859" t="s">
        <v>49</v>
      </c>
      <c r="K859">
        <v>3254</v>
      </c>
      <c r="L859" s="5" t="str">
        <f>IF(OR(K859&lt;Answers!$C$16,Orders!K859&gt;Answers!$C$17),"Yes","No")</f>
        <v>No</v>
      </c>
      <c r="M859" s="14">
        <f>VLOOKUP(B859,Customers!$A$1:$E$2501,4,0)</f>
        <v>38</v>
      </c>
    </row>
    <row r="860" spans="1:13" x14ac:dyDescent="0.3">
      <c r="A860">
        <v>581573</v>
      </c>
      <c r="B860">
        <v>1670</v>
      </c>
      <c r="C860" s="1" t="s">
        <v>98</v>
      </c>
      <c r="D860" s="5">
        <v>45146</v>
      </c>
      <c r="E860" s="10">
        <v>36678</v>
      </c>
      <c r="F860" s="15">
        <f t="shared" si="39"/>
        <v>8</v>
      </c>
      <c r="G860" s="10" t="str">
        <f t="shared" si="40"/>
        <v>Tuesday</v>
      </c>
      <c r="H860" s="9" t="str">
        <f t="shared" si="41"/>
        <v>August</v>
      </c>
      <c r="I860" t="s">
        <v>96</v>
      </c>
      <c r="J860" t="s">
        <v>4</v>
      </c>
      <c r="K860">
        <v>8547</v>
      </c>
      <c r="L860" s="5" t="str">
        <f>IF(OR(K860&lt;Answers!$C$16,Orders!K860&gt;Answers!$C$17),"Yes","No")</f>
        <v>No</v>
      </c>
      <c r="M860" s="14">
        <f>VLOOKUP(B860,Customers!$A$1:$E$2501,4,0)</f>
        <v>80</v>
      </c>
    </row>
    <row r="861" spans="1:13" x14ac:dyDescent="0.3">
      <c r="A861">
        <v>581918</v>
      </c>
      <c r="B861">
        <v>1617</v>
      </c>
      <c r="C861" s="1" t="s">
        <v>103</v>
      </c>
      <c r="D861" s="5">
        <v>45231</v>
      </c>
      <c r="E861" s="10">
        <v>0.53333333333333333</v>
      </c>
      <c r="F861" s="15">
        <f t="shared" si="39"/>
        <v>11</v>
      </c>
      <c r="G861" s="10" t="str">
        <f t="shared" si="40"/>
        <v>Wednesday</v>
      </c>
      <c r="H861" s="9" t="str">
        <f t="shared" si="41"/>
        <v>November</v>
      </c>
      <c r="I861" t="s">
        <v>95</v>
      </c>
      <c r="J861" t="s">
        <v>45</v>
      </c>
      <c r="K861">
        <v>6030</v>
      </c>
      <c r="L861" s="5" t="str">
        <f>IF(OR(K861&lt;Answers!$C$16,Orders!K861&gt;Answers!$C$17),"Yes","No")</f>
        <v>No</v>
      </c>
      <c r="M861" s="14">
        <f>VLOOKUP(B861,Customers!$A$1:$E$2501,4,0)</f>
        <v>50</v>
      </c>
    </row>
    <row r="862" spans="1:13" x14ac:dyDescent="0.3">
      <c r="A862">
        <v>582139</v>
      </c>
      <c r="B862">
        <v>170</v>
      </c>
      <c r="C862" s="1" t="s">
        <v>106</v>
      </c>
      <c r="D862" s="5">
        <v>45195</v>
      </c>
      <c r="E862" s="10">
        <v>36771</v>
      </c>
      <c r="F862" s="15">
        <f t="shared" si="39"/>
        <v>9</v>
      </c>
      <c r="G862" s="10" t="str">
        <f t="shared" si="40"/>
        <v>Tuesday</v>
      </c>
      <c r="H862" s="9" t="str">
        <f t="shared" si="41"/>
        <v>September</v>
      </c>
      <c r="I862" t="s">
        <v>96</v>
      </c>
      <c r="J862" t="s">
        <v>81</v>
      </c>
      <c r="K862">
        <v>2002</v>
      </c>
      <c r="L862" s="5" t="str">
        <f>IF(OR(K862&lt;Answers!$C$16,Orders!K862&gt;Answers!$C$17),"Yes","No")</f>
        <v>No</v>
      </c>
      <c r="M862" s="14">
        <f>VLOOKUP(B862,Customers!$A$1:$E$2501,4,0)</f>
        <v>83</v>
      </c>
    </row>
    <row r="863" spans="1:13" x14ac:dyDescent="0.3">
      <c r="A863">
        <v>583059</v>
      </c>
      <c r="B863">
        <v>786</v>
      </c>
      <c r="C863" s="1" t="s">
        <v>107</v>
      </c>
      <c r="D863" s="5">
        <v>45240</v>
      </c>
      <c r="E863" s="10">
        <v>0.45277777777777778</v>
      </c>
      <c r="F863" s="15">
        <f t="shared" si="39"/>
        <v>11</v>
      </c>
      <c r="G863" s="10" t="str">
        <f t="shared" si="40"/>
        <v>Friday</v>
      </c>
      <c r="H863" s="9" t="str">
        <f t="shared" si="41"/>
        <v>November</v>
      </c>
      <c r="I863" t="s">
        <v>97</v>
      </c>
      <c r="J863" t="s">
        <v>16</v>
      </c>
      <c r="K863">
        <v>6333</v>
      </c>
      <c r="L863" s="5" t="str">
        <f>IF(OR(K863&lt;Answers!$C$16,Orders!K863&gt;Answers!$C$17),"Yes","No")</f>
        <v>No</v>
      </c>
      <c r="M863" s="14">
        <f>VLOOKUP(B863,Customers!$A$1:$E$2501,4,0)</f>
        <v>61</v>
      </c>
    </row>
    <row r="864" spans="1:13" x14ac:dyDescent="0.3">
      <c r="A864">
        <v>583129</v>
      </c>
      <c r="B864">
        <v>575</v>
      </c>
      <c r="C864" s="1" t="s">
        <v>112</v>
      </c>
      <c r="D864" s="5">
        <v>45248</v>
      </c>
      <c r="E864" s="10">
        <v>0.45347222222222222</v>
      </c>
      <c r="F864" s="15">
        <f t="shared" si="39"/>
        <v>11</v>
      </c>
      <c r="G864" s="10" t="str">
        <f t="shared" si="40"/>
        <v>Saturday</v>
      </c>
      <c r="H864" s="9" t="str">
        <f t="shared" si="41"/>
        <v>November</v>
      </c>
      <c r="I864" t="s">
        <v>190</v>
      </c>
      <c r="J864" t="s">
        <v>10</v>
      </c>
      <c r="K864">
        <v>7035</v>
      </c>
      <c r="L864" s="5" t="str">
        <f>IF(OR(K864&lt;Answers!$C$16,Orders!K864&gt;Answers!$C$17),"Yes","No")</f>
        <v>No</v>
      </c>
      <c r="M864" s="14">
        <f>VLOOKUP(B864,Customers!$A$1:$E$2501,4,0)</f>
        <v>85</v>
      </c>
    </row>
    <row r="865" spans="1:13" x14ac:dyDescent="0.3">
      <c r="A865">
        <v>584321</v>
      </c>
      <c r="B865">
        <v>1108</v>
      </c>
      <c r="C865" s="1" t="s">
        <v>112</v>
      </c>
      <c r="D865" s="5">
        <v>44986</v>
      </c>
      <c r="E865" s="10">
        <v>0.4777777777777778</v>
      </c>
      <c r="F865" s="15">
        <f t="shared" si="39"/>
        <v>3</v>
      </c>
      <c r="G865" s="10" t="str">
        <f t="shared" si="40"/>
        <v>Wednesday</v>
      </c>
      <c r="H865" s="9" t="str">
        <f t="shared" si="41"/>
        <v>March</v>
      </c>
      <c r="I865" t="s">
        <v>96</v>
      </c>
      <c r="J865" t="s">
        <v>43</v>
      </c>
      <c r="K865">
        <v>6956</v>
      </c>
      <c r="L865" s="5" t="str">
        <f>IF(OR(K865&lt;Answers!$C$16,Orders!K865&gt;Answers!$C$17),"Yes","No")</f>
        <v>No</v>
      </c>
      <c r="M865" s="14">
        <f>VLOOKUP(B865,Customers!$A$1:$E$2501,4,0)</f>
        <v>47</v>
      </c>
    </row>
    <row r="866" spans="1:13" x14ac:dyDescent="0.3">
      <c r="A866">
        <v>585445</v>
      </c>
      <c r="B866">
        <v>1665</v>
      </c>
      <c r="C866" s="1" t="s">
        <v>109</v>
      </c>
      <c r="D866" s="5">
        <v>45113</v>
      </c>
      <c r="E866" s="10">
        <v>0.49236111111111114</v>
      </c>
      <c r="F866" s="15">
        <f t="shared" si="39"/>
        <v>7</v>
      </c>
      <c r="G866" s="10" t="str">
        <f t="shared" si="40"/>
        <v>Thursday</v>
      </c>
      <c r="H866" s="9" t="str">
        <f t="shared" si="41"/>
        <v>July</v>
      </c>
      <c r="I866" t="s">
        <v>190</v>
      </c>
      <c r="J866" t="s">
        <v>77</v>
      </c>
      <c r="K866">
        <v>7479</v>
      </c>
      <c r="L866" s="5" t="str">
        <f>IF(OR(K866&lt;Answers!$C$16,Orders!K866&gt;Answers!$C$17),"Yes","No")</f>
        <v>No</v>
      </c>
      <c r="M866" s="14">
        <f>VLOOKUP(B866,Customers!$A$1:$E$2501,4,0)</f>
        <v>19</v>
      </c>
    </row>
    <row r="867" spans="1:13" x14ac:dyDescent="0.3">
      <c r="A867">
        <v>585596</v>
      </c>
      <c r="B867">
        <v>1447</v>
      </c>
      <c r="C867" s="1" t="s">
        <v>105</v>
      </c>
      <c r="D867" s="5">
        <v>45205</v>
      </c>
      <c r="E867" s="10">
        <v>0.52500000000000002</v>
      </c>
      <c r="F867" s="15">
        <f t="shared" si="39"/>
        <v>10</v>
      </c>
      <c r="G867" s="10" t="str">
        <f t="shared" si="40"/>
        <v>Friday</v>
      </c>
      <c r="H867" s="9" t="str">
        <f t="shared" si="41"/>
        <v>October</v>
      </c>
      <c r="I867" t="s">
        <v>190</v>
      </c>
      <c r="J867" t="s">
        <v>26</v>
      </c>
      <c r="K867">
        <v>8848</v>
      </c>
      <c r="L867" s="5" t="str">
        <f>IF(OR(K867&lt;Answers!$C$16,Orders!K867&gt;Answers!$C$17),"Yes","No")</f>
        <v>No</v>
      </c>
      <c r="M867" s="14">
        <f>VLOOKUP(B867,Customers!$A$1:$E$2501,4,0)</f>
        <v>20</v>
      </c>
    </row>
    <row r="868" spans="1:13" x14ac:dyDescent="0.3">
      <c r="A868">
        <v>585616</v>
      </c>
      <c r="B868">
        <v>318</v>
      </c>
      <c r="C868" s="1" t="s">
        <v>112</v>
      </c>
      <c r="D868" s="5">
        <v>44966</v>
      </c>
      <c r="E868" s="10">
        <v>0.51666666666666672</v>
      </c>
      <c r="F868" s="15">
        <f t="shared" si="39"/>
        <v>2</v>
      </c>
      <c r="G868" s="10" t="str">
        <f t="shared" si="40"/>
        <v>Thursday</v>
      </c>
      <c r="H868" s="9" t="str">
        <f t="shared" si="41"/>
        <v>February</v>
      </c>
      <c r="I868" t="s">
        <v>95</v>
      </c>
      <c r="J868" t="s">
        <v>58</v>
      </c>
      <c r="K868">
        <v>7526</v>
      </c>
      <c r="L868" s="5" t="str">
        <f>IF(OR(K868&lt;Answers!$C$16,Orders!K868&gt;Answers!$C$17),"Yes","No")</f>
        <v>No</v>
      </c>
      <c r="M868" s="14">
        <f>VLOOKUP(B868,Customers!$A$1:$E$2501,4,0)</f>
        <v>35</v>
      </c>
    </row>
    <row r="869" spans="1:13" x14ac:dyDescent="0.3">
      <c r="A869">
        <v>585826</v>
      </c>
      <c r="B869">
        <v>988</v>
      </c>
      <c r="C869" s="1" t="s">
        <v>98</v>
      </c>
      <c r="D869" s="5">
        <v>45285</v>
      </c>
      <c r="E869" s="10">
        <v>6.5972222222222224E-2</v>
      </c>
      <c r="F869" s="15">
        <f t="shared" si="39"/>
        <v>12</v>
      </c>
      <c r="G869" s="10" t="str">
        <f t="shared" si="40"/>
        <v>Monday</v>
      </c>
      <c r="H869" s="9" t="str">
        <f t="shared" si="41"/>
        <v>December</v>
      </c>
      <c r="I869" t="s">
        <v>95</v>
      </c>
      <c r="J869" t="s">
        <v>86</v>
      </c>
      <c r="K869">
        <v>6591</v>
      </c>
      <c r="L869" s="5" t="str">
        <f>IF(OR(K869&lt;Answers!$C$16,Orders!K869&gt;Answers!$C$17),"Yes","No")</f>
        <v>No</v>
      </c>
      <c r="M869" s="14">
        <f>VLOOKUP(B869,Customers!$A$1:$E$2501,4,0)</f>
        <v>62</v>
      </c>
    </row>
    <row r="870" spans="1:13" x14ac:dyDescent="0.3">
      <c r="A870">
        <v>585827</v>
      </c>
      <c r="B870">
        <v>156</v>
      </c>
      <c r="C870" s="1" t="s">
        <v>99</v>
      </c>
      <c r="D870" s="5">
        <v>44944</v>
      </c>
      <c r="E870" s="10">
        <v>0.48472222222222222</v>
      </c>
      <c r="F870" s="15">
        <f t="shared" si="39"/>
        <v>1</v>
      </c>
      <c r="G870" s="10" t="str">
        <f t="shared" si="40"/>
        <v>Wednesday</v>
      </c>
      <c r="H870" s="9" t="str">
        <f t="shared" si="41"/>
        <v>January</v>
      </c>
      <c r="I870" t="s">
        <v>97</v>
      </c>
      <c r="J870" t="s">
        <v>25</v>
      </c>
      <c r="K870">
        <v>3966</v>
      </c>
      <c r="L870" s="5" t="str">
        <f>IF(OR(K870&lt;Answers!$C$16,Orders!K870&gt;Answers!$C$17),"Yes","No")</f>
        <v>No</v>
      </c>
      <c r="M870" s="14">
        <f>VLOOKUP(B870,Customers!$A$1:$E$2501,4,0)</f>
        <v>32</v>
      </c>
    </row>
    <row r="871" spans="1:13" x14ac:dyDescent="0.3">
      <c r="A871">
        <v>587346</v>
      </c>
      <c r="B871">
        <v>1703</v>
      </c>
      <c r="C871" s="1" t="s">
        <v>99</v>
      </c>
      <c r="D871" s="5">
        <v>45154</v>
      </c>
      <c r="E871" s="10">
        <v>7.013888888888889E-2</v>
      </c>
      <c r="F871" s="15">
        <f t="shared" si="39"/>
        <v>8</v>
      </c>
      <c r="G871" s="10" t="str">
        <f t="shared" si="40"/>
        <v>Wednesday</v>
      </c>
      <c r="H871" s="9" t="str">
        <f t="shared" si="41"/>
        <v>August</v>
      </c>
      <c r="I871" t="s">
        <v>95</v>
      </c>
      <c r="J871" t="s">
        <v>73</v>
      </c>
      <c r="K871">
        <v>6858</v>
      </c>
      <c r="L871" s="5" t="str">
        <f>IF(OR(K871&lt;Answers!$C$16,Orders!K871&gt;Answers!$C$17),"Yes","No")</f>
        <v>No</v>
      </c>
      <c r="M871" s="14">
        <f>VLOOKUP(B871,Customers!$A$1:$E$2501,4,0)</f>
        <v>85</v>
      </c>
    </row>
    <row r="872" spans="1:13" x14ac:dyDescent="0.3">
      <c r="A872">
        <v>587721</v>
      </c>
      <c r="B872">
        <v>417</v>
      </c>
      <c r="C872" s="1" t="s">
        <v>99</v>
      </c>
      <c r="D872" s="5">
        <v>44966</v>
      </c>
      <c r="E872" s="10">
        <v>6.805555555555555E-2</v>
      </c>
      <c r="F872" s="15">
        <f t="shared" si="39"/>
        <v>2</v>
      </c>
      <c r="G872" s="10" t="str">
        <f t="shared" si="40"/>
        <v>Thursday</v>
      </c>
      <c r="H872" s="9" t="str">
        <f t="shared" si="41"/>
        <v>February</v>
      </c>
      <c r="I872" t="s">
        <v>95</v>
      </c>
      <c r="J872" t="s">
        <v>87</v>
      </c>
      <c r="K872">
        <v>1430</v>
      </c>
      <c r="L872" s="5" t="str">
        <f>IF(OR(K872&lt;Answers!$C$16,Orders!K872&gt;Answers!$C$17),"Yes","No")</f>
        <v>No</v>
      </c>
      <c r="M872" s="14">
        <f>VLOOKUP(B872,Customers!$A$1:$E$2501,4,0)</f>
        <v>53</v>
      </c>
    </row>
    <row r="873" spans="1:13" x14ac:dyDescent="0.3">
      <c r="A873">
        <v>588329</v>
      </c>
      <c r="B873">
        <v>1170</v>
      </c>
      <c r="C873" s="1" t="s">
        <v>108</v>
      </c>
      <c r="D873" s="5">
        <v>45170</v>
      </c>
      <c r="E873" s="10">
        <v>7.6388888888888895E-2</v>
      </c>
      <c r="F873" s="15">
        <f t="shared" si="39"/>
        <v>9</v>
      </c>
      <c r="G873" s="10" t="str">
        <f t="shared" si="40"/>
        <v>Friday</v>
      </c>
      <c r="H873" s="9" t="str">
        <f t="shared" si="41"/>
        <v>September</v>
      </c>
      <c r="I873" t="s">
        <v>95</v>
      </c>
      <c r="J873" t="s">
        <v>72</v>
      </c>
      <c r="K873">
        <v>987</v>
      </c>
      <c r="L873" s="5" t="str">
        <f>IF(OR(K873&lt;Answers!$C$16,Orders!K873&gt;Answers!$C$17),"Yes","No")</f>
        <v>No</v>
      </c>
      <c r="M873" s="14">
        <f>VLOOKUP(B873,Customers!$A$1:$E$2501,4,0)</f>
        <v>65</v>
      </c>
    </row>
    <row r="874" spans="1:13" x14ac:dyDescent="0.3">
      <c r="A874">
        <v>588451</v>
      </c>
      <c r="B874">
        <v>1647</v>
      </c>
      <c r="C874" s="1" t="s">
        <v>98</v>
      </c>
      <c r="D874" s="5">
        <v>44963</v>
      </c>
      <c r="E874" s="10">
        <v>0.5180555555555556</v>
      </c>
      <c r="F874" s="15">
        <f t="shared" si="39"/>
        <v>2</v>
      </c>
      <c r="G874" s="10" t="str">
        <f t="shared" si="40"/>
        <v>Monday</v>
      </c>
      <c r="H874" s="9" t="str">
        <f t="shared" si="41"/>
        <v>February</v>
      </c>
      <c r="I874" t="s">
        <v>190</v>
      </c>
      <c r="J874" t="s">
        <v>88</v>
      </c>
      <c r="K874">
        <v>987</v>
      </c>
      <c r="L874" s="5" t="str">
        <f>IF(OR(K874&lt;Answers!$C$16,Orders!K874&gt;Answers!$C$17),"Yes","No")</f>
        <v>No</v>
      </c>
      <c r="M874" s="14">
        <f>VLOOKUP(B874,Customers!$A$1:$E$2501,4,0)</f>
        <v>22</v>
      </c>
    </row>
    <row r="875" spans="1:13" x14ac:dyDescent="0.3">
      <c r="A875">
        <v>588548</v>
      </c>
      <c r="B875">
        <v>442</v>
      </c>
      <c r="C875" s="1" t="s">
        <v>98</v>
      </c>
      <c r="D875" s="5">
        <v>45002</v>
      </c>
      <c r="E875" s="10">
        <v>0.52916666666666667</v>
      </c>
      <c r="F875" s="15">
        <f t="shared" si="39"/>
        <v>3</v>
      </c>
      <c r="G875" s="10" t="str">
        <f t="shared" si="40"/>
        <v>Friday</v>
      </c>
      <c r="H875" s="9" t="str">
        <f t="shared" si="41"/>
        <v>March</v>
      </c>
      <c r="I875" t="s">
        <v>190</v>
      </c>
      <c r="J875" t="s">
        <v>26</v>
      </c>
      <c r="K875">
        <v>4334</v>
      </c>
      <c r="L875" s="5" t="str">
        <f>IF(OR(K875&lt;Answers!$C$16,Orders!K875&gt;Answers!$C$17),"Yes","No")</f>
        <v>No</v>
      </c>
      <c r="M875" s="14">
        <f>VLOOKUP(B875,Customers!$A$1:$E$2501,4,0)</f>
        <v>62</v>
      </c>
    </row>
    <row r="876" spans="1:13" x14ac:dyDescent="0.3">
      <c r="A876">
        <v>588588</v>
      </c>
      <c r="B876">
        <v>548</v>
      </c>
      <c r="C876" s="1" t="s">
        <v>98</v>
      </c>
      <c r="D876" s="5">
        <v>45169</v>
      </c>
      <c r="E876" s="10">
        <v>0.51875000000000004</v>
      </c>
      <c r="F876" s="15">
        <f t="shared" si="39"/>
        <v>8</v>
      </c>
      <c r="G876" s="10" t="str">
        <f t="shared" si="40"/>
        <v>Thursday</v>
      </c>
      <c r="H876" s="9" t="str">
        <f t="shared" si="41"/>
        <v>August</v>
      </c>
      <c r="I876" t="s">
        <v>190</v>
      </c>
      <c r="J876" t="s">
        <v>24</v>
      </c>
      <c r="K876">
        <v>1656</v>
      </c>
      <c r="L876" s="5" t="str">
        <f>IF(OR(K876&lt;Answers!$C$16,Orders!K876&gt;Answers!$C$17),"Yes","No")</f>
        <v>No</v>
      </c>
      <c r="M876" s="14">
        <f>VLOOKUP(B876,Customers!$A$1:$E$2501,4,0)</f>
        <v>48</v>
      </c>
    </row>
    <row r="877" spans="1:13" x14ac:dyDescent="0.3">
      <c r="A877">
        <v>588686</v>
      </c>
      <c r="B877">
        <v>1224</v>
      </c>
      <c r="C877" s="1" t="s">
        <v>99</v>
      </c>
      <c r="D877" s="5">
        <v>45124</v>
      </c>
      <c r="E877" s="10">
        <v>0.47013888888888888</v>
      </c>
      <c r="F877" s="15">
        <f t="shared" si="39"/>
        <v>7</v>
      </c>
      <c r="G877" s="10" t="str">
        <f t="shared" si="40"/>
        <v>Monday</v>
      </c>
      <c r="H877" s="9" t="str">
        <f t="shared" si="41"/>
        <v>July</v>
      </c>
      <c r="I877" t="s">
        <v>97</v>
      </c>
      <c r="J877" t="s">
        <v>48</v>
      </c>
      <c r="K877">
        <v>9207</v>
      </c>
      <c r="L877" s="5" t="str">
        <f>IF(OR(K877&lt;Answers!$C$16,Orders!K877&gt;Answers!$C$17),"Yes","No")</f>
        <v>No</v>
      </c>
      <c r="M877" s="14">
        <f>VLOOKUP(B877,Customers!$A$1:$E$2501,4,0)</f>
        <v>71</v>
      </c>
    </row>
    <row r="878" spans="1:13" x14ac:dyDescent="0.3">
      <c r="A878">
        <v>588730</v>
      </c>
      <c r="B878">
        <v>40</v>
      </c>
      <c r="C878" s="1" t="s">
        <v>100</v>
      </c>
      <c r="D878" s="5">
        <v>45163</v>
      </c>
      <c r="E878" s="10">
        <v>0.51388888888888884</v>
      </c>
      <c r="F878" s="15">
        <f t="shared" si="39"/>
        <v>8</v>
      </c>
      <c r="G878" s="10" t="str">
        <f t="shared" si="40"/>
        <v>Friday</v>
      </c>
      <c r="H878" s="9" t="str">
        <f t="shared" si="41"/>
        <v>August</v>
      </c>
      <c r="I878" t="s">
        <v>95</v>
      </c>
      <c r="J878" t="s">
        <v>4</v>
      </c>
      <c r="K878">
        <v>238</v>
      </c>
      <c r="L878" s="5" t="str">
        <f>IF(OR(K878&lt;Answers!$C$16,Orders!K878&gt;Answers!$C$17),"Yes","No")</f>
        <v>No</v>
      </c>
      <c r="M878" s="14">
        <f>VLOOKUP(B878,Customers!$A$1:$E$2501,4,0)</f>
        <v>37</v>
      </c>
    </row>
    <row r="879" spans="1:13" x14ac:dyDescent="0.3">
      <c r="A879">
        <v>589161</v>
      </c>
      <c r="B879">
        <v>1613</v>
      </c>
      <c r="C879" s="1" t="s">
        <v>98</v>
      </c>
      <c r="D879" s="5">
        <v>45290</v>
      </c>
      <c r="E879" s="10">
        <v>0.49583333333333335</v>
      </c>
      <c r="F879" s="15">
        <f t="shared" si="39"/>
        <v>12</v>
      </c>
      <c r="G879" s="10" t="str">
        <f t="shared" si="40"/>
        <v>Saturday</v>
      </c>
      <c r="H879" s="9" t="str">
        <f t="shared" si="41"/>
        <v>December</v>
      </c>
      <c r="I879" t="s">
        <v>97</v>
      </c>
      <c r="J879" t="s">
        <v>93</v>
      </c>
      <c r="K879">
        <v>3750</v>
      </c>
      <c r="L879" s="5" t="str">
        <f>IF(OR(K879&lt;Answers!$C$16,Orders!K879&gt;Answers!$C$17),"Yes","No")</f>
        <v>No</v>
      </c>
      <c r="M879" s="14">
        <f>VLOOKUP(B879,Customers!$A$1:$E$2501,4,0)</f>
        <v>71</v>
      </c>
    </row>
    <row r="880" spans="1:13" x14ac:dyDescent="0.3">
      <c r="A880">
        <v>590513</v>
      </c>
      <c r="B880">
        <v>1139</v>
      </c>
      <c r="C880" s="1" t="s">
        <v>98</v>
      </c>
      <c r="D880" s="5">
        <v>45152</v>
      </c>
      <c r="E880" s="10">
        <v>36810</v>
      </c>
      <c r="F880" s="15">
        <f t="shared" si="39"/>
        <v>8</v>
      </c>
      <c r="G880" s="10" t="str">
        <f t="shared" si="40"/>
        <v>Monday</v>
      </c>
      <c r="H880" s="9" t="str">
        <f t="shared" si="41"/>
        <v>August</v>
      </c>
      <c r="I880" t="s">
        <v>190</v>
      </c>
      <c r="J880" t="s">
        <v>26</v>
      </c>
      <c r="K880">
        <v>4446</v>
      </c>
      <c r="L880" s="5" t="str">
        <f>IF(OR(K880&lt;Answers!$C$16,Orders!K880&gt;Answers!$C$17),"Yes","No")</f>
        <v>No</v>
      </c>
      <c r="M880" s="14">
        <f>VLOOKUP(B880,Customers!$A$1:$E$2501,4,0)</f>
        <v>84</v>
      </c>
    </row>
    <row r="881" spans="1:13" x14ac:dyDescent="0.3">
      <c r="A881">
        <v>590748</v>
      </c>
      <c r="B881">
        <v>1695</v>
      </c>
      <c r="C881" s="1" t="s">
        <v>104</v>
      </c>
      <c r="D881" s="5">
        <v>44937</v>
      </c>
      <c r="E881" s="10">
        <v>0.44444444444444442</v>
      </c>
      <c r="F881" s="15">
        <f t="shared" si="39"/>
        <v>1</v>
      </c>
      <c r="G881" s="10" t="str">
        <f t="shared" si="40"/>
        <v>Wednesday</v>
      </c>
      <c r="H881" s="9" t="str">
        <f t="shared" si="41"/>
        <v>January</v>
      </c>
      <c r="I881" t="s">
        <v>95</v>
      </c>
      <c r="J881" t="s">
        <v>64</v>
      </c>
      <c r="K881">
        <v>4390</v>
      </c>
      <c r="L881" s="5" t="str">
        <f>IF(OR(K881&lt;Answers!$C$16,Orders!K881&gt;Answers!$C$17),"Yes","No")</f>
        <v>No</v>
      </c>
      <c r="M881" s="14">
        <f>VLOOKUP(B881,Customers!$A$1:$E$2501,4,0)</f>
        <v>37</v>
      </c>
    </row>
    <row r="882" spans="1:13" x14ac:dyDescent="0.3">
      <c r="A882">
        <v>590947</v>
      </c>
      <c r="B882">
        <v>1745</v>
      </c>
      <c r="C882" s="1" t="s">
        <v>98</v>
      </c>
      <c r="D882" s="5">
        <v>45039</v>
      </c>
      <c r="E882" s="10">
        <v>0.53888888888888886</v>
      </c>
      <c r="F882" s="15">
        <f t="shared" si="39"/>
        <v>4</v>
      </c>
      <c r="G882" s="10" t="str">
        <f t="shared" si="40"/>
        <v>Sunday</v>
      </c>
      <c r="H882" s="9" t="str">
        <f t="shared" si="41"/>
        <v>April</v>
      </c>
      <c r="I882" t="s">
        <v>97</v>
      </c>
      <c r="J882" t="s">
        <v>22</v>
      </c>
      <c r="K882">
        <v>7772</v>
      </c>
      <c r="L882" s="5" t="str">
        <f>IF(OR(K882&lt;Answers!$C$16,Orders!K882&gt;Answers!$C$17),"Yes","No")</f>
        <v>No</v>
      </c>
      <c r="M882" s="14">
        <f>VLOOKUP(B882,Customers!$A$1:$E$2501,4,0)</f>
        <v>54</v>
      </c>
    </row>
    <row r="883" spans="1:13" x14ac:dyDescent="0.3">
      <c r="A883">
        <v>591570</v>
      </c>
      <c r="B883">
        <v>419</v>
      </c>
      <c r="C883" s="1" t="s">
        <v>99</v>
      </c>
      <c r="D883" s="5">
        <v>45260</v>
      </c>
      <c r="E883" s="10">
        <v>6.25E-2</v>
      </c>
      <c r="F883" s="15">
        <f t="shared" si="39"/>
        <v>11</v>
      </c>
      <c r="G883" s="10" t="str">
        <f t="shared" si="40"/>
        <v>Thursday</v>
      </c>
      <c r="H883" s="9" t="str">
        <f t="shared" si="41"/>
        <v>November</v>
      </c>
      <c r="I883" t="s">
        <v>190</v>
      </c>
      <c r="J883" t="s">
        <v>20</v>
      </c>
      <c r="K883">
        <v>8740</v>
      </c>
      <c r="L883" s="5" t="str">
        <f>IF(OR(K883&lt;Answers!$C$16,Orders!K883&gt;Answers!$C$17),"Yes","No")</f>
        <v>No</v>
      </c>
      <c r="M883" s="14">
        <f>VLOOKUP(B883,Customers!$A$1:$E$2501,4,0)</f>
        <v>66</v>
      </c>
    </row>
    <row r="884" spans="1:13" x14ac:dyDescent="0.3">
      <c r="A884">
        <v>591821</v>
      </c>
      <c r="B884">
        <v>359</v>
      </c>
      <c r="C884" s="1" t="s">
        <v>99</v>
      </c>
      <c r="D884" s="5">
        <v>45016</v>
      </c>
      <c r="E884" s="10">
        <v>0.51944444444444449</v>
      </c>
      <c r="F884" s="15">
        <f t="shared" si="39"/>
        <v>3</v>
      </c>
      <c r="G884" s="10" t="str">
        <f t="shared" si="40"/>
        <v>Friday</v>
      </c>
      <c r="H884" s="9" t="str">
        <f t="shared" si="41"/>
        <v>March</v>
      </c>
      <c r="I884" t="s">
        <v>96</v>
      </c>
      <c r="J884" t="s">
        <v>27</v>
      </c>
      <c r="K884">
        <v>8262</v>
      </c>
      <c r="L884" s="5" t="str">
        <f>IF(OR(K884&lt;Answers!$C$16,Orders!K884&gt;Answers!$C$17),"Yes","No")</f>
        <v>No</v>
      </c>
      <c r="M884" s="14">
        <f>VLOOKUP(B884,Customers!$A$1:$E$2501,4,0)</f>
        <v>37</v>
      </c>
    </row>
    <row r="885" spans="1:13" x14ac:dyDescent="0.3">
      <c r="A885">
        <v>592435</v>
      </c>
      <c r="B885">
        <v>1386</v>
      </c>
      <c r="C885" s="1" t="s">
        <v>103</v>
      </c>
      <c r="D885" s="5">
        <v>44963</v>
      </c>
      <c r="E885" s="10">
        <v>0.49444444444444446</v>
      </c>
      <c r="F885" s="15">
        <f t="shared" si="39"/>
        <v>2</v>
      </c>
      <c r="G885" s="10" t="str">
        <f t="shared" si="40"/>
        <v>Monday</v>
      </c>
      <c r="H885" s="9" t="str">
        <f t="shared" si="41"/>
        <v>February</v>
      </c>
      <c r="I885" t="s">
        <v>190</v>
      </c>
      <c r="J885" t="s">
        <v>28</v>
      </c>
      <c r="K885">
        <v>2381</v>
      </c>
      <c r="L885" s="5" t="str">
        <f>IF(OR(K885&lt;Answers!$C$16,Orders!K885&gt;Answers!$C$17),"Yes","No")</f>
        <v>No</v>
      </c>
      <c r="M885" s="14">
        <f>VLOOKUP(B885,Customers!$A$1:$E$2501,4,0)</f>
        <v>18</v>
      </c>
    </row>
    <row r="886" spans="1:13" x14ac:dyDescent="0.3">
      <c r="A886">
        <v>592705</v>
      </c>
      <c r="B886">
        <v>987</v>
      </c>
      <c r="C886" s="1" t="s">
        <v>98</v>
      </c>
      <c r="D886" s="5">
        <v>45040</v>
      </c>
      <c r="E886" s="10">
        <v>7.1527777777777773E-2</v>
      </c>
      <c r="F886" s="15">
        <f t="shared" si="39"/>
        <v>4</v>
      </c>
      <c r="G886" s="10" t="str">
        <f t="shared" si="40"/>
        <v>Monday</v>
      </c>
      <c r="H886" s="9" t="str">
        <f t="shared" si="41"/>
        <v>April</v>
      </c>
      <c r="I886" t="s">
        <v>96</v>
      </c>
      <c r="J886" t="s">
        <v>23</v>
      </c>
      <c r="K886">
        <v>5893</v>
      </c>
      <c r="L886" s="5" t="str">
        <f>IF(OR(K886&lt;Answers!$C$16,Orders!K886&gt;Answers!$C$17),"Yes","No")</f>
        <v>No</v>
      </c>
      <c r="M886" s="14">
        <f>VLOOKUP(B886,Customers!$A$1:$E$2501,4,0)</f>
        <v>23</v>
      </c>
    </row>
    <row r="887" spans="1:13" x14ac:dyDescent="0.3">
      <c r="A887">
        <v>593188</v>
      </c>
      <c r="B887">
        <v>1615</v>
      </c>
      <c r="C887" s="1" t="s">
        <v>104</v>
      </c>
      <c r="D887" s="5">
        <v>45268</v>
      </c>
      <c r="E887" s="10">
        <v>0.51458333333333328</v>
      </c>
      <c r="F887" s="15">
        <f t="shared" si="39"/>
        <v>12</v>
      </c>
      <c r="G887" s="10" t="str">
        <f t="shared" si="40"/>
        <v>Friday</v>
      </c>
      <c r="H887" s="9" t="str">
        <f t="shared" si="41"/>
        <v>December</v>
      </c>
      <c r="I887" t="s">
        <v>190</v>
      </c>
      <c r="J887" t="s">
        <v>29</v>
      </c>
      <c r="K887">
        <v>9830</v>
      </c>
      <c r="L887" s="5" t="str">
        <f>IF(OR(K887&lt;Answers!$C$16,Orders!K887&gt;Answers!$C$17),"Yes","No")</f>
        <v>No</v>
      </c>
      <c r="M887" s="14">
        <f>VLOOKUP(B887,Customers!$A$1:$E$2501,4,0)</f>
        <v>64</v>
      </c>
    </row>
    <row r="888" spans="1:13" x14ac:dyDescent="0.3">
      <c r="A888">
        <v>593240</v>
      </c>
      <c r="B888">
        <v>672</v>
      </c>
      <c r="C888" s="1" t="s">
        <v>98</v>
      </c>
      <c r="D888" s="5">
        <v>45265</v>
      </c>
      <c r="E888" s="10">
        <v>0.52638888888888891</v>
      </c>
      <c r="F888" s="15">
        <f t="shared" si="39"/>
        <v>12</v>
      </c>
      <c r="G888" s="10" t="str">
        <f t="shared" si="40"/>
        <v>Tuesday</v>
      </c>
      <c r="H888" s="9" t="str">
        <f t="shared" si="41"/>
        <v>December</v>
      </c>
      <c r="I888" t="s">
        <v>190</v>
      </c>
      <c r="J888" t="s">
        <v>30</v>
      </c>
      <c r="K888">
        <v>7472</v>
      </c>
      <c r="L888" s="5" t="str">
        <f>IF(OR(K888&lt;Answers!$C$16,Orders!K888&gt;Answers!$C$17),"Yes","No")</f>
        <v>No</v>
      </c>
      <c r="M888" s="14">
        <f>VLOOKUP(B888,Customers!$A$1:$E$2501,4,0)</f>
        <v>78</v>
      </c>
    </row>
    <row r="889" spans="1:13" x14ac:dyDescent="0.3">
      <c r="A889">
        <v>593583</v>
      </c>
      <c r="B889">
        <v>513</v>
      </c>
      <c r="C889" s="1" t="s">
        <v>98</v>
      </c>
      <c r="D889" s="5">
        <v>45160</v>
      </c>
      <c r="E889" s="10">
        <v>36739</v>
      </c>
      <c r="F889" s="15">
        <f t="shared" si="39"/>
        <v>8</v>
      </c>
      <c r="G889" s="10" t="str">
        <f t="shared" si="40"/>
        <v>Tuesday</v>
      </c>
      <c r="H889" s="9" t="str">
        <f t="shared" si="41"/>
        <v>August</v>
      </c>
      <c r="I889" t="s">
        <v>95</v>
      </c>
      <c r="J889" t="s">
        <v>31</v>
      </c>
      <c r="K889">
        <v>9848</v>
      </c>
      <c r="L889" s="5" t="str">
        <f>IF(OR(K889&lt;Answers!$C$16,Orders!K889&gt;Answers!$C$17),"Yes","No")</f>
        <v>No</v>
      </c>
      <c r="M889" s="14">
        <f>VLOOKUP(B889,Customers!$A$1:$E$2501,4,0)</f>
        <v>29</v>
      </c>
    </row>
    <row r="890" spans="1:13" x14ac:dyDescent="0.3">
      <c r="A890">
        <v>593879</v>
      </c>
      <c r="B890">
        <v>907</v>
      </c>
      <c r="C890" s="1" t="s">
        <v>107</v>
      </c>
      <c r="D890" s="5">
        <v>45081</v>
      </c>
      <c r="E890" s="10">
        <v>6.6666666666666666E-2</v>
      </c>
      <c r="F890" s="15">
        <f t="shared" si="39"/>
        <v>6</v>
      </c>
      <c r="G890" s="10" t="str">
        <f t="shared" si="40"/>
        <v>Sunday</v>
      </c>
      <c r="H890" s="9" t="str">
        <f t="shared" si="41"/>
        <v>June</v>
      </c>
      <c r="I890" t="s">
        <v>95</v>
      </c>
      <c r="J890" t="s">
        <v>32</v>
      </c>
      <c r="K890">
        <v>5944</v>
      </c>
      <c r="L890" s="5" t="str">
        <f>IF(OR(K890&lt;Answers!$C$16,Orders!K890&gt;Answers!$C$17),"Yes","No")</f>
        <v>No</v>
      </c>
      <c r="M890" s="14">
        <f>VLOOKUP(B890,Customers!$A$1:$E$2501,4,0)</f>
        <v>55</v>
      </c>
    </row>
    <row r="891" spans="1:13" x14ac:dyDescent="0.3">
      <c r="A891">
        <v>595005</v>
      </c>
      <c r="B891">
        <v>377</v>
      </c>
      <c r="C891" s="1" t="s">
        <v>112</v>
      </c>
      <c r="D891" s="5">
        <v>45208</v>
      </c>
      <c r="E891" s="10">
        <v>7.5694444444444439E-2</v>
      </c>
      <c r="F891" s="15">
        <f t="shared" si="39"/>
        <v>10</v>
      </c>
      <c r="G891" s="10" t="str">
        <f t="shared" si="40"/>
        <v>Monday</v>
      </c>
      <c r="H891" s="9" t="str">
        <f t="shared" si="41"/>
        <v>October</v>
      </c>
      <c r="I891" t="s">
        <v>95</v>
      </c>
      <c r="J891" t="s">
        <v>90</v>
      </c>
      <c r="K891">
        <v>1845</v>
      </c>
      <c r="L891" s="5" t="str">
        <f>IF(OR(K891&lt;Answers!$C$16,Orders!K891&gt;Answers!$C$17),"Yes","No")</f>
        <v>No</v>
      </c>
      <c r="M891" s="14">
        <f>VLOOKUP(B891,Customers!$A$1:$E$2501,4,0)</f>
        <v>56</v>
      </c>
    </row>
    <row r="892" spans="1:13" x14ac:dyDescent="0.3">
      <c r="A892">
        <v>595284</v>
      </c>
      <c r="B892">
        <v>1391</v>
      </c>
      <c r="C892" s="1" t="s">
        <v>98</v>
      </c>
      <c r="D892" s="5">
        <v>45223</v>
      </c>
      <c r="E892" s="10">
        <v>0.52361111111111114</v>
      </c>
      <c r="F892" s="15">
        <f t="shared" si="39"/>
        <v>10</v>
      </c>
      <c r="G892" s="10" t="str">
        <f t="shared" si="40"/>
        <v>Tuesday</v>
      </c>
      <c r="H892" s="9" t="str">
        <f t="shared" si="41"/>
        <v>October</v>
      </c>
      <c r="I892" t="s">
        <v>97</v>
      </c>
      <c r="J892" t="s">
        <v>34</v>
      </c>
      <c r="K892">
        <v>8604</v>
      </c>
      <c r="L892" s="5" t="str">
        <f>IF(OR(K892&lt;Answers!$C$16,Orders!K892&gt;Answers!$C$17),"Yes","No")</f>
        <v>No</v>
      </c>
      <c r="M892" s="14">
        <f>VLOOKUP(B892,Customers!$A$1:$E$2501,4,0)</f>
        <v>61</v>
      </c>
    </row>
    <row r="893" spans="1:13" x14ac:dyDescent="0.3">
      <c r="A893">
        <v>595446</v>
      </c>
      <c r="B893">
        <v>1488</v>
      </c>
      <c r="C893" s="1" t="s">
        <v>98</v>
      </c>
      <c r="D893" s="5">
        <v>45073</v>
      </c>
      <c r="E893" s="10">
        <v>0.46805555555555556</v>
      </c>
      <c r="F893" s="15">
        <f t="shared" si="39"/>
        <v>5</v>
      </c>
      <c r="G893" s="10" t="str">
        <f t="shared" si="40"/>
        <v>Saturday</v>
      </c>
      <c r="H893" s="9" t="str">
        <f t="shared" si="41"/>
        <v>May</v>
      </c>
      <c r="I893" t="s">
        <v>95</v>
      </c>
      <c r="J893" t="s">
        <v>35</v>
      </c>
      <c r="K893">
        <v>3770</v>
      </c>
      <c r="L893" s="5" t="str">
        <f>IF(OR(K893&lt;Answers!$C$16,Orders!K893&gt;Answers!$C$17),"Yes","No")</f>
        <v>No</v>
      </c>
      <c r="M893" s="14">
        <f>VLOOKUP(B893,Customers!$A$1:$E$2501,4,0)</f>
        <v>35</v>
      </c>
    </row>
    <row r="894" spans="1:13" x14ac:dyDescent="0.3">
      <c r="A894">
        <v>595956</v>
      </c>
      <c r="B894">
        <v>1501</v>
      </c>
      <c r="C894" s="1" t="s">
        <v>98</v>
      </c>
      <c r="D894" s="5">
        <v>44943</v>
      </c>
      <c r="E894" s="10">
        <v>6.9444444444444448E-2</v>
      </c>
      <c r="F894" s="15">
        <f t="shared" si="39"/>
        <v>1</v>
      </c>
      <c r="G894" s="10" t="str">
        <f t="shared" si="40"/>
        <v>Tuesday</v>
      </c>
      <c r="H894" s="9" t="str">
        <f t="shared" si="41"/>
        <v>January</v>
      </c>
      <c r="I894" t="s">
        <v>96</v>
      </c>
      <c r="J894" t="s">
        <v>36</v>
      </c>
      <c r="K894">
        <v>3537</v>
      </c>
      <c r="L894" s="5" t="str">
        <f>IF(OR(K894&lt;Answers!$C$16,Orders!K894&gt;Answers!$C$17),"Yes","No")</f>
        <v>No</v>
      </c>
      <c r="M894" s="14">
        <f>VLOOKUP(B894,Customers!$A$1:$E$2501,4,0)</f>
        <v>51</v>
      </c>
    </row>
    <row r="895" spans="1:13" x14ac:dyDescent="0.3">
      <c r="A895">
        <v>596143</v>
      </c>
      <c r="B895">
        <v>1576</v>
      </c>
      <c r="C895" s="1" t="s">
        <v>98</v>
      </c>
      <c r="D895" s="5">
        <v>45107</v>
      </c>
      <c r="E895" s="10">
        <v>7.6388888888888895E-2</v>
      </c>
      <c r="F895" s="15">
        <f t="shared" si="39"/>
        <v>6</v>
      </c>
      <c r="G895" s="10" t="str">
        <f t="shared" si="40"/>
        <v>Friday</v>
      </c>
      <c r="H895" s="9" t="str">
        <f t="shared" si="41"/>
        <v>June</v>
      </c>
      <c r="I895" t="s">
        <v>96</v>
      </c>
      <c r="J895" t="s">
        <v>26</v>
      </c>
      <c r="K895">
        <v>1558</v>
      </c>
      <c r="L895" s="5" t="str">
        <f>IF(OR(K895&lt;Answers!$C$16,Orders!K895&gt;Answers!$C$17),"Yes","No")</f>
        <v>No</v>
      </c>
      <c r="M895" s="14">
        <f>VLOOKUP(B895,Customers!$A$1:$E$2501,4,0)</f>
        <v>70</v>
      </c>
    </row>
    <row r="896" spans="1:13" x14ac:dyDescent="0.3">
      <c r="A896">
        <v>596235</v>
      </c>
      <c r="B896">
        <v>1857</v>
      </c>
      <c r="C896" s="1" t="s">
        <v>99</v>
      </c>
      <c r="D896" s="5">
        <v>45227</v>
      </c>
      <c r="E896" s="10">
        <v>0.52777777777777779</v>
      </c>
      <c r="F896" s="15">
        <f t="shared" si="39"/>
        <v>10</v>
      </c>
      <c r="G896" s="10" t="str">
        <f t="shared" si="40"/>
        <v>Saturday</v>
      </c>
      <c r="H896" s="9" t="str">
        <f t="shared" si="41"/>
        <v>October</v>
      </c>
      <c r="I896" t="s">
        <v>97</v>
      </c>
      <c r="J896" t="s">
        <v>64</v>
      </c>
      <c r="K896">
        <v>657</v>
      </c>
      <c r="L896" s="5" t="str">
        <f>IF(OR(K896&lt;Answers!$C$16,Orders!K896&gt;Answers!$C$17),"Yes","No")</f>
        <v>No</v>
      </c>
      <c r="M896" s="14">
        <f>VLOOKUP(B896,Customers!$A$1:$E$2501,4,0)</f>
        <v>75</v>
      </c>
    </row>
    <row r="897" spans="1:13" x14ac:dyDescent="0.3">
      <c r="A897">
        <v>596287</v>
      </c>
      <c r="B897">
        <v>516</v>
      </c>
      <c r="C897" s="1" t="s">
        <v>99</v>
      </c>
      <c r="D897" s="5">
        <v>45172</v>
      </c>
      <c r="E897" s="10">
        <v>0.53541666666666665</v>
      </c>
      <c r="F897" s="15">
        <f t="shared" si="39"/>
        <v>9</v>
      </c>
      <c r="G897" s="10" t="str">
        <f t="shared" si="40"/>
        <v>Sunday</v>
      </c>
      <c r="H897" s="9" t="str">
        <f t="shared" si="41"/>
        <v>September</v>
      </c>
      <c r="I897" t="s">
        <v>97</v>
      </c>
      <c r="J897" t="s">
        <v>23</v>
      </c>
      <c r="K897">
        <v>5995</v>
      </c>
      <c r="L897" s="5" t="str">
        <f>IF(OR(K897&lt;Answers!$C$16,Orders!K897&gt;Answers!$C$17),"Yes","No")</f>
        <v>No</v>
      </c>
      <c r="M897" s="14">
        <f>VLOOKUP(B897,Customers!$A$1:$E$2501,4,0)</f>
        <v>51</v>
      </c>
    </row>
    <row r="898" spans="1:13" x14ac:dyDescent="0.3">
      <c r="A898">
        <v>597539</v>
      </c>
      <c r="B898">
        <v>31</v>
      </c>
      <c r="C898" s="1" t="s">
        <v>98</v>
      </c>
      <c r="D898" s="5">
        <v>45161</v>
      </c>
      <c r="E898" s="10">
        <v>5.0694444444444445E-2</v>
      </c>
      <c r="F898" s="15">
        <f t="shared" si="39"/>
        <v>8</v>
      </c>
      <c r="G898" s="10" t="str">
        <f t="shared" si="40"/>
        <v>Wednesday</v>
      </c>
      <c r="H898" s="9" t="str">
        <f t="shared" si="41"/>
        <v>August</v>
      </c>
      <c r="I898" t="s">
        <v>190</v>
      </c>
      <c r="J898" t="s">
        <v>39</v>
      </c>
      <c r="K898">
        <v>6892</v>
      </c>
      <c r="L898" s="5" t="str">
        <f>IF(OR(K898&lt;Answers!$C$16,Orders!K898&gt;Answers!$C$17),"Yes","No")</f>
        <v>No</v>
      </c>
      <c r="M898" s="14">
        <f>VLOOKUP(B898,Customers!$A$1:$E$2501,4,0)</f>
        <v>22</v>
      </c>
    </row>
    <row r="899" spans="1:13" x14ac:dyDescent="0.3">
      <c r="A899">
        <v>598766</v>
      </c>
      <c r="B899">
        <v>426</v>
      </c>
      <c r="C899" s="1" t="s">
        <v>105</v>
      </c>
      <c r="D899" s="5">
        <v>44999</v>
      </c>
      <c r="E899" s="10">
        <v>0.47569444444444442</v>
      </c>
      <c r="F899" s="15">
        <f t="shared" ref="F899:F962" si="42">MONTH(D899)</f>
        <v>3</v>
      </c>
      <c r="G899" s="10" t="str">
        <f t="shared" ref="G899:G962" si="43">TEXT(D899,"dddd")</f>
        <v>Tuesday</v>
      </c>
      <c r="H899" s="9" t="str">
        <f t="shared" ref="H899:H962" si="44">TEXT(D899,"mmmm")</f>
        <v>March</v>
      </c>
      <c r="I899" t="s">
        <v>190</v>
      </c>
      <c r="J899" t="s">
        <v>40</v>
      </c>
      <c r="K899">
        <v>6288</v>
      </c>
      <c r="L899" s="5" t="str">
        <f>IF(OR(K899&lt;Answers!$C$16,Orders!K899&gt;Answers!$C$17),"Yes","No")</f>
        <v>No</v>
      </c>
      <c r="M899" s="14">
        <f>VLOOKUP(B899,Customers!$A$1:$E$2501,4,0)</f>
        <v>78</v>
      </c>
    </row>
    <row r="900" spans="1:13" x14ac:dyDescent="0.3">
      <c r="A900">
        <v>599162</v>
      </c>
      <c r="B900">
        <v>818</v>
      </c>
      <c r="C900" s="1" t="s">
        <v>99</v>
      </c>
      <c r="D900" s="5">
        <v>45015</v>
      </c>
      <c r="E900" s="10">
        <v>36719</v>
      </c>
      <c r="F900" s="15">
        <f t="shared" si="42"/>
        <v>3</v>
      </c>
      <c r="G900" s="10" t="str">
        <f t="shared" si="43"/>
        <v>Thursday</v>
      </c>
      <c r="H900" s="9" t="str">
        <f t="shared" si="44"/>
        <v>March</v>
      </c>
      <c r="I900" t="s">
        <v>97</v>
      </c>
      <c r="J900" t="s">
        <v>41</v>
      </c>
      <c r="K900">
        <v>6921</v>
      </c>
      <c r="L900" s="5" t="str">
        <f>IF(OR(K900&lt;Answers!$C$16,Orders!K900&gt;Answers!$C$17),"Yes","No")</f>
        <v>No</v>
      </c>
      <c r="M900" s="14">
        <f>VLOOKUP(B900,Customers!$A$1:$E$2501,4,0)</f>
        <v>87</v>
      </c>
    </row>
    <row r="901" spans="1:13" x14ac:dyDescent="0.3">
      <c r="A901">
        <v>600465</v>
      </c>
      <c r="B901">
        <v>1845</v>
      </c>
      <c r="C901" s="1" t="s">
        <v>101</v>
      </c>
      <c r="D901" s="5">
        <v>44940</v>
      </c>
      <c r="E901" s="10">
        <v>6.805555555555555E-2</v>
      </c>
      <c r="F901" s="15">
        <f t="shared" si="42"/>
        <v>1</v>
      </c>
      <c r="G901" s="10" t="str">
        <f t="shared" si="43"/>
        <v>Saturday</v>
      </c>
      <c r="H901" s="9" t="str">
        <f t="shared" si="44"/>
        <v>January</v>
      </c>
      <c r="I901" t="s">
        <v>190</v>
      </c>
      <c r="J901" t="s">
        <v>42</v>
      </c>
      <c r="K901">
        <v>4278</v>
      </c>
      <c r="L901" s="5" t="str">
        <f>IF(OR(K901&lt;Answers!$C$16,Orders!K901&gt;Answers!$C$17),"Yes","No")</f>
        <v>No</v>
      </c>
      <c r="M901" s="14">
        <f>VLOOKUP(B901,Customers!$A$1:$E$2501,4,0)</f>
        <v>83</v>
      </c>
    </row>
    <row r="902" spans="1:13" x14ac:dyDescent="0.3">
      <c r="A902">
        <v>600527</v>
      </c>
      <c r="B902">
        <v>278</v>
      </c>
      <c r="C902" s="1" t="s">
        <v>98</v>
      </c>
      <c r="D902" s="5">
        <v>45164</v>
      </c>
      <c r="E902" s="10">
        <v>0.46944444444444444</v>
      </c>
      <c r="F902" s="15">
        <f t="shared" si="42"/>
        <v>8</v>
      </c>
      <c r="G902" s="10" t="str">
        <f t="shared" si="43"/>
        <v>Saturday</v>
      </c>
      <c r="H902" s="9" t="str">
        <f t="shared" si="44"/>
        <v>August</v>
      </c>
      <c r="I902" t="s">
        <v>190</v>
      </c>
      <c r="J902" t="s">
        <v>43</v>
      </c>
      <c r="K902">
        <v>8597</v>
      </c>
      <c r="L902" s="5" t="str">
        <f>IF(OR(K902&lt;Answers!$C$16,Orders!K902&gt;Answers!$C$17),"Yes","No")</f>
        <v>No</v>
      </c>
      <c r="M902" s="14">
        <f>VLOOKUP(B902,Customers!$A$1:$E$2501,4,0)</f>
        <v>26</v>
      </c>
    </row>
    <row r="903" spans="1:13" x14ac:dyDescent="0.3">
      <c r="A903">
        <v>602342</v>
      </c>
      <c r="B903">
        <v>1391</v>
      </c>
      <c r="C903" s="1" t="s">
        <v>98</v>
      </c>
      <c r="D903" s="5">
        <v>45274</v>
      </c>
      <c r="E903" s="10">
        <v>0.4909722222222222</v>
      </c>
      <c r="F903" s="15">
        <f t="shared" si="42"/>
        <v>12</v>
      </c>
      <c r="G903" s="10" t="str">
        <f t="shared" si="43"/>
        <v>Thursday</v>
      </c>
      <c r="H903" s="9" t="str">
        <f t="shared" si="44"/>
        <v>December</v>
      </c>
      <c r="I903" t="s">
        <v>96</v>
      </c>
      <c r="J903" t="s">
        <v>11</v>
      </c>
      <c r="K903">
        <v>4602</v>
      </c>
      <c r="L903" s="5" t="str">
        <f>IF(OR(K903&lt;Answers!$C$16,Orders!K903&gt;Answers!$C$17),"Yes","No")</f>
        <v>No</v>
      </c>
      <c r="M903" s="14">
        <f>VLOOKUP(B903,Customers!$A$1:$E$2501,4,0)</f>
        <v>61</v>
      </c>
    </row>
    <row r="904" spans="1:13" x14ac:dyDescent="0.3">
      <c r="A904">
        <v>602695</v>
      </c>
      <c r="B904">
        <v>773</v>
      </c>
      <c r="C904" s="1" t="s">
        <v>98</v>
      </c>
      <c r="D904" s="5">
        <v>45123</v>
      </c>
      <c r="E904" s="10">
        <v>0.49791666666666667</v>
      </c>
      <c r="F904" s="15">
        <f t="shared" si="42"/>
        <v>7</v>
      </c>
      <c r="G904" s="10" t="str">
        <f t="shared" si="43"/>
        <v>Sunday</v>
      </c>
      <c r="H904" s="9" t="str">
        <f t="shared" si="44"/>
        <v>July</v>
      </c>
      <c r="I904" t="s">
        <v>95</v>
      </c>
      <c r="J904" t="s">
        <v>13</v>
      </c>
      <c r="K904">
        <v>469</v>
      </c>
      <c r="L904" s="5" t="str">
        <f>IF(OR(K904&lt;Answers!$C$16,Orders!K904&gt;Answers!$C$17),"Yes","No")</f>
        <v>No</v>
      </c>
      <c r="M904" s="14">
        <f>VLOOKUP(B904,Customers!$A$1:$E$2501,4,0)</f>
        <v>77</v>
      </c>
    </row>
    <row r="905" spans="1:13" x14ac:dyDescent="0.3">
      <c r="A905">
        <v>602700</v>
      </c>
      <c r="B905">
        <v>214</v>
      </c>
      <c r="C905" s="1" t="s">
        <v>98</v>
      </c>
      <c r="D905" s="5">
        <v>45115</v>
      </c>
      <c r="E905" s="10">
        <v>36679</v>
      </c>
      <c r="F905" s="15">
        <f t="shared" si="42"/>
        <v>7</v>
      </c>
      <c r="G905" s="10" t="str">
        <f t="shared" si="43"/>
        <v>Saturday</v>
      </c>
      <c r="H905" s="9" t="str">
        <f t="shared" si="44"/>
        <v>July</v>
      </c>
      <c r="I905" t="s">
        <v>95</v>
      </c>
      <c r="J905" t="s">
        <v>42</v>
      </c>
      <c r="K905">
        <v>8209</v>
      </c>
      <c r="L905" s="5" t="str">
        <f>IF(OR(K905&lt;Answers!$C$16,Orders!K905&gt;Answers!$C$17),"Yes","No")</f>
        <v>No</v>
      </c>
      <c r="M905" s="14">
        <f>VLOOKUP(B905,Customers!$A$1:$E$2501,4,0)</f>
        <v>18</v>
      </c>
    </row>
    <row r="906" spans="1:13" x14ac:dyDescent="0.3">
      <c r="A906">
        <v>603758</v>
      </c>
      <c r="B906">
        <v>1940</v>
      </c>
      <c r="C906" s="1" t="s">
        <v>104</v>
      </c>
      <c r="D906" s="5">
        <v>45057</v>
      </c>
      <c r="E906" s="10">
        <v>8.1250000000000003E-2</v>
      </c>
      <c r="F906" s="15">
        <f t="shared" si="42"/>
        <v>5</v>
      </c>
      <c r="G906" s="10" t="str">
        <f t="shared" si="43"/>
        <v>Thursday</v>
      </c>
      <c r="H906" s="9" t="str">
        <f t="shared" si="44"/>
        <v>May</v>
      </c>
      <c r="I906" t="s">
        <v>95</v>
      </c>
      <c r="J906" t="s">
        <v>44</v>
      </c>
      <c r="K906">
        <v>6181</v>
      </c>
      <c r="L906" s="5" t="str">
        <f>IF(OR(K906&lt;Answers!$C$16,Orders!K906&gt;Answers!$C$17),"Yes","No")</f>
        <v>No</v>
      </c>
      <c r="M906" s="14">
        <f>VLOOKUP(B906,Customers!$A$1:$E$2501,4,0)</f>
        <v>46</v>
      </c>
    </row>
    <row r="907" spans="1:13" x14ac:dyDescent="0.3">
      <c r="A907">
        <v>603855</v>
      </c>
      <c r="B907">
        <v>1895</v>
      </c>
      <c r="C907" s="1" t="s">
        <v>99</v>
      </c>
      <c r="D907" s="5">
        <v>45125</v>
      </c>
      <c r="E907" s="10">
        <v>0.44374999999999998</v>
      </c>
      <c r="F907" s="15">
        <f t="shared" si="42"/>
        <v>7</v>
      </c>
      <c r="G907" s="10" t="str">
        <f t="shared" si="43"/>
        <v>Tuesday</v>
      </c>
      <c r="H907" s="9" t="str">
        <f t="shared" si="44"/>
        <v>July</v>
      </c>
      <c r="I907" t="s">
        <v>97</v>
      </c>
      <c r="J907" t="s">
        <v>7</v>
      </c>
      <c r="K907">
        <v>4237</v>
      </c>
      <c r="L907" s="5" t="str">
        <f>IF(OR(K907&lt;Answers!$C$16,Orders!K907&gt;Answers!$C$17),"Yes","No")</f>
        <v>No</v>
      </c>
      <c r="M907" s="14">
        <f>VLOOKUP(B907,Customers!$A$1:$E$2501,4,0)</f>
        <v>60</v>
      </c>
    </row>
    <row r="908" spans="1:13" x14ac:dyDescent="0.3">
      <c r="A908">
        <v>603880</v>
      </c>
      <c r="B908">
        <v>1516</v>
      </c>
      <c r="C908" s="1" t="s">
        <v>102</v>
      </c>
      <c r="D908" s="5">
        <v>44962</v>
      </c>
      <c r="E908" s="10">
        <v>6.7361111111111108E-2</v>
      </c>
      <c r="F908" s="15">
        <f t="shared" si="42"/>
        <v>2</v>
      </c>
      <c r="G908" s="10" t="str">
        <f t="shared" si="43"/>
        <v>Sunday</v>
      </c>
      <c r="H908" s="9" t="str">
        <f t="shared" si="44"/>
        <v>February</v>
      </c>
      <c r="I908" t="s">
        <v>97</v>
      </c>
      <c r="J908" t="s">
        <v>45</v>
      </c>
      <c r="K908">
        <v>4019</v>
      </c>
      <c r="L908" s="5" t="str">
        <f>IF(OR(K908&lt;Answers!$C$16,Orders!K908&gt;Answers!$C$17),"Yes","No")</f>
        <v>No</v>
      </c>
      <c r="M908" s="14">
        <f>VLOOKUP(B908,Customers!$A$1:$E$2501,4,0)</f>
        <v>25</v>
      </c>
    </row>
    <row r="909" spans="1:13" x14ac:dyDescent="0.3">
      <c r="A909">
        <v>604405</v>
      </c>
      <c r="B909">
        <v>36</v>
      </c>
      <c r="C909" s="1" t="s">
        <v>98</v>
      </c>
      <c r="D909" s="5">
        <v>45238</v>
      </c>
      <c r="E909" s="10">
        <v>0.53680555555555554</v>
      </c>
      <c r="F909" s="15">
        <f t="shared" si="42"/>
        <v>11</v>
      </c>
      <c r="G909" s="10" t="str">
        <f t="shared" si="43"/>
        <v>Wednesday</v>
      </c>
      <c r="H909" s="9" t="str">
        <f t="shared" si="44"/>
        <v>November</v>
      </c>
      <c r="I909" t="s">
        <v>97</v>
      </c>
      <c r="J909" t="s">
        <v>59</v>
      </c>
      <c r="K909">
        <v>6944</v>
      </c>
      <c r="L909" s="5" t="str">
        <f>IF(OR(K909&lt;Answers!$C$16,Orders!K909&gt;Answers!$C$17),"Yes","No")</f>
        <v>No</v>
      </c>
      <c r="M909" s="14">
        <f>VLOOKUP(B909,Customers!$A$1:$E$2501,4,0)</f>
        <v>63</v>
      </c>
    </row>
    <row r="910" spans="1:13" x14ac:dyDescent="0.3">
      <c r="A910">
        <v>604805</v>
      </c>
      <c r="B910">
        <v>246</v>
      </c>
      <c r="C910" s="1" t="s">
        <v>99</v>
      </c>
      <c r="D910" s="5">
        <v>45150</v>
      </c>
      <c r="E910" s="10">
        <v>7.1527777777777773E-2</v>
      </c>
      <c r="F910" s="15">
        <f t="shared" si="42"/>
        <v>8</v>
      </c>
      <c r="G910" s="10" t="str">
        <f t="shared" si="43"/>
        <v>Saturday</v>
      </c>
      <c r="H910" s="9" t="str">
        <f t="shared" si="44"/>
        <v>August</v>
      </c>
      <c r="I910" t="s">
        <v>95</v>
      </c>
      <c r="J910" t="s">
        <v>20</v>
      </c>
      <c r="K910">
        <v>4349</v>
      </c>
      <c r="L910" s="5" t="str">
        <f>IF(OR(K910&lt;Answers!$C$16,Orders!K910&gt;Answers!$C$17),"Yes","No")</f>
        <v>No</v>
      </c>
      <c r="M910" s="14">
        <f>VLOOKUP(B910,Customers!$A$1:$E$2501,4,0)</f>
        <v>67</v>
      </c>
    </row>
    <row r="911" spans="1:13" x14ac:dyDescent="0.3">
      <c r="A911">
        <v>606775</v>
      </c>
      <c r="B911">
        <v>834</v>
      </c>
      <c r="C911" s="1" t="s">
        <v>101</v>
      </c>
      <c r="D911" s="5">
        <v>44982</v>
      </c>
      <c r="E911" s="10">
        <v>0.49444444444444446</v>
      </c>
      <c r="F911" s="15">
        <f t="shared" si="42"/>
        <v>2</v>
      </c>
      <c r="G911" s="10" t="str">
        <f t="shared" si="43"/>
        <v>Saturday</v>
      </c>
      <c r="H911" s="9" t="str">
        <f t="shared" si="44"/>
        <v>February</v>
      </c>
      <c r="I911" t="s">
        <v>95</v>
      </c>
      <c r="J911" t="s">
        <v>11</v>
      </c>
      <c r="K911">
        <v>7873</v>
      </c>
      <c r="L911" s="5" t="str">
        <f>IF(OR(K911&lt;Answers!$C$16,Orders!K911&gt;Answers!$C$17),"Yes","No")</f>
        <v>No</v>
      </c>
      <c r="M911" s="14">
        <f>VLOOKUP(B911,Customers!$A$1:$E$2501,4,0)</f>
        <v>76</v>
      </c>
    </row>
    <row r="912" spans="1:13" x14ac:dyDescent="0.3">
      <c r="A912">
        <v>607197</v>
      </c>
      <c r="B912">
        <v>330</v>
      </c>
      <c r="C912" s="1" t="s">
        <v>112</v>
      </c>
      <c r="D912" s="5">
        <v>45278</v>
      </c>
      <c r="E912" s="10">
        <v>0.47638888888888886</v>
      </c>
      <c r="F912" s="15">
        <f t="shared" si="42"/>
        <v>12</v>
      </c>
      <c r="G912" s="10" t="str">
        <f t="shared" si="43"/>
        <v>Monday</v>
      </c>
      <c r="H912" s="9" t="str">
        <f t="shared" si="44"/>
        <v>December</v>
      </c>
      <c r="I912" t="s">
        <v>97</v>
      </c>
      <c r="J912" t="s">
        <v>28</v>
      </c>
      <c r="K912">
        <v>793</v>
      </c>
      <c r="L912" s="5" t="str">
        <f>IF(OR(K912&lt;Answers!$C$16,Orders!K912&gt;Answers!$C$17),"Yes","No")</f>
        <v>No</v>
      </c>
      <c r="M912" s="14">
        <f>VLOOKUP(B912,Customers!$A$1:$E$2501,4,0)</f>
        <v>43</v>
      </c>
    </row>
    <row r="913" spans="1:13" x14ac:dyDescent="0.3">
      <c r="A913">
        <v>608204</v>
      </c>
      <c r="B913">
        <v>1791</v>
      </c>
      <c r="C913" s="1" t="s">
        <v>98</v>
      </c>
      <c r="D913" s="5">
        <v>45158</v>
      </c>
      <c r="E913" s="10">
        <v>36526</v>
      </c>
      <c r="F913" s="15">
        <f t="shared" si="42"/>
        <v>8</v>
      </c>
      <c r="G913" s="10" t="str">
        <f t="shared" si="43"/>
        <v>Sunday</v>
      </c>
      <c r="H913" s="9" t="str">
        <f t="shared" si="44"/>
        <v>August</v>
      </c>
      <c r="I913" t="s">
        <v>96</v>
      </c>
      <c r="J913" t="s">
        <v>23</v>
      </c>
      <c r="K913">
        <v>1936</v>
      </c>
      <c r="L913" s="5" t="str">
        <f>IF(OR(K913&lt;Answers!$C$16,Orders!K913&gt;Answers!$C$17),"Yes","No")</f>
        <v>No</v>
      </c>
      <c r="M913" s="14">
        <f>VLOOKUP(B913,Customers!$A$1:$E$2501,4,0)</f>
        <v>33</v>
      </c>
    </row>
    <row r="914" spans="1:13" x14ac:dyDescent="0.3">
      <c r="A914">
        <v>608296</v>
      </c>
      <c r="B914">
        <v>1745</v>
      </c>
      <c r="C914" s="1" t="s">
        <v>98</v>
      </c>
      <c r="D914" s="5">
        <v>45044</v>
      </c>
      <c r="E914" s="10">
        <v>36800</v>
      </c>
      <c r="F914" s="15">
        <f t="shared" si="42"/>
        <v>4</v>
      </c>
      <c r="G914" s="10" t="str">
        <f t="shared" si="43"/>
        <v>Friday</v>
      </c>
      <c r="H914" s="9" t="str">
        <f t="shared" si="44"/>
        <v>April</v>
      </c>
      <c r="I914" t="s">
        <v>96</v>
      </c>
      <c r="J914" t="s">
        <v>29</v>
      </c>
      <c r="K914">
        <v>9769</v>
      </c>
      <c r="L914" s="5" t="str">
        <f>IF(OR(K914&lt;Answers!$C$16,Orders!K914&gt;Answers!$C$17),"Yes","No")</f>
        <v>No</v>
      </c>
      <c r="M914" s="14">
        <f>VLOOKUP(B914,Customers!$A$1:$E$2501,4,0)</f>
        <v>54</v>
      </c>
    </row>
    <row r="915" spans="1:13" x14ac:dyDescent="0.3">
      <c r="A915">
        <v>609243</v>
      </c>
      <c r="B915">
        <v>1400</v>
      </c>
      <c r="C915" s="1" t="s">
        <v>98</v>
      </c>
      <c r="D915" s="5">
        <v>45183</v>
      </c>
      <c r="E915" s="10">
        <v>0.52569444444444446</v>
      </c>
      <c r="F915" s="15">
        <f t="shared" si="42"/>
        <v>9</v>
      </c>
      <c r="G915" s="10" t="str">
        <f t="shared" si="43"/>
        <v>Thursday</v>
      </c>
      <c r="H915" s="9" t="str">
        <f t="shared" si="44"/>
        <v>September</v>
      </c>
      <c r="I915" t="s">
        <v>96</v>
      </c>
      <c r="J915" t="s">
        <v>30</v>
      </c>
      <c r="K915">
        <v>7072</v>
      </c>
      <c r="L915" s="5" t="str">
        <f>IF(OR(K915&lt;Answers!$C$16,Orders!K915&gt;Answers!$C$17),"Yes","No")</f>
        <v>No</v>
      </c>
      <c r="M915" s="14">
        <f>VLOOKUP(B915,Customers!$A$1:$E$2501,4,0)</f>
        <v>34</v>
      </c>
    </row>
    <row r="916" spans="1:13" x14ac:dyDescent="0.3">
      <c r="A916">
        <v>609375</v>
      </c>
      <c r="B916">
        <v>612</v>
      </c>
      <c r="C916" s="1" t="s">
        <v>200</v>
      </c>
      <c r="D916" s="5">
        <v>45042</v>
      </c>
      <c r="E916" s="10">
        <v>36842</v>
      </c>
      <c r="F916" s="15">
        <f t="shared" si="42"/>
        <v>4</v>
      </c>
      <c r="G916" s="10" t="str">
        <f t="shared" si="43"/>
        <v>Wednesday</v>
      </c>
      <c r="H916" s="9" t="str">
        <f t="shared" si="44"/>
        <v>April</v>
      </c>
      <c r="I916" t="s">
        <v>95</v>
      </c>
      <c r="J916" t="s">
        <v>89</v>
      </c>
      <c r="K916">
        <v>9567</v>
      </c>
      <c r="L916" s="5" t="str">
        <f>IF(OR(K916&lt;Answers!$C$16,Orders!K916&gt;Answers!$C$17),"Yes","No")</f>
        <v>No</v>
      </c>
      <c r="M916" s="14">
        <f>VLOOKUP(B916,Customers!$A$1:$E$2501,4,0)</f>
        <v>18</v>
      </c>
    </row>
    <row r="917" spans="1:13" x14ac:dyDescent="0.3">
      <c r="A917">
        <v>609984</v>
      </c>
      <c r="B917">
        <v>1488</v>
      </c>
      <c r="C917" s="1" t="s">
        <v>98</v>
      </c>
      <c r="D917" s="5">
        <v>45049</v>
      </c>
      <c r="E917" s="10">
        <v>36770</v>
      </c>
      <c r="F917" s="15">
        <f t="shared" si="42"/>
        <v>5</v>
      </c>
      <c r="G917" s="10" t="str">
        <f t="shared" si="43"/>
        <v>Wednesday</v>
      </c>
      <c r="H917" s="9" t="str">
        <f t="shared" si="44"/>
        <v>May</v>
      </c>
      <c r="I917" t="s">
        <v>95</v>
      </c>
      <c r="J917" t="s">
        <v>32</v>
      </c>
      <c r="K917">
        <v>4417</v>
      </c>
      <c r="L917" s="5" t="str">
        <f>IF(OR(K917&lt;Answers!$C$16,Orders!K917&gt;Answers!$C$17),"Yes","No")</f>
        <v>No</v>
      </c>
      <c r="M917" s="14">
        <f>VLOOKUP(B917,Customers!$A$1:$E$2501,4,0)</f>
        <v>35</v>
      </c>
    </row>
    <row r="918" spans="1:13" x14ac:dyDescent="0.3">
      <c r="A918">
        <v>610023</v>
      </c>
      <c r="B918">
        <v>789</v>
      </c>
      <c r="C918" s="1" t="s">
        <v>99</v>
      </c>
      <c r="D918" s="5">
        <v>45074</v>
      </c>
      <c r="E918" s="10">
        <v>5.1388888888888887E-2</v>
      </c>
      <c r="F918" s="15">
        <f t="shared" si="42"/>
        <v>5</v>
      </c>
      <c r="G918" s="10" t="str">
        <f t="shared" si="43"/>
        <v>Sunday</v>
      </c>
      <c r="H918" s="9" t="str">
        <f t="shared" si="44"/>
        <v>May</v>
      </c>
      <c r="I918" t="s">
        <v>190</v>
      </c>
      <c r="J918" t="s">
        <v>90</v>
      </c>
      <c r="K918">
        <v>620</v>
      </c>
      <c r="L918" s="5" t="str">
        <f>IF(OR(K918&lt;Answers!$C$16,Orders!K918&gt;Answers!$C$17),"Yes","No")</f>
        <v>No</v>
      </c>
      <c r="M918" s="14">
        <f>VLOOKUP(B918,Customers!$A$1:$E$2501,4,0)</f>
        <v>62</v>
      </c>
    </row>
    <row r="919" spans="1:13" x14ac:dyDescent="0.3">
      <c r="A919">
        <v>610367</v>
      </c>
      <c r="B919">
        <v>1096</v>
      </c>
      <c r="C919" s="1" t="s">
        <v>104</v>
      </c>
      <c r="D919" s="5">
        <v>44936</v>
      </c>
      <c r="E919" s="10">
        <v>36537</v>
      </c>
      <c r="F919" s="15">
        <f t="shared" si="42"/>
        <v>1</v>
      </c>
      <c r="G919" s="10" t="str">
        <f t="shared" si="43"/>
        <v>Tuesday</v>
      </c>
      <c r="H919" s="9" t="str">
        <f t="shared" si="44"/>
        <v>January</v>
      </c>
      <c r="I919" t="s">
        <v>96</v>
      </c>
      <c r="J919" t="s">
        <v>34</v>
      </c>
      <c r="K919">
        <v>5230</v>
      </c>
      <c r="L919" s="5" t="str">
        <f>IF(OR(K919&lt;Answers!$C$16,Orders!K919&gt;Answers!$C$17),"Yes","No")</f>
        <v>No</v>
      </c>
      <c r="M919" s="14">
        <f>VLOOKUP(B919,Customers!$A$1:$E$2501,4,0)</f>
        <v>87</v>
      </c>
    </row>
    <row r="920" spans="1:13" x14ac:dyDescent="0.3">
      <c r="A920">
        <v>611265</v>
      </c>
      <c r="B920">
        <v>396</v>
      </c>
      <c r="C920" s="1" t="s">
        <v>104</v>
      </c>
      <c r="D920" s="5">
        <v>45211</v>
      </c>
      <c r="E920" s="10">
        <v>36689</v>
      </c>
      <c r="F920" s="15">
        <f t="shared" si="42"/>
        <v>10</v>
      </c>
      <c r="G920" s="10" t="str">
        <f t="shared" si="43"/>
        <v>Thursday</v>
      </c>
      <c r="H920" s="9" t="str">
        <f t="shared" si="44"/>
        <v>October</v>
      </c>
      <c r="I920" t="s">
        <v>95</v>
      </c>
      <c r="J920" t="s">
        <v>35</v>
      </c>
      <c r="K920">
        <v>1305</v>
      </c>
      <c r="L920" s="5" t="str">
        <f>IF(OR(K920&lt;Answers!$C$16,Orders!K920&gt;Answers!$C$17),"Yes","No")</f>
        <v>No</v>
      </c>
      <c r="M920" s="14">
        <f>VLOOKUP(B920,Customers!$A$1:$E$2501,4,0)</f>
        <v>53</v>
      </c>
    </row>
    <row r="921" spans="1:13" x14ac:dyDescent="0.3">
      <c r="A921">
        <v>611594</v>
      </c>
      <c r="B921">
        <v>827</v>
      </c>
      <c r="C921" s="1" t="s">
        <v>105</v>
      </c>
      <c r="D921" s="5">
        <v>44933</v>
      </c>
      <c r="E921" s="10">
        <v>36689</v>
      </c>
      <c r="F921" s="15">
        <f t="shared" si="42"/>
        <v>1</v>
      </c>
      <c r="G921" s="10" t="str">
        <f t="shared" si="43"/>
        <v>Saturday</v>
      </c>
      <c r="H921" s="9" t="str">
        <f t="shared" si="44"/>
        <v>January</v>
      </c>
      <c r="I921" t="s">
        <v>97</v>
      </c>
      <c r="J921" t="s">
        <v>36</v>
      </c>
      <c r="K921">
        <v>4635</v>
      </c>
      <c r="L921" s="5" t="str">
        <f>IF(OR(K921&lt;Answers!$C$16,Orders!K921&gt;Answers!$C$17),"Yes","No")</f>
        <v>No</v>
      </c>
      <c r="M921" s="14">
        <f>VLOOKUP(B921,Customers!$A$1:$E$2501,4,0)</f>
        <v>40</v>
      </c>
    </row>
    <row r="922" spans="1:13" x14ac:dyDescent="0.3">
      <c r="A922">
        <v>611621</v>
      </c>
      <c r="B922">
        <v>1357</v>
      </c>
      <c r="C922" s="1" t="s">
        <v>110</v>
      </c>
      <c r="D922" s="5">
        <v>45077</v>
      </c>
      <c r="E922" s="10">
        <v>36658</v>
      </c>
      <c r="F922" s="15">
        <f t="shared" si="42"/>
        <v>5</v>
      </c>
      <c r="G922" s="10" t="str">
        <f t="shared" si="43"/>
        <v>Wednesday</v>
      </c>
      <c r="H922" s="9" t="str">
        <f t="shared" si="44"/>
        <v>May</v>
      </c>
      <c r="I922" t="s">
        <v>97</v>
      </c>
      <c r="J922" t="s">
        <v>26</v>
      </c>
      <c r="K922">
        <v>9926</v>
      </c>
      <c r="L922" s="5" t="str">
        <f>IF(OR(K922&lt;Answers!$C$16,Orders!K922&gt;Answers!$C$17),"Yes","No")</f>
        <v>No</v>
      </c>
      <c r="M922" s="14">
        <f>VLOOKUP(B922,Customers!$A$1:$E$2501,4,0)</f>
        <v>43</v>
      </c>
    </row>
    <row r="923" spans="1:13" x14ac:dyDescent="0.3">
      <c r="A923">
        <v>611767</v>
      </c>
      <c r="B923">
        <v>917</v>
      </c>
      <c r="C923" s="1" t="s">
        <v>102</v>
      </c>
      <c r="D923" s="5">
        <v>45044</v>
      </c>
      <c r="E923" s="10">
        <v>0.49930555555555556</v>
      </c>
      <c r="F923" s="15">
        <f t="shared" si="42"/>
        <v>4</v>
      </c>
      <c r="G923" s="10" t="str">
        <f t="shared" si="43"/>
        <v>Friday</v>
      </c>
      <c r="H923" s="9" t="str">
        <f t="shared" si="44"/>
        <v>April</v>
      </c>
      <c r="I923" t="s">
        <v>96</v>
      </c>
      <c r="J923" t="s">
        <v>64</v>
      </c>
      <c r="K923">
        <v>1716</v>
      </c>
      <c r="L923" s="5" t="str">
        <f>IF(OR(K923&lt;Answers!$C$16,Orders!K923&gt;Answers!$C$17),"Yes","No")</f>
        <v>No</v>
      </c>
      <c r="M923" s="14">
        <f>VLOOKUP(B923,Customers!$A$1:$E$2501,4,0)</f>
        <v>41</v>
      </c>
    </row>
    <row r="924" spans="1:13" x14ac:dyDescent="0.3">
      <c r="A924">
        <v>611976</v>
      </c>
      <c r="B924">
        <v>1269</v>
      </c>
      <c r="C924" s="1" t="s">
        <v>109</v>
      </c>
      <c r="D924" s="5">
        <v>45241</v>
      </c>
      <c r="E924" s="10">
        <v>0.46805555555555556</v>
      </c>
      <c r="F924" s="15">
        <f t="shared" si="42"/>
        <v>11</v>
      </c>
      <c r="G924" s="10" t="str">
        <f t="shared" si="43"/>
        <v>Saturday</v>
      </c>
      <c r="H924" s="9" t="str">
        <f t="shared" si="44"/>
        <v>November</v>
      </c>
      <c r="I924" t="s">
        <v>190</v>
      </c>
      <c r="J924" t="s">
        <v>22</v>
      </c>
      <c r="K924">
        <v>3073</v>
      </c>
      <c r="L924" s="5" t="str">
        <f>IF(OR(K924&lt;Answers!$C$16,Orders!K924&gt;Answers!$C$17),"Yes","No")</f>
        <v>No</v>
      </c>
      <c r="M924" s="14">
        <f>VLOOKUP(B924,Customers!$A$1:$E$2501,4,0)</f>
        <v>48</v>
      </c>
    </row>
    <row r="925" spans="1:13" x14ac:dyDescent="0.3">
      <c r="A925">
        <v>612088</v>
      </c>
      <c r="B925">
        <v>1411</v>
      </c>
      <c r="C925" s="1" t="s">
        <v>104</v>
      </c>
      <c r="D925" s="5">
        <v>45209</v>
      </c>
      <c r="E925" s="10">
        <v>7.013888888888889E-2</v>
      </c>
      <c r="F925" s="15">
        <f t="shared" si="42"/>
        <v>10</v>
      </c>
      <c r="G925" s="10" t="str">
        <f t="shared" si="43"/>
        <v>Tuesday</v>
      </c>
      <c r="H925" s="9" t="str">
        <f t="shared" si="44"/>
        <v>October</v>
      </c>
      <c r="I925" t="s">
        <v>190</v>
      </c>
      <c r="J925" t="s">
        <v>39</v>
      </c>
      <c r="K925">
        <v>2946</v>
      </c>
      <c r="L925" s="5" t="str">
        <f>IF(OR(K925&lt;Answers!$C$16,Orders!K925&gt;Answers!$C$17),"Yes","No")</f>
        <v>No</v>
      </c>
      <c r="M925" s="14">
        <f>VLOOKUP(B925,Customers!$A$1:$E$2501,4,0)</f>
        <v>52</v>
      </c>
    </row>
    <row r="926" spans="1:13" x14ac:dyDescent="0.3">
      <c r="A926">
        <v>613070</v>
      </c>
      <c r="B926">
        <v>1755</v>
      </c>
      <c r="C926" s="1" t="s">
        <v>104</v>
      </c>
      <c r="D926" s="5">
        <v>45251</v>
      </c>
      <c r="E926" s="10">
        <v>36597</v>
      </c>
      <c r="F926" s="15">
        <f t="shared" si="42"/>
        <v>11</v>
      </c>
      <c r="G926" s="10" t="str">
        <f t="shared" si="43"/>
        <v>Tuesday</v>
      </c>
      <c r="H926" s="9" t="str">
        <f t="shared" si="44"/>
        <v>November</v>
      </c>
      <c r="I926" t="s">
        <v>96</v>
      </c>
      <c r="J926" t="s">
        <v>40</v>
      </c>
      <c r="K926">
        <v>895</v>
      </c>
      <c r="L926" s="5" t="str">
        <f>IF(OR(K926&lt;Answers!$C$16,Orders!K926&gt;Answers!$C$17),"Yes","No")</f>
        <v>No</v>
      </c>
      <c r="M926" s="14">
        <f>VLOOKUP(B926,Customers!$A$1:$E$2501,4,0)</f>
        <v>66</v>
      </c>
    </row>
    <row r="927" spans="1:13" x14ac:dyDescent="0.3">
      <c r="A927">
        <v>614468</v>
      </c>
      <c r="B927">
        <v>801</v>
      </c>
      <c r="C927" s="1" t="s">
        <v>99</v>
      </c>
      <c r="D927" s="5">
        <v>45185</v>
      </c>
      <c r="E927" s="10">
        <v>36617</v>
      </c>
      <c r="F927" s="15">
        <f t="shared" si="42"/>
        <v>9</v>
      </c>
      <c r="G927" s="10" t="str">
        <f t="shared" si="43"/>
        <v>Saturday</v>
      </c>
      <c r="H927" s="9" t="str">
        <f t="shared" si="44"/>
        <v>September</v>
      </c>
      <c r="I927" t="s">
        <v>97</v>
      </c>
      <c r="J927" t="s">
        <v>41</v>
      </c>
      <c r="K927">
        <v>1451</v>
      </c>
      <c r="L927" s="5" t="str">
        <f>IF(OR(K927&lt;Answers!$C$16,Orders!K927&gt;Answers!$C$17),"Yes","No")</f>
        <v>No</v>
      </c>
      <c r="M927" s="14">
        <f>VLOOKUP(B927,Customers!$A$1:$E$2501,4,0)</f>
        <v>77</v>
      </c>
    </row>
    <row r="928" spans="1:13" x14ac:dyDescent="0.3">
      <c r="A928">
        <v>615484</v>
      </c>
      <c r="B928">
        <v>1044</v>
      </c>
      <c r="C928" s="1" t="s">
        <v>112</v>
      </c>
      <c r="D928" s="5">
        <v>45043</v>
      </c>
      <c r="E928" s="10">
        <v>0.49583333333333335</v>
      </c>
      <c r="F928" s="15">
        <f t="shared" si="42"/>
        <v>4</v>
      </c>
      <c r="G928" s="10" t="str">
        <f t="shared" si="43"/>
        <v>Thursday</v>
      </c>
      <c r="H928" s="9" t="str">
        <f t="shared" si="44"/>
        <v>April</v>
      </c>
      <c r="I928" t="s">
        <v>96</v>
      </c>
      <c r="J928" t="s">
        <v>42</v>
      </c>
      <c r="K928">
        <v>8774</v>
      </c>
      <c r="L928" s="5" t="str">
        <f>IF(OR(K928&lt;Answers!$C$16,Orders!K928&gt;Answers!$C$17),"Yes","No")</f>
        <v>No</v>
      </c>
      <c r="M928" s="14">
        <f>VLOOKUP(B928,Customers!$A$1:$E$2501,4,0)</f>
        <v>26</v>
      </c>
    </row>
    <row r="929" spans="1:13" x14ac:dyDescent="0.3">
      <c r="A929">
        <v>615675</v>
      </c>
      <c r="B929">
        <v>1502</v>
      </c>
      <c r="C929" s="1" t="s">
        <v>104</v>
      </c>
      <c r="D929" s="5">
        <v>45059</v>
      </c>
      <c r="E929" s="10">
        <v>0.5180555555555556</v>
      </c>
      <c r="F929" s="15">
        <f t="shared" si="42"/>
        <v>5</v>
      </c>
      <c r="G929" s="10" t="str">
        <f t="shared" si="43"/>
        <v>Saturday</v>
      </c>
      <c r="H929" s="9" t="str">
        <f t="shared" si="44"/>
        <v>May</v>
      </c>
      <c r="I929" t="s">
        <v>190</v>
      </c>
      <c r="J929" t="s">
        <v>43</v>
      </c>
      <c r="K929">
        <v>3875</v>
      </c>
      <c r="L929" s="5" t="str">
        <f>IF(OR(K929&lt;Answers!$C$16,Orders!K929&gt;Answers!$C$17),"Yes","No")</f>
        <v>No</v>
      </c>
      <c r="M929" s="14">
        <f>VLOOKUP(B929,Customers!$A$1:$E$2501,4,0)</f>
        <v>33</v>
      </c>
    </row>
    <row r="930" spans="1:13" x14ac:dyDescent="0.3">
      <c r="A930">
        <v>617035</v>
      </c>
      <c r="B930">
        <v>704</v>
      </c>
      <c r="C930" s="1" t="s">
        <v>98</v>
      </c>
      <c r="D930" s="5">
        <v>45115</v>
      </c>
      <c r="E930" s="10">
        <v>0.47569444444444442</v>
      </c>
      <c r="F930" s="15">
        <f t="shared" si="42"/>
        <v>7</v>
      </c>
      <c r="G930" s="10" t="str">
        <f t="shared" si="43"/>
        <v>Saturday</v>
      </c>
      <c r="H930" s="9" t="str">
        <f t="shared" si="44"/>
        <v>July</v>
      </c>
      <c r="I930" t="s">
        <v>96</v>
      </c>
      <c r="J930" t="s">
        <v>80</v>
      </c>
      <c r="K930">
        <v>777</v>
      </c>
      <c r="L930" s="5" t="str">
        <f>IF(OR(K930&lt;Answers!$C$16,Orders!K930&gt;Answers!$C$17),"Yes","No")</f>
        <v>No</v>
      </c>
      <c r="M930" s="14">
        <f>VLOOKUP(B930,Customers!$A$1:$E$2501,4,0)</f>
        <v>76</v>
      </c>
    </row>
    <row r="931" spans="1:13" x14ac:dyDescent="0.3">
      <c r="A931">
        <v>618196</v>
      </c>
      <c r="B931">
        <v>780</v>
      </c>
      <c r="C931" s="1" t="s">
        <v>112</v>
      </c>
      <c r="D931" s="5">
        <v>45250</v>
      </c>
      <c r="E931" s="10">
        <v>6.5972222222222224E-2</v>
      </c>
      <c r="F931" s="15">
        <f t="shared" si="42"/>
        <v>11</v>
      </c>
      <c r="G931" s="10" t="str">
        <f t="shared" si="43"/>
        <v>Monday</v>
      </c>
      <c r="H931" s="9" t="str">
        <f t="shared" si="44"/>
        <v>November</v>
      </c>
      <c r="I931" t="s">
        <v>190</v>
      </c>
      <c r="J931" t="s">
        <v>13</v>
      </c>
      <c r="K931">
        <v>9962</v>
      </c>
      <c r="L931" s="5" t="str">
        <f>IF(OR(K931&lt;Answers!$C$16,Orders!K931&gt;Answers!$C$17),"Yes","No")</f>
        <v>No</v>
      </c>
      <c r="M931" s="14">
        <f>VLOOKUP(B931,Customers!$A$1:$E$2501,4,0)</f>
        <v>43</v>
      </c>
    </row>
    <row r="932" spans="1:13" x14ac:dyDescent="0.3">
      <c r="A932">
        <v>618986</v>
      </c>
      <c r="B932">
        <v>1458</v>
      </c>
      <c r="C932" s="1" t="s">
        <v>99</v>
      </c>
      <c r="D932" s="5">
        <v>45229</v>
      </c>
      <c r="E932" s="10">
        <v>0.53680555555555554</v>
      </c>
      <c r="F932" s="15">
        <f t="shared" si="42"/>
        <v>10</v>
      </c>
      <c r="G932" s="10" t="str">
        <f t="shared" si="43"/>
        <v>Monday</v>
      </c>
      <c r="H932" s="9" t="str">
        <f t="shared" si="44"/>
        <v>October</v>
      </c>
      <c r="I932" t="s">
        <v>97</v>
      </c>
      <c r="J932" t="s">
        <v>42</v>
      </c>
      <c r="K932">
        <v>3216</v>
      </c>
      <c r="L932" s="5" t="str">
        <f>IF(OR(K932&lt;Answers!$C$16,Orders!K932&gt;Answers!$C$17),"Yes","No")</f>
        <v>No</v>
      </c>
      <c r="M932" s="14">
        <f>VLOOKUP(B932,Customers!$A$1:$E$2501,4,0)</f>
        <v>67</v>
      </c>
    </row>
    <row r="933" spans="1:13" x14ac:dyDescent="0.3">
      <c r="A933">
        <v>619879</v>
      </c>
      <c r="B933">
        <v>446</v>
      </c>
      <c r="C933" s="1" t="s">
        <v>98</v>
      </c>
      <c r="D933" s="5">
        <v>44937</v>
      </c>
      <c r="E933" s="10">
        <v>5.6944444444444443E-2</v>
      </c>
      <c r="F933" s="15">
        <f t="shared" si="42"/>
        <v>1</v>
      </c>
      <c r="G933" s="10" t="str">
        <f t="shared" si="43"/>
        <v>Wednesday</v>
      </c>
      <c r="H933" s="9" t="str">
        <f t="shared" si="44"/>
        <v>January</v>
      </c>
      <c r="I933" t="s">
        <v>95</v>
      </c>
      <c r="J933" t="s">
        <v>44</v>
      </c>
      <c r="K933">
        <v>2645</v>
      </c>
      <c r="L933" s="5" t="str">
        <f>IF(OR(K933&lt;Answers!$C$16,Orders!K933&gt;Answers!$C$17),"Yes","No")</f>
        <v>No</v>
      </c>
      <c r="M933" s="14">
        <f>VLOOKUP(B933,Customers!$A$1:$E$2501,4,0)</f>
        <v>67</v>
      </c>
    </row>
    <row r="934" spans="1:13" x14ac:dyDescent="0.3">
      <c r="A934">
        <v>619949</v>
      </c>
      <c r="B934">
        <v>1002</v>
      </c>
      <c r="C934" s="1" t="s">
        <v>112</v>
      </c>
      <c r="D934" s="5">
        <v>45001</v>
      </c>
      <c r="E934" s="10">
        <v>5.1388888888888887E-2</v>
      </c>
      <c r="F934" s="15">
        <f t="shared" si="42"/>
        <v>3</v>
      </c>
      <c r="G934" s="10" t="str">
        <f t="shared" si="43"/>
        <v>Thursday</v>
      </c>
      <c r="H934" s="9" t="str">
        <f t="shared" si="44"/>
        <v>March</v>
      </c>
      <c r="I934" t="s">
        <v>96</v>
      </c>
      <c r="J934" t="s">
        <v>7</v>
      </c>
      <c r="K934">
        <v>1392</v>
      </c>
      <c r="L934" s="5" t="str">
        <f>IF(OR(K934&lt;Answers!$C$16,Orders!K934&gt;Answers!$C$17),"Yes","No")</f>
        <v>No</v>
      </c>
      <c r="M934" s="14">
        <f>VLOOKUP(B934,Customers!$A$1:$E$2501,4,0)</f>
        <v>86</v>
      </c>
    </row>
    <row r="935" spans="1:13" x14ac:dyDescent="0.3">
      <c r="A935">
        <v>620937</v>
      </c>
      <c r="B935">
        <v>1822</v>
      </c>
      <c r="C935" s="1" t="s">
        <v>98</v>
      </c>
      <c r="D935" s="5">
        <v>45079</v>
      </c>
      <c r="E935" s="10">
        <v>0.52500000000000002</v>
      </c>
      <c r="F935" s="15">
        <f t="shared" si="42"/>
        <v>6</v>
      </c>
      <c r="G935" s="10" t="str">
        <f t="shared" si="43"/>
        <v>Friday</v>
      </c>
      <c r="H935" s="9" t="str">
        <f t="shared" si="44"/>
        <v>June</v>
      </c>
      <c r="I935" t="s">
        <v>96</v>
      </c>
      <c r="J935" t="s">
        <v>66</v>
      </c>
      <c r="K935">
        <v>8767</v>
      </c>
      <c r="L935" s="5" t="str">
        <f>IF(OR(K935&lt;Answers!$C$16,Orders!K935&gt;Answers!$C$17),"Yes","No")</f>
        <v>No</v>
      </c>
      <c r="M935" s="14">
        <f>VLOOKUP(B935,Customers!$A$1:$E$2501,4,0)</f>
        <v>56</v>
      </c>
    </row>
    <row r="936" spans="1:13" x14ac:dyDescent="0.3">
      <c r="A936">
        <v>621177</v>
      </c>
      <c r="B936">
        <v>1452</v>
      </c>
      <c r="C936" s="1" t="s">
        <v>99</v>
      </c>
      <c r="D936" s="5">
        <v>44954</v>
      </c>
      <c r="E936" s="10">
        <v>0.52847222222222223</v>
      </c>
      <c r="F936" s="15">
        <f t="shared" si="42"/>
        <v>1</v>
      </c>
      <c r="G936" s="10" t="str">
        <f t="shared" si="43"/>
        <v>Saturday</v>
      </c>
      <c r="H936" s="9" t="str">
        <f t="shared" si="44"/>
        <v>January</v>
      </c>
      <c r="I936" t="s">
        <v>96</v>
      </c>
      <c r="J936" t="s">
        <v>59</v>
      </c>
      <c r="K936">
        <v>2907</v>
      </c>
      <c r="L936" s="5" t="str">
        <f>IF(OR(K936&lt;Answers!$C$16,Orders!K936&gt;Answers!$C$17),"Yes","No")</f>
        <v>No</v>
      </c>
      <c r="M936" s="14">
        <f>VLOOKUP(B936,Customers!$A$1:$E$2501,4,0)</f>
        <v>22</v>
      </c>
    </row>
    <row r="937" spans="1:13" x14ac:dyDescent="0.3">
      <c r="A937">
        <v>621694</v>
      </c>
      <c r="B937">
        <v>1769</v>
      </c>
      <c r="C937" s="1" t="s">
        <v>104</v>
      </c>
      <c r="D937" s="5">
        <v>45269</v>
      </c>
      <c r="E937" s="10">
        <v>6.5972222222222224E-2</v>
      </c>
      <c r="F937" s="15">
        <f t="shared" si="42"/>
        <v>12</v>
      </c>
      <c r="G937" s="10" t="str">
        <f t="shared" si="43"/>
        <v>Saturday</v>
      </c>
      <c r="H937" s="9" t="str">
        <f t="shared" si="44"/>
        <v>December</v>
      </c>
      <c r="I937" t="s">
        <v>95</v>
      </c>
      <c r="J937" t="s">
        <v>89</v>
      </c>
      <c r="K937">
        <v>1826</v>
      </c>
      <c r="L937" s="5" t="str">
        <f>IF(OR(K937&lt;Answers!$C$16,Orders!K937&gt;Answers!$C$17),"Yes","No")</f>
        <v>No</v>
      </c>
      <c r="M937" s="14">
        <f>VLOOKUP(B937,Customers!$A$1:$E$2501,4,0)</f>
        <v>27</v>
      </c>
    </row>
    <row r="938" spans="1:13" x14ac:dyDescent="0.3">
      <c r="A938">
        <v>622405</v>
      </c>
      <c r="B938">
        <v>953</v>
      </c>
      <c r="C938" s="1" t="s">
        <v>98</v>
      </c>
      <c r="D938" s="5">
        <v>45193</v>
      </c>
      <c r="E938" s="10">
        <v>5.7638888888888892E-2</v>
      </c>
      <c r="F938" s="15">
        <f t="shared" si="42"/>
        <v>9</v>
      </c>
      <c r="G938" s="10" t="str">
        <f t="shared" si="43"/>
        <v>Sunday</v>
      </c>
      <c r="H938" s="9" t="str">
        <f t="shared" si="44"/>
        <v>September</v>
      </c>
      <c r="I938" t="s">
        <v>190</v>
      </c>
      <c r="J938" t="s">
        <v>22</v>
      </c>
      <c r="K938">
        <v>9431</v>
      </c>
      <c r="L938" s="5" t="str">
        <f>IF(OR(K938&lt;Answers!$C$16,Orders!K938&gt;Answers!$C$17),"Yes","No")</f>
        <v>No</v>
      </c>
      <c r="M938" s="14">
        <f>VLOOKUP(B938,Customers!$A$1:$E$2501,4,0)</f>
        <v>67</v>
      </c>
    </row>
    <row r="939" spans="1:13" x14ac:dyDescent="0.3">
      <c r="A939">
        <v>622656</v>
      </c>
      <c r="B939">
        <v>418</v>
      </c>
      <c r="C939" s="1" t="s">
        <v>105</v>
      </c>
      <c r="D939" s="5">
        <v>45157</v>
      </c>
      <c r="E939" s="10">
        <v>36597</v>
      </c>
      <c r="F939" s="15">
        <f t="shared" si="42"/>
        <v>8</v>
      </c>
      <c r="G939" s="10" t="str">
        <f t="shared" si="43"/>
        <v>Saturday</v>
      </c>
      <c r="H939" s="9" t="str">
        <f t="shared" si="44"/>
        <v>August</v>
      </c>
      <c r="I939" t="s">
        <v>95</v>
      </c>
      <c r="J939" t="s">
        <v>94</v>
      </c>
      <c r="K939">
        <v>6905</v>
      </c>
      <c r="L939" s="5" t="str">
        <f>IF(OR(K939&lt;Answers!$C$16,Orders!K939&gt;Answers!$C$17),"Yes","No")</f>
        <v>No</v>
      </c>
      <c r="M939" s="14">
        <f>VLOOKUP(B939,Customers!$A$1:$E$2501,4,0)</f>
        <v>22</v>
      </c>
    </row>
    <row r="940" spans="1:13" x14ac:dyDescent="0.3">
      <c r="A940">
        <v>622835</v>
      </c>
      <c r="B940">
        <v>998</v>
      </c>
      <c r="C940" s="1" t="s">
        <v>102</v>
      </c>
      <c r="D940" s="5">
        <v>45258</v>
      </c>
      <c r="E940" s="10">
        <v>7.4305555555555555E-2</v>
      </c>
      <c r="F940" s="15">
        <f t="shared" si="42"/>
        <v>11</v>
      </c>
      <c r="G940" s="10" t="str">
        <f t="shared" si="43"/>
        <v>Tuesday</v>
      </c>
      <c r="H940" s="9" t="str">
        <f t="shared" si="44"/>
        <v>November</v>
      </c>
      <c r="I940" t="s">
        <v>190</v>
      </c>
      <c r="J940" t="s">
        <v>53</v>
      </c>
      <c r="K940">
        <v>678</v>
      </c>
      <c r="L940" s="5" t="str">
        <f>IF(OR(K940&lt;Answers!$C$16,Orders!K940&gt;Answers!$C$17),"Yes","No")</f>
        <v>No</v>
      </c>
      <c r="M940" s="14">
        <f>VLOOKUP(B940,Customers!$A$1:$E$2501,4,0)</f>
        <v>89</v>
      </c>
    </row>
    <row r="941" spans="1:13" x14ac:dyDescent="0.3">
      <c r="A941">
        <v>623784</v>
      </c>
      <c r="B941">
        <v>781</v>
      </c>
      <c r="C941" s="1" t="s">
        <v>101</v>
      </c>
      <c r="D941" s="5">
        <v>45240</v>
      </c>
      <c r="E941" s="10">
        <v>7.3611111111111113E-2</v>
      </c>
      <c r="F941" s="15">
        <f t="shared" si="42"/>
        <v>11</v>
      </c>
      <c r="G941" s="10" t="str">
        <f t="shared" si="43"/>
        <v>Friday</v>
      </c>
      <c r="H941" s="9" t="str">
        <f t="shared" si="44"/>
        <v>November</v>
      </c>
      <c r="I941" t="s">
        <v>96</v>
      </c>
      <c r="J941" t="s">
        <v>19</v>
      </c>
      <c r="K941">
        <v>6494</v>
      </c>
      <c r="L941" s="5" t="str">
        <f>IF(OR(K941&lt;Answers!$C$16,Orders!K941&gt;Answers!$C$17),"Yes","No")</f>
        <v>No</v>
      </c>
      <c r="M941" s="14">
        <f>VLOOKUP(B941,Customers!$A$1:$E$2501,4,0)</f>
        <v>66</v>
      </c>
    </row>
    <row r="942" spans="1:13" x14ac:dyDescent="0.3">
      <c r="A942">
        <v>623935</v>
      </c>
      <c r="B942">
        <v>1278</v>
      </c>
      <c r="C942" s="1" t="s">
        <v>98</v>
      </c>
      <c r="D942" s="5">
        <v>45027</v>
      </c>
      <c r="E942" s="10">
        <v>5.8333333333333334E-2</v>
      </c>
      <c r="F942" s="15">
        <f t="shared" si="42"/>
        <v>4</v>
      </c>
      <c r="G942" s="10" t="str">
        <f t="shared" si="43"/>
        <v>Tuesday</v>
      </c>
      <c r="H942" s="9" t="str">
        <f t="shared" si="44"/>
        <v>April</v>
      </c>
      <c r="I942" t="s">
        <v>95</v>
      </c>
      <c r="J942" t="s">
        <v>40</v>
      </c>
      <c r="K942">
        <v>7665</v>
      </c>
      <c r="L942" s="5" t="str">
        <f>IF(OR(K942&lt;Answers!$C$16,Orders!K942&gt;Answers!$C$17),"Yes","No")</f>
        <v>No</v>
      </c>
      <c r="M942" s="14">
        <f>VLOOKUP(B942,Customers!$A$1:$E$2501,4,0)</f>
        <v>69</v>
      </c>
    </row>
    <row r="943" spans="1:13" x14ac:dyDescent="0.3">
      <c r="A943">
        <v>624499</v>
      </c>
      <c r="B943">
        <v>1290</v>
      </c>
      <c r="C943" s="1" t="s">
        <v>98</v>
      </c>
      <c r="D943" s="5">
        <v>44932</v>
      </c>
      <c r="E943" s="10">
        <v>0.52777777777777779</v>
      </c>
      <c r="F943" s="15">
        <f t="shared" si="42"/>
        <v>1</v>
      </c>
      <c r="G943" s="10" t="str">
        <f t="shared" si="43"/>
        <v>Friday</v>
      </c>
      <c r="H943" s="9" t="str">
        <f t="shared" si="44"/>
        <v>January</v>
      </c>
      <c r="I943" t="s">
        <v>95</v>
      </c>
      <c r="J943" t="s">
        <v>54</v>
      </c>
      <c r="K943">
        <v>4403</v>
      </c>
      <c r="L943" s="5" t="str">
        <f>IF(OR(K943&lt;Answers!$C$16,Orders!K943&gt;Answers!$C$17),"Yes","No")</f>
        <v>No</v>
      </c>
      <c r="M943" s="14">
        <f>VLOOKUP(B943,Customers!$A$1:$E$2501,4,0)</f>
        <v>31</v>
      </c>
    </row>
    <row r="944" spans="1:13" x14ac:dyDescent="0.3">
      <c r="A944">
        <v>624700</v>
      </c>
      <c r="B944">
        <v>1948</v>
      </c>
      <c r="C944" s="1" t="s">
        <v>98</v>
      </c>
      <c r="D944" s="5">
        <v>45276</v>
      </c>
      <c r="E944" s="10">
        <v>0.47152777777777777</v>
      </c>
      <c r="F944" s="15">
        <f t="shared" si="42"/>
        <v>12</v>
      </c>
      <c r="G944" s="10" t="str">
        <f t="shared" si="43"/>
        <v>Saturday</v>
      </c>
      <c r="H944" s="9" t="str">
        <f t="shared" si="44"/>
        <v>December</v>
      </c>
      <c r="I944" t="s">
        <v>97</v>
      </c>
      <c r="J944" t="s">
        <v>55</v>
      </c>
      <c r="K944">
        <v>5277</v>
      </c>
      <c r="L944" s="5" t="str">
        <f>IF(OR(K944&lt;Answers!$C$16,Orders!K944&gt;Answers!$C$17),"Yes","No")</f>
        <v>No</v>
      </c>
      <c r="M944" s="14">
        <f>VLOOKUP(B944,Customers!$A$1:$E$2501,4,0)</f>
        <v>79</v>
      </c>
    </row>
    <row r="945" spans="1:13" x14ac:dyDescent="0.3">
      <c r="A945">
        <v>624736</v>
      </c>
      <c r="B945">
        <v>633</v>
      </c>
      <c r="C945" s="1" t="s">
        <v>99</v>
      </c>
      <c r="D945" s="5">
        <v>45067</v>
      </c>
      <c r="E945" s="10">
        <v>7.0833333333333331E-2</v>
      </c>
      <c r="F945" s="15">
        <f t="shared" si="42"/>
        <v>5</v>
      </c>
      <c r="G945" s="10" t="str">
        <f t="shared" si="43"/>
        <v>Sunday</v>
      </c>
      <c r="H945" s="9" t="str">
        <f t="shared" si="44"/>
        <v>May</v>
      </c>
      <c r="I945" t="s">
        <v>97</v>
      </c>
      <c r="J945" t="s">
        <v>56</v>
      </c>
      <c r="K945">
        <v>486</v>
      </c>
      <c r="L945" s="5" t="str">
        <f>IF(OR(K945&lt;Answers!$C$16,Orders!K945&gt;Answers!$C$17),"Yes","No")</f>
        <v>No</v>
      </c>
      <c r="M945" s="14">
        <f>VLOOKUP(B945,Customers!$A$1:$E$2501,4,0)</f>
        <v>88</v>
      </c>
    </row>
    <row r="946" spans="1:13" x14ac:dyDescent="0.3">
      <c r="A946">
        <v>625994</v>
      </c>
      <c r="B946">
        <v>476</v>
      </c>
      <c r="C946" s="1" t="s">
        <v>98</v>
      </c>
      <c r="D946" s="5">
        <v>45067</v>
      </c>
      <c r="E946" s="10">
        <v>36841</v>
      </c>
      <c r="F946" s="15">
        <f t="shared" si="42"/>
        <v>5</v>
      </c>
      <c r="G946" s="10" t="str">
        <f t="shared" si="43"/>
        <v>Sunday</v>
      </c>
      <c r="H946" s="9" t="str">
        <f t="shared" si="44"/>
        <v>May</v>
      </c>
      <c r="I946" t="s">
        <v>97</v>
      </c>
      <c r="J946" t="s">
        <v>57</v>
      </c>
      <c r="K946">
        <v>7369</v>
      </c>
      <c r="L946" s="5" t="str">
        <f>IF(OR(K946&lt;Answers!$C$16,Orders!K946&gt;Answers!$C$17),"Yes","No")</f>
        <v>No</v>
      </c>
      <c r="M946" s="14">
        <f>VLOOKUP(B946,Customers!$A$1:$E$2501,4,0)</f>
        <v>80</v>
      </c>
    </row>
    <row r="947" spans="1:13" x14ac:dyDescent="0.3">
      <c r="A947">
        <v>626705</v>
      </c>
      <c r="B947">
        <v>868</v>
      </c>
      <c r="C947" s="1" t="s">
        <v>109</v>
      </c>
      <c r="D947" s="5">
        <v>45192</v>
      </c>
      <c r="E947" s="10">
        <v>6.3194444444444442E-2</v>
      </c>
      <c r="F947" s="15">
        <f t="shared" si="42"/>
        <v>9</v>
      </c>
      <c r="G947" s="10" t="str">
        <f t="shared" si="43"/>
        <v>Saturday</v>
      </c>
      <c r="H947" s="9" t="str">
        <f t="shared" si="44"/>
        <v>September</v>
      </c>
      <c r="I947" t="s">
        <v>96</v>
      </c>
      <c r="J947" t="s">
        <v>58</v>
      </c>
      <c r="K947">
        <v>2713</v>
      </c>
      <c r="L947" s="5" t="str">
        <f>IF(OR(K947&lt;Answers!$C$16,Orders!K947&gt;Answers!$C$17),"Yes","No")</f>
        <v>No</v>
      </c>
      <c r="M947" s="14">
        <f>VLOOKUP(B947,Customers!$A$1:$E$2501,4,0)</f>
        <v>31</v>
      </c>
    </row>
    <row r="948" spans="1:13" x14ac:dyDescent="0.3">
      <c r="A948">
        <v>626849</v>
      </c>
      <c r="B948">
        <v>1679</v>
      </c>
      <c r="C948" s="1" t="s">
        <v>100</v>
      </c>
      <c r="D948" s="5">
        <v>45049</v>
      </c>
      <c r="E948" s="10">
        <v>0.51111111111111107</v>
      </c>
      <c r="F948" s="15">
        <f t="shared" si="42"/>
        <v>5</v>
      </c>
      <c r="G948" s="10" t="str">
        <f t="shared" si="43"/>
        <v>Wednesday</v>
      </c>
      <c r="H948" s="9" t="str">
        <f t="shared" si="44"/>
        <v>May</v>
      </c>
      <c r="I948" t="s">
        <v>97</v>
      </c>
      <c r="J948" t="s">
        <v>3</v>
      </c>
      <c r="K948">
        <v>3639</v>
      </c>
      <c r="L948" s="5" t="str">
        <f>IF(OR(K948&lt;Answers!$C$16,Orders!K948&gt;Answers!$C$17),"Yes","No")</f>
        <v>No</v>
      </c>
      <c r="M948" s="14">
        <f>VLOOKUP(B948,Customers!$A$1:$E$2501,4,0)</f>
        <v>59</v>
      </c>
    </row>
    <row r="949" spans="1:13" x14ac:dyDescent="0.3">
      <c r="A949">
        <v>627473</v>
      </c>
      <c r="B949">
        <v>1766</v>
      </c>
      <c r="C949" s="1" t="s">
        <v>104</v>
      </c>
      <c r="D949" s="5">
        <v>45012</v>
      </c>
      <c r="E949" s="10">
        <v>0.53888888888888886</v>
      </c>
      <c r="F949" s="15">
        <f t="shared" si="42"/>
        <v>3</v>
      </c>
      <c r="G949" s="10" t="str">
        <f t="shared" si="43"/>
        <v>Monday</v>
      </c>
      <c r="H949" s="9" t="str">
        <f t="shared" si="44"/>
        <v>March</v>
      </c>
      <c r="I949" t="s">
        <v>190</v>
      </c>
      <c r="J949" t="s">
        <v>26</v>
      </c>
      <c r="K949">
        <v>5427</v>
      </c>
      <c r="L949" s="5" t="str">
        <f>IF(OR(K949&lt;Answers!$C$16,Orders!K949&gt;Answers!$C$17),"Yes","No")</f>
        <v>No</v>
      </c>
      <c r="M949" s="14">
        <f>VLOOKUP(B949,Customers!$A$1:$E$2501,4,0)</f>
        <v>42</v>
      </c>
    </row>
    <row r="950" spans="1:13" x14ac:dyDescent="0.3">
      <c r="A950">
        <v>627652</v>
      </c>
      <c r="B950">
        <v>330</v>
      </c>
      <c r="C950" s="1" t="s">
        <v>112</v>
      </c>
      <c r="D950" s="5">
        <v>45285</v>
      </c>
      <c r="E950" s="10">
        <v>0.52916666666666667</v>
      </c>
      <c r="F950" s="15">
        <f t="shared" si="42"/>
        <v>12</v>
      </c>
      <c r="G950" s="10" t="str">
        <f t="shared" si="43"/>
        <v>Monday</v>
      </c>
      <c r="H950" s="9" t="str">
        <f t="shared" si="44"/>
        <v>December</v>
      </c>
      <c r="I950" t="s">
        <v>95</v>
      </c>
      <c r="J950" t="s">
        <v>59</v>
      </c>
      <c r="K950">
        <v>4651</v>
      </c>
      <c r="L950" s="5" t="str">
        <f>IF(OR(K950&lt;Answers!$C$16,Orders!K950&gt;Answers!$C$17),"Yes","No")</f>
        <v>No</v>
      </c>
      <c r="M950" s="14">
        <f>VLOOKUP(B950,Customers!$A$1:$E$2501,4,0)</f>
        <v>43</v>
      </c>
    </row>
    <row r="951" spans="1:13" x14ac:dyDescent="0.3">
      <c r="A951">
        <v>628471</v>
      </c>
      <c r="B951">
        <v>240</v>
      </c>
      <c r="C951" s="1" t="s">
        <v>98</v>
      </c>
      <c r="D951" s="5">
        <v>45033</v>
      </c>
      <c r="E951" s="10">
        <v>0.49930555555555556</v>
      </c>
      <c r="F951" s="15">
        <f t="shared" si="42"/>
        <v>4</v>
      </c>
      <c r="G951" s="10" t="str">
        <f t="shared" si="43"/>
        <v>Monday</v>
      </c>
      <c r="H951" s="9" t="str">
        <f t="shared" si="44"/>
        <v>April</v>
      </c>
      <c r="I951" t="s">
        <v>190</v>
      </c>
      <c r="J951" t="s">
        <v>60</v>
      </c>
      <c r="K951">
        <v>9883</v>
      </c>
      <c r="L951" s="5" t="str">
        <f>IF(OR(K951&lt;Answers!$C$16,Orders!K951&gt;Answers!$C$17),"Yes","No")</f>
        <v>No</v>
      </c>
      <c r="M951" s="14">
        <f>VLOOKUP(B951,Customers!$A$1:$E$2501,4,0)</f>
        <v>63</v>
      </c>
    </row>
    <row r="952" spans="1:13" x14ac:dyDescent="0.3">
      <c r="A952">
        <v>628608</v>
      </c>
      <c r="B952">
        <v>1060</v>
      </c>
      <c r="C952" s="1" t="s">
        <v>112</v>
      </c>
      <c r="D952" s="5">
        <v>44927</v>
      </c>
      <c r="E952" s="10">
        <v>0.53055555555555556</v>
      </c>
      <c r="F952" s="15">
        <f t="shared" si="42"/>
        <v>1</v>
      </c>
      <c r="G952" s="10" t="str">
        <f t="shared" si="43"/>
        <v>Sunday</v>
      </c>
      <c r="H952" s="9" t="str">
        <f t="shared" si="44"/>
        <v>January</v>
      </c>
      <c r="I952" t="s">
        <v>96</v>
      </c>
      <c r="J952" t="s">
        <v>92</v>
      </c>
      <c r="K952">
        <v>89</v>
      </c>
      <c r="L952" s="5" t="str">
        <f>IF(OR(K952&lt;Answers!$C$16,Orders!K952&gt;Answers!$C$17),"Yes","No")</f>
        <v>No</v>
      </c>
      <c r="M952" s="14">
        <f>VLOOKUP(B952,Customers!$A$1:$E$2501,4,0)</f>
        <v>62</v>
      </c>
    </row>
    <row r="953" spans="1:13" x14ac:dyDescent="0.3">
      <c r="A953">
        <v>628945</v>
      </c>
      <c r="B953">
        <v>329</v>
      </c>
      <c r="C953" s="1" t="s">
        <v>104</v>
      </c>
      <c r="D953" s="5">
        <v>45097</v>
      </c>
      <c r="E953" s="10">
        <v>5.5555555555555552E-2</v>
      </c>
      <c r="F953" s="15">
        <f t="shared" si="42"/>
        <v>6</v>
      </c>
      <c r="G953" s="10" t="str">
        <f t="shared" si="43"/>
        <v>Tuesday</v>
      </c>
      <c r="H953" s="9" t="str">
        <f t="shared" si="44"/>
        <v>June</v>
      </c>
      <c r="I953" t="s">
        <v>97</v>
      </c>
      <c r="J953" t="s">
        <v>32</v>
      </c>
      <c r="K953">
        <v>7750</v>
      </c>
      <c r="L953" s="5" t="str">
        <f>IF(OR(K953&lt;Answers!$C$16,Orders!K953&gt;Answers!$C$17),"Yes","No")</f>
        <v>No</v>
      </c>
      <c r="M953" s="14">
        <f>VLOOKUP(B953,Customers!$A$1:$E$2501,4,0)</f>
        <v>55</v>
      </c>
    </row>
    <row r="954" spans="1:13" x14ac:dyDescent="0.3">
      <c r="A954">
        <v>629227</v>
      </c>
      <c r="B954">
        <v>1665</v>
      </c>
      <c r="C954" s="1" t="s">
        <v>109</v>
      </c>
      <c r="D954" s="5">
        <v>45257</v>
      </c>
      <c r="E954" s="10">
        <v>0.48194444444444445</v>
      </c>
      <c r="F954" s="15">
        <f t="shared" si="42"/>
        <v>11</v>
      </c>
      <c r="G954" s="10" t="str">
        <f t="shared" si="43"/>
        <v>Monday</v>
      </c>
      <c r="H954" s="9" t="str">
        <f t="shared" si="44"/>
        <v>November</v>
      </c>
      <c r="I954" t="s">
        <v>95</v>
      </c>
      <c r="J954" t="s">
        <v>62</v>
      </c>
      <c r="K954">
        <v>2109</v>
      </c>
      <c r="L954" s="5" t="str">
        <f>IF(OR(K954&lt;Answers!$C$16,Orders!K954&gt;Answers!$C$17),"Yes","No")</f>
        <v>No</v>
      </c>
      <c r="M954" s="14">
        <f>VLOOKUP(B954,Customers!$A$1:$E$2501,4,0)</f>
        <v>19</v>
      </c>
    </row>
    <row r="955" spans="1:13" x14ac:dyDescent="0.3">
      <c r="A955">
        <v>629953</v>
      </c>
      <c r="B955">
        <v>787</v>
      </c>
      <c r="C955" s="1" t="s">
        <v>103</v>
      </c>
      <c r="D955" s="5">
        <v>45045</v>
      </c>
      <c r="E955" s="10">
        <v>0.53125</v>
      </c>
      <c r="F955" s="15">
        <f t="shared" si="42"/>
        <v>4</v>
      </c>
      <c r="G955" s="10" t="str">
        <f t="shared" si="43"/>
        <v>Saturday</v>
      </c>
      <c r="H955" s="9" t="str">
        <f t="shared" si="44"/>
        <v>April</v>
      </c>
      <c r="I955" t="s">
        <v>97</v>
      </c>
      <c r="J955" t="s">
        <v>51</v>
      </c>
      <c r="K955">
        <v>9460</v>
      </c>
      <c r="L955" s="5" t="str">
        <f>IF(OR(K955&lt;Answers!$C$16,Orders!K955&gt;Answers!$C$17),"Yes","No")</f>
        <v>No</v>
      </c>
      <c r="M955" s="14">
        <f>VLOOKUP(B955,Customers!$A$1:$E$2501,4,0)</f>
        <v>40</v>
      </c>
    </row>
    <row r="956" spans="1:13" x14ac:dyDescent="0.3">
      <c r="A956">
        <v>630561</v>
      </c>
      <c r="B956">
        <v>1201</v>
      </c>
      <c r="C956" s="1" t="s">
        <v>99</v>
      </c>
      <c r="D956" s="5">
        <v>45166</v>
      </c>
      <c r="E956" s="10">
        <v>36831</v>
      </c>
      <c r="F956" s="15">
        <f t="shared" si="42"/>
        <v>8</v>
      </c>
      <c r="G956" s="10" t="str">
        <f t="shared" si="43"/>
        <v>Monday</v>
      </c>
      <c r="H956" s="9" t="str">
        <f t="shared" si="44"/>
        <v>August</v>
      </c>
      <c r="I956" t="s">
        <v>190</v>
      </c>
      <c r="J956" t="s">
        <v>93</v>
      </c>
      <c r="K956">
        <v>6934</v>
      </c>
      <c r="L956" s="5" t="str">
        <f>IF(OR(K956&lt;Answers!$C$16,Orders!K956&gt;Answers!$C$17),"Yes","No")</f>
        <v>No</v>
      </c>
      <c r="M956" s="14">
        <f>VLOOKUP(B956,Customers!$A$1:$E$2501,4,0)</f>
        <v>89</v>
      </c>
    </row>
    <row r="957" spans="1:13" x14ac:dyDescent="0.3">
      <c r="A957">
        <v>630634</v>
      </c>
      <c r="B957">
        <v>723</v>
      </c>
      <c r="C957" s="1" t="s">
        <v>107</v>
      </c>
      <c r="D957" s="5">
        <v>45182</v>
      </c>
      <c r="E957" s="10">
        <v>0.4909722222222222</v>
      </c>
      <c r="F957" s="15">
        <f t="shared" si="42"/>
        <v>9</v>
      </c>
      <c r="G957" s="10" t="str">
        <f t="shared" si="43"/>
        <v>Wednesday</v>
      </c>
      <c r="H957" s="9" t="str">
        <f t="shared" si="44"/>
        <v>September</v>
      </c>
      <c r="I957" t="s">
        <v>95</v>
      </c>
      <c r="J957" t="s">
        <v>26</v>
      </c>
      <c r="K957">
        <v>2225</v>
      </c>
      <c r="L957" s="5" t="str">
        <f>IF(OR(K957&lt;Answers!$C$16,Orders!K957&gt;Answers!$C$17),"Yes","No")</f>
        <v>No</v>
      </c>
      <c r="M957" s="14">
        <f>VLOOKUP(B957,Customers!$A$1:$E$2501,4,0)</f>
        <v>80</v>
      </c>
    </row>
    <row r="958" spans="1:13" x14ac:dyDescent="0.3">
      <c r="A958">
        <v>631266</v>
      </c>
      <c r="B958">
        <v>94</v>
      </c>
      <c r="C958" s="1" t="s">
        <v>107</v>
      </c>
      <c r="D958" s="5">
        <v>45081</v>
      </c>
      <c r="E958" s="10">
        <v>0.51388888888888884</v>
      </c>
      <c r="F958" s="15">
        <f t="shared" si="42"/>
        <v>6</v>
      </c>
      <c r="G958" s="10" t="str">
        <f t="shared" si="43"/>
        <v>Sunday</v>
      </c>
      <c r="H958" s="9" t="str">
        <f t="shared" si="44"/>
        <v>June</v>
      </c>
      <c r="I958" t="s">
        <v>97</v>
      </c>
      <c r="J958" t="s">
        <v>63</v>
      </c>
      <c r="K958">
        <v>985</v>
      </c>
      <c r="L958" s="5" t="str">
        <f>IF(OR(K958&lt;Answers!$C$16,Orders!K958&gt;Answers!$C$17),"Yes","No")</f>
        <v>No</v>
      </c>
      <c r="M958" s="14">
        <f>VLOOKUP(B958,Customers!$A$1:$E$2501,4,0)</f>
        <v>65</v>
      </c>
    </row>
    <row r="959" spans="1:13" x14ac:dyDescent="0.3">
      <c r="A959">
        <v>631384</v>
      </c>
      <c r="B959">
        <v>1975</v>
      </c>
      <c r="C959" s="1" t="s">
        <v>98</v>
      </c>
      <c r="D959" s="5">
        <v>44963</v>
      </c>
      <c r="E959" s="10">
        <v>5.486111111111111E-2</v>
      </c>
      <c r="F959" s="15">
        <f t="shared" si="42"/>
        <v>2</v>
      </c>
      <c r="G959" s="10" t="str">
        <f t="shared" si="43"/>
        <v>Monday</v>
      </c>
      <c r="H959" s="9" t="str">
        <f t="shared" si="44"/>
        <v>February</v>
      </c>
      <c r="I959" t="s">
        <v>96</v>
      </c>
      <c r="J959" t="s">
        <v>26</v>
      </c>
      <c r="K959">
        <v>5484</v>
      </c>
      <c r="L959" s="5" t="str">
        <f>IF(OR(K959&lt;Answers!$C$16,Orders!K959&gt;Answers!$C$17),"Yes","No")</f>
        <v>No</v>
      </c>
      <c r="M959" s="14">
        <f>VLOOKUP(B959,Customers!$A$1:$E$2501,4,0)</f>
        <v>40</v>
      </c>
    </row>
    <row r="960" spans="1:13" x14ac:dyDescent="0.3">
      <c r="A960">
        <v>631614</v>
      </c>
      <c r="B960">
        <v>1395</v>
      </c>
      <c r="C960" s="1" t="s">
        <v>98</v>
      </c>
      <c r="D960" s="5">
        <v>45238</v>
      </c>
      <c r="E960" s="10">
        <v>0.48958333333333331</v>
      </c>
      <c r="F960" s="15">
        <f t="shared" si="42"/>
        <v>11</v>
      </c>
      <c r="G960" s="10" t="str">
        <f t="shared" si="43"/>
        <v>Wednesday</v>
      </c>
      <c r="H960" s="9" t="str">
        <f t="shared" si="44"/>
        <v>November</v>
      </c>
      <c r="I960" t="s">
        <v>190</v>
      </c>
      <c r="J960" t="s">
        <v>4</v>
      </c>
      <c r="K960">
        <v>4587</v>
      </c>
      <c r="L960" s="5" t="str">
        <f>IF(OR(K960&lt;Answers!$C$16,Orders!K960&gt;Answers!$C$17),"Yes","No")</f>
        <v>No</v>
      </c>
      <c r="M960" s="14">
        <f>VLOOKUP(B960,Customers!$A$1:$E$2501,4,0)</f>
        <v>63</v>
      </c>
    </row>
    <row r="961" spans="1:13" x14ac:dyDescent="0.3">
      <c r="A961">
        <v>631808</v>
      </c>
      <c r="B961">
        <v>1219</v>
      </c>
      <c r="C961" s="1" t="s">
        <v>98</v>
      </c>
      <c r="D961" s="5">
        <v>45234</v>
      </c>
      <c r="E961" s="10">
        <v>36678</v>
      </c>
      <c r="F961" s="15">
        <f t="shared" si="42"/>
        <v>11</v>
      </c>
      <c r="G961" s="10" t="str">
        <f t="shared" si="43"/>
        <v>Saturday</v>
      </c>
      <c r="H961" s="9" t="str">
        <f t="shared" si="44"/>
        <v>November</v>
      </c>
      <c r="I961" t="s">
        <v>95</v>
      </c>
      <c r="J961" t="s">
        <v>64</v>
      </c>
      <c r="K961">
        <v>9502</v>
      </c>
      <c r="L961" s="5" t="str">
        <f>IF(OR(K961&lt;Answers!$C$16,Orders!K961&gt;Answers!$C$17),"Yes","No")</f>
        <v>No</v>
      </c>
      <c r="M961" s="14">
        <f>VLOOKUP(B961,Customers!$A$1:$E$2501,4,0)</f>
        <v>19</v>
      </c>
    </row>
    <row r="962" spans="1:13" x14ac:dyDescent="0.3">
      <c r="A962">
        <v>633156</v>
      </c>
      <c r="B962">
        <v>990</v>
      </c>
      <c r="C962" s="1" t="s">
        <v>108</v>
      </c>
      <c r="D962" s="5">
        <v>44966</v>
      </c>
      <c r="E962" s="10">
        <v>36628</v>
      </c>
      <c r="F962" s="15">
        <f t="shared" si="42"/>
        <v>2</v>
      </c>
      <c r="G962" s="10" t="str">
        <f t="shared" si="43"/>
        <v>Thursday</v>
      </c>
      <c r="H962" s="9" t="str">
        <f t="shared" si="44"/>
        <v>February</v>
      </c>
      <c r="I962" t="s">
        <v>96</v>
      </c>
      <c r="J962" t="s">
        <v>61</v>
      </c>
      <c r="K962">
        <v>9361</v>
      </c>
      <c r="L962" s="5" t="str">
        <f>IF(OR(K962&lt;Answers!$C$16,Orders!K962&gt;Answers!$C$17),"Yes","No")</f>
        <v>No</v>
      </c>
      <c r="M962" s="14">
        <f>VLOOKUP(B962,Customers!$A$1:$E$2501,4,0)</f>
        <v>37</v>
      </c>
    </row>
    <row r="963" spans="1:13" x14ac:dyDescent="0.3">
      <c r="A963">
        <v>635137</v>
      </c>
      <c r="B963">
        <v>795</v>
      </c>
      <c r="C963" s="1" t="s">
        <v>101</v>
      </c>
      <c r="D963" s="5">
        <v>45114</v>
      </c>
      <c r="E963" s="10">
        <v>0.5180555555555556</v>
      </c>
      <c r="F963" s="15">
        <f t="shared" ref="F963:F1026" si="45">MONTH(D963)</f>
        <v>7</v>
      </c>
      <c r="G963" s="10" t="str">
        <f t="shared" ref="G963:G1026" si="46">TEXT(D963,"dddd")</f>
        <v>Friday</v>
      </c>
      <c r="H963" s="9" t="str">
        <f t="shared" ref="H963:H1026" si="47">TEXT(D963,"mmmm")</f>
        <v>July</v>
      </c>
      <c r="I963" t="s">
        <v>96</v>
      </c>
      <c r="J963" t="s">
        <v>20</v>
      </c>
      <c r="K963">
        <v>7566</v>
      </c>
      <c r="L963" s="5" t="str">
        <f>IF(OR(K963&lt;Answers!$C$16,Orders!K963&gt;Answers!$C$17),"Yes","No")</f>
        <v>No</v>
      </c>
      <c r="M963" s="14">
        <f>VLOOKUP(B963,Customers!$A$1:$E$2501,4,0)</f>
        <v>83</v>
      </c>
    </row>
    <row r="964" spans="1:13" x14ac:dyDescent="0.3">
      <c r="A964">
        <v>635304</v>
      </c>
      <c r="B964">
        <v>95</v>
      </c>
      <c r="C964" s="1" t="s">
        <v>112</v>
      </c>
      <c r="D964" s="5">
        <v>45207</v>
      </c>
      <c r="E964" s="10">
        <v>6.1111111111111109E-2</v>
      </c>
      <c r="F964" s="15">
        <f t="shared" si="45"/>
        <v>10</v>
      </c>
      <c r="G964" s="10" t="str">
        <f t="shared" si="46"/>
        <v>Sunday</v>
      </c>
      <c r="H964" s="9" t="str">
        <f t="shared" si="47"/>
        <v>October</v>
      </c>
      <c r="I964" t="s">
        <v>96</v>
      </c>
      <c r="J964" t="s">
        <v>11</v>
      </c>
      <c r="K964">
        <v>201</v>
      </c>
      <c r="L964" s="5" t="str">
        <f>IF(OR(K964&lt;Answers!$C$16,Orders!K964&gt;Answers!$C$17),"Yes","No")</f>
        <v>No</v>
      </c>
      <c r="M964" s="14">
        <f>VLOOKUP(B964,Customers!$A$1:$E$2501,4,0)</f>
        <v>50</v>
      </c>
    </row>
    <row r="965" spans="1:13" x14ac:dyDescent="0.3">
      <c r="A965">
        <v>635743</v>
      </c>
      <c r="B965">
        <v>1239</v>
      </c>
      <c r="C965" s="1" t="s">
        <v>104</v>
      </c>
      <c r="D965" s="5">
        <v>45266</v>
      </c>
      <c r="E965" s="10">
        <v>0.44236111111111109</v>
      </c>
      <c r="F965" s="15">
        <f t="shared" si="45"/>
        <v>12</v>
      </c>
      <c r="G965" s="10" t="str">
        <f t="shared" si="46"/>
        <v>Wednesday</v>
      </c>
      <c r="H965" s="9" t="str">
        <f t="shared" si="47"/>
        <v>December</v>
      </c>
      <c r="I965" t="s">
        <v>96</v>
      </c>
      <c r="J965" t="s">
        <v>28</v>
      </c>
      <c r="K965">
        <v>782</v>
      </c>
      <c r="L965" s="5" t="str">
        <f>IF(OR(K965&lt;Answers!$C$16,Orders!K965&gt;Answers!$C$17),"Yes","No")</f>
        <v>No</v>
      </c>
      <c r="M965" s="14">
        <f>VLOOKUP(B965,Customers!$A$1:$E$2501,4,0)</f>
        <v>86</v>
      </c>
    </row>
    <row r="966" spans="1:13" x14ac:dyDescent="0.3">
      <c r="A966">
        <v>636616</v>
      </c>
      <c r="B966">
        <v>51</v>
      </c>
      <c r="C966" s="1" t="s">
        <v>98</v>
      </c>
      <c r="D966" s="5">
        <v>44954</v>
      </c>
      <c r="E966" s="10">
        <v>0.48125000000000001</v>
      </c>
      <c r="F966" s="15">
        <f t="shared" si="45"/>
        <v>1</v>
      </c>
      <c r="G966" s="10" t="str">
        <f t="shared" si="46"/>
        <v>Saturday</v>
      </c>
      <c r="H966" s="9" t="str">
        <f t="shared" si="47"/>
        <v>January</v>
      </c>
      <c r="I966" t="s">
        <v>97</v>
      </c>
      <c r="J966" t="s">
        <v>23</v>
      </c>
      <c r="K966">
        <v>5103</v>
      </c>
      <c r="L966" s="5" t="str">
        <f>IF(OR(K966&lt;Answers!$C$16,Orders!K966&gt;Answers!$C$17),"Yes","No")</f>
        <v>No</v>
      </c>
      <c r="M966" s="14">
        <f>VLOOKUP(B966,Customers!$A$1:$E$2501,4,0)</f>
        <v>63</v>
      </c>
    </row>
    <row r="967" spans="1:13" x14ac:dyDescent="0.3">
      <c r="A967">
        <v>636888</v>
      </c>
      <c r="B967">
        <v>770</v>
      </c>
      <c r="C967" s="1" t="s">
        <v>112</v>
      </c>
      <c r="D967" s="5">
        <v>45256</v>
      </c>
      <c r="E967" s="10">
        <v>6.0416666666666667E-2</v>
      </c>
      <c r="F967" s="15">
        <f t="shared" si="45"/>
        <v>11</v>
      </c>
      <c r="G967" s="10" t="str">
        <f t="shared" si="46"/>
        <v>Sunday</v>
      </c>
      <c r="H967" s="9" t="str">
        <f t="shared" si="47"/>
        <v>November</v>
      </c>
      <c r="I967" t="s">
        <v>97</v>
      </c>
      <c r="J967" t="s">
        <v>29</v>
      </c>
      <c r="K967">
        <v>3115</v>
      </c>
      <c r="L967" s="5" t="str">
        <f>IF(OR(K967&lt;Answers!$C$16,Orders!K967&gt;Answers!$C$17),"Yes","No")</f>
        <v>No</v>
      </c>
      <c r="M967" s="14">
        <f>VLOOKUP(B967,Customers!$A$1:$E$2501,4,0)</f>
        <v>72</v>
      </c>
    </row>
    <row r="968" spans="1:13" x14ac:dyDescent="0.3">
      <c r="A968">
        <v>637916</v>
      </c>
      <c r="B968">
        <v>853</v>
      </c>
      <c r="C968" s="1" t="s">
        <v>98</v>
      </c>
      <c r="D968" s="5">
        <v>45137</v>
      </c>
      <c r="E968" s="10">
        <v>0.51666666666666672</v>
      </c>
      <c r="F968" s="15">
        <f t="shared" si="45"/>
        <v>7</v>
      </c>
      <c r="G968" s="10" t="str">
        <f t="shared" si="46"/>
        <v>Sunday</v>
      </c>
      <c r="H968" s="9" t="str">
        <f t="shared" si="47"/>
        <v>July</v>
      </c>
      <c r="I968" t="s">
        <v>95</v>
      </c>
      <c r="J968" t="s">
        <v>30</v>
      </c>
      <c r="K968">
        <v>613</v>
      </c>
      <c r="L968" s="5" t="str">
        <f>IF(OR(K968&lt;Answers!$C$16,Orders!K968&gt;Answers!$C$17),"Yes","No")</f>
        <v>No</v>
      </c>
      <c r="M968" s="14">
        <f>VLOOKUP(B968,Customers!$A$1:$E$2501,4,0)</f>
        <v>57</v>
      </c>
    </row>
    <row r="969" spans="1:13" x14ac:dyDescent="0.3">
      <c r="A969">
        <v>638044</v>
      </c>
      <c r="B969">
        <v>255</v>
      </c>
      <c r="C969" s="1" t="s">
        <v>106</v>
      </c>
      <c r="D969" s="5">
        <v>44955</v>
      </c>
      <c r="E969" s="10">
        <v>0.48125000000000001</v>
      </c>
      <c r="F969" s="15">
        <f t="shared" si="45"/>
        <v>1</v>
      </c>
      <c r="G969" s="10" t="str">
        <f t="shared" si="46"/>
        <v>Sunday</v>
      </c>
      <c r="H969" s="9" t="str">
        <f t="shared" si="47"/>
        <v>January</v>
      </c>
      <c r="I969" t="s">
        <v>95</v>
      </c>
      <c r="J969" t="s">
        <v>89</v>
      </c>
      <c r="K969">
        <v>8196</v>
      </c>
      <c r="L969" s="5" t="str">
        <f>IF(OR(K969&lt;Answers!$C$16,Orders!K969&gt;Answers!$C$17),"Yes","No")</f>
        <v>No</v>
      </c>
      <c r="M969" s="14">
        <f>VLOOKUP(B969,Customers!$A$1:$E$2501,4,0)</f>
        <v>62</v>
      </c>
    </row>
    <row r="970" spans="1:13" x14ac:dyDescent="0.3">
      <c r="A970">
        <v>638603</v>
      </c>
      <c r="B970">
        <v>876</v>
      </c>
      <c r="C970" s="1" t="s">
        <v>98</v>
      </c>
      <c r="D970" s="5">
        <v>45074</v>
      </c>
      <c r="E970" s="10">
        <v>7.9861111111111105E-2</v>
      </c>
      <c r="F970" s="15">
        <f t="shared" si="45"/>
        <v>5</v>
      </c>
      <c r="G970" s="10" t="str">
        <f t="shared" si="46"/>
        <v>Sunday</v>
      </c>
      <c r="H970" s="9" t="str">
        <f t="shared" si="47"/>
        <v>May</v>
      </c>
      <c r="I970" t="s">
        <v>96</v>
      </c>
      <c r="J970" t="s">
        <v>32</v>
      </c>
      <c r="K970">
        <v>4319</v>
      </c>
      <c r="L970" s="5" t="str">
        <f>IF(OR(K970&lt;Answers!$C$16,Orders!K970&gt;Answers!$C$17),"Yes","No")</f>
        <v>No</v>
      </c>
      <c r="M970" s="14">
        <f>VLOOKUP(B970,Customers!$A$1:$E$2501,4,0)</f>
        <v>76</v>
      </c>
    </row>
    <row r="971" spans="1:13" x14ac:dyDescent="0.3">
      <c r="A971">
        <v>639027</v>
      </c>
      <c r="B971">
        <v>390</v>
      </c>
      <c r="C971" s="1" t="s">
        <v>112</v>
      </c>
      <c r="D971" s="5">
        <v>45131</v>
      </c>
      <c r="E971" s="10">
        <v>0.48958333333333331</v>
      </c>
      <c r="F971" s="15">
        <f t="shared" si="45"/>
        <v>7</v>
      </c>
      <c r="G971" s="10" t="str">
        <f t="shared" si="46"/>
        <v>Monday</v>
      </c>
      <c r="H971" s="9" t="str">
        <f t="shared" si="47"/>
        <v>July</v>
      </c>
      <c r="I971" t="s">
        <v>95</v>
      </c>
      <c r="J971" t="s">
        <v>90</v>
      </c>
      <c r="K971">
        <v>2403</v>
      </c>
      <c r="L971" s="5" t="str">
        <f>IF(OR(K971&lt;Answers!$C$16,Orders!K971&gt;Answers!$C$17),"Yes","No")</f>
        <v>No</v>
      </c>
      <c r="M971" s="14">
        <f>VLOOKUP(B971,Customers!$A$1:$E$2501,4,0)</f>
        <v>89</v>
      </c>
    </row>
    <row r="972" spans="1:13" x14ac:dyDescent="0.3">
      <c r="A972">
        <v>640940</v>
      </c>
      <c r="B972">
        <v>1725</v>
      </c>
      <c r="C972" s="1" t="s">
        <v>98</v>
      </c>
      <c r="D972" s="5">
        <v>44986</v>
      </c>
      <c r="E972" s="10">
        <v>0.48333333333333334</v>
      </c>
      <c r="F972" s="15">
        <f t="shared" si="45"/>
        <v>3</v>
      </c>
      <c r="G972" s="10" t="str">
        <f t="shared" si="46"/>
        <v>Wednesday</v>
      </c>
      <c r="H972" s="9" t="str">
        <f t="shared" si="47"/>
        <v>March</v>
      </c>
      <c r="I972" t="s">
        <v>190</v>
      </c>
      <c r="J972" t="s">
        <v>34</v>
      </c>
      <c r="K972">
        <v>3582</v>
      </c>
      <c r="L972" s="5" t="str">
        <f>IF(OR(K972&lt;Answers!$C$16,Orders!K972&gt;Answers!$C$17),"Yes","No")</f>
        <v>No</v>
      </c>
      <c r="M972" s="14">
        <f>VLOOKUP(B972,Customers!$A$1:$E$2501,4,0)</f>
        <v>81</v>
      </c>
    </row>
    <row r="973" spans="1:13" x14ac:dyDescent="0.3">
      <c r="A973">
        <v>640945</v>
      </c>
      <c r="B973">
        <v>174</v>
      </c>
      <c r="C973" s="1" t="s">
        <v>106</v>
      </c>
      <c r="D973" s="5">
        <v>45062</v>
      </c>
      <c r="E973" s="10">
        <v>36781</v>
      </c>
      <c r="F973" s="15">
        <f t="shared" si="45"/>
        <v>5</v>
      </c>
      <c r="G973" s="10" t="str">
        <f t="shared" si="46"/>
        <v>Tuesday</v>
      </c>
      <c r="H973" s="9" t="str">
        <f t="shared" si="47"/>
        <v>May</v>
      </c>
      <c r="I973" t="s">
        <v>190</v>
      </c>
      <c r="J973" t="s">
        <v>35</v>
      </c>
      <c r="K973">
        <v>5492</v>
      </c>
      <c r="L973" s="5" t="str">
        <f>IF(OR(K973&lt;Answers!$C$16,Orders!K973&gt;Answers!$C$17),"Yes","No")</f>
        <v>No</v>
      </c>
      <c r="M973" s="14">
        <f>VLOOKUP(B973,Customers!$A$1:$E$2501,4,0)</f>
        <v>68</v>
      </c>
    </row>
    <row r="974" spans="1:13" x14ac:dyDescent="0.3">
      <c r="A974">
        <v>641229</v>
      </c>
      <c r="B974">
        <v>781</v>
      </c>
      <c r="C974" s="1" t="s">
        <v>101</v>
      </c>
      <c r="D974" s="5">
        <v>44936</v>
      </c>
      <c r="E974" s="10">
        <v>0.49027777777777776</v>
      </c>
      <c r="F974" s="15">
        <f t="shared" si="45"/>
        <v>1</v>
      </c>
      <c r="G974" s="10" t="str">
        <f t="shared" si="46"/>
        <v>Tuesday</v>
      </c>
      <c r="H974" s="9" t="str">
        <f t="shared" si="47"/>
        <v>January</v>
      </c>
      <c r="I974" t="s">
        <v>190</v>
      </c>
      <c r="J974" t="s">
        <v>36</v>
      </c>
      <c r="K974">
        <v>5740</v>
      </c>
      <c r="L974" s="5" t="str">
        <f>IF(OR(K974&lt;Answers!$C$16,Orders!K974&gt;Answers!$C$17),"Yes","No")</f>
        <v>No</v>
      </c>
      <c r="M974" s="14">
        <f>VLOOKUP(B974,Customers!$A$1:$E$2501,4,0)</f>
        <v>66</v>
      </c>
    </row>
    <row r="975" spans="1:13" x14ac:dyDescent="0.3">
      <c r="A975">
        <v>641966</v>
      </c>
      <c r="B975">
        <v>1767</v>
      </c>
      <c r="C975" s="1" t="s">
        <v>99</v>
      </c>
      <c r="D975" s="5">
        <v>44965</v>
      </c>
      <c r="E975" s="10">
        <v>6.7361111111111108E-2</v>
      </c>
      <c r="F975" s="15">
        <f t="shared" si="45"/>
        <v>2</v>
      </c>
      <c r="G975" s="10" t="str">
        <f t="shared" si="46"/>
        <v>Wednesday</v>
      </c>
      <c r="H975" s="9" t="str">
        <f t="shared" si="47"/>
        <v>February</v>
      </c>
      <c r="I975" t="s">
        <v>190</v>
      </c>
      <c r="J975" t="s">
        <v>26</v>
      </c>
      <c r="K975">
        <v>3140</v>
      </c>
      <c r="L975" s="5" t="str">
        <f>IF(OR(K975&lt;Answers!$C$16,Orders!K975&gt;Answers!$C$17),"Yes","No")</f>
        <v>No</v>
      </c>
      <c r="M975" s="14">
        <f>VLOOKUP(B975,Customers!$A$1:$E$2501,4,0)</f>
        <v>52</v>
      </c>
    </row>
    <row r="976" spans="1:13" x14ac:dyDescent="0.3">
      <c r="A976">
        <v>642754</v>
      </c>
      <c r="B976">
        <v>542</v>
      </c>
      <c r="C976" s="1" t="s">
        <v>100</v>
      </c>
      <c r="D976" s="5">
        <v>44963</v>
      </c>
      <c r="E976" s="10">
        <v>0.52777777777777779</v>
      </c>
      <c r="F976" s="15">
        <f t="shared" si="45"/>
        <v>2</v>
      </c>
      <c r="G976" s="10" t="str">
        <f t="shared" si="46"/>
        <v>Monday</v>
      </c>
      <c r="H976" s="9" t="str">
        <f t="shared" si="47"/>
        <v>February</v>
      </c>
      <c r="I976" t="s">
        <v>190</v>
      </c>
      <c r="J976" t="s">
        <v>64</v>
      </c>
      <c r="K976">
        <v>4849</v>
      </c>
      <c r="L976" s="5" t="str">
        <f>IF(OR(K976&lt;Answers!$C$16,Orders!K976&gt;Answers!$C$17),"Yes","No")</f>
        <v>No</v>
      </c>
      <c r="M976" s="14">
        <f>VLOOKUP(B976,Customers!$A$1:$E$2501,4,0)</f>
        <v>33</v>
      </c>
    </row>
    <row r="977" spans="1:13" x14ac:dyDescent="0.3">
      <c r="A977">
        <v>642874</v>
      </c>
      <c r="B977">
        <v>901</v>
      </c>
      <c r="C977" s="1" t="s">
        <v>98</v>
      </c>
      <c r="D977" s="5">
        <v>45206</v>
      </c>
      <c r="E977" s="10">
        <v>0.53749999999999998</v>
      </c>
      <c r="F977" s="15">
        <f t="shared" si="45"/>
        <v>10</v>
      </c>
      <c r="G977" s="10" t="str">
        <f t="shared" si="46"/>
        <v>Saturday</v>
      </c>
      <c r="H977" s="9" t="str">
        <f t="shared" si="47"/>
        <v>October</v>
      </c>
      <c r="I977" t="s">
        <v>97</v>
      </c>
      <c r="J977" t="s">
        <v>23</v>
      </c>
      <c r="K977">
        <v>1789</v>
      </c>
      <c r="L977" s="5" t="str">
        <f>IF(OR(K977&lt;Answers!$C$16,Orders!K977&gt;Answers!$C$17),"Yes","No")</f>
        <v>No</v>
      </c>
      <c r="M977" s="14">
        <f>VLOOKUP(B977,Customers!$A$1:$E$2501,4,0)</f>
        <v>44</v>
      </c>
    </row>
    <row r="978" spans="1:13" x14ac:dyDescent="0.3">
      <c r="A978">
        <v>645557</v>
      </c>
      <c r="B978">
        <v>1114</v>
      </c>
      <c r="C978" s="1" t="s">
        <v>112</v>
      </c>
      <c r="D978" s="5">
        <v>45185</v>
      </c>
      <c r="E978" s="10">
        <v>0.48125000000000001</v>
      </c>
      <c r="F978" s="15">
        <f t="shared" si="45"/>
        <v>9</v>
      </c>
      <c r="G978" s="10" t="str">
        <f t="shared" si="46"/>
        <v>Saturday</v>
      </c>
      <c r="H978" s="9" t="str">
        <f t="shared" si="47"/>
        <v>September</v>
      </c>
      <c r="I978" t="s">
        <v>190</v>
      </c>
      <c r="J978" t="s">
        <v>39</v>
      </c>
      <c r="K978">
        <v>1567</v>
      </c>
      <c r="L978" s="5" t="str">
        <f>IF(OR(K978&lt;Answers!$C$16,Orders!K978&gt;Answers!$C$17),"Yes","No")</f>
        <v>No</v>
      </c>
      <c r="M978" s="14">
        <f>VLOOKUP(B978,Customers!$A$1:$E$2501,4,0)</f>
        <v>39</v>
      </c>
    </row>
    <row r="979" spans="1:13" x14ac:dyDescent="0.3">
      <c r="A979">
        <v>646139</v>
      </c>
      <c r="B979">
        <v>1792</v>
      </c>
      <c r="C979" s="1" t="s">
        <v>107</v>
      </c>
      <c r="D979" s="5">
        <v>45159</v>
      </c>
      <c r="E979" s="10">
        <v>0.48125000000000001</v>
      </c>
      <c r="F979" s="15">
        <f t="shared" si="45"/>
        <v>8</v>
      </c>
      <c r="G979" s="10" t="str">
        <f t="shared" si="46"/>
        <v>Monday</v>
      </c>
      <c r="H979" s="9" t="str">
        <f t="shared" si="47"/>
        <v>August</v>
      </c>
      <c r="I979" t="s">
        <v>96</v>
      </c>
      <c r="J979" t="s">
        <v>40</v>
      </c>
      <c r="K979">
        <v>5161</v>
      </c>
      <c r="L979" s="5" t="str">
        <f>IF(OR(K979&lt;Answers!$C$16,Orders!K979&gt;Answers!$C$17),"Yes","No")</f>
        <v>No</v>
      </c>
      <c r="M979" s="14">
        <f>VLOOKUP(B979,Customers!$A$1:$E$2501,4,0)</f>
        <v>59</v>
      </c>
    </row>
    <row r="980" spans="1:13" x14ac:dyDescent="0.3">
      <c r="A980">
        <v>647292</v>
      </c>
      <c r="B980">
        <v>1553</v>
      </c>
      <c r="C980" s="1" t="s">
        <v>99</v>
      </c>
      <c r="D980" s="5">
        <v>44930</v>
      </c>
      <c r="E980" s="10">
        <v>0.53333333333333333</v>
      </c>
      <c r="F980" s="15">
        <f t="shared" si="45"/>
        <v>1</v>
      </c>
      <c r="G980" s="10" t="str">
        <f t="shared" si="46"/>
        <v>Wednesday</v>
      </c>
      <c r="H980" s="9" t="str">
        <f t="shared" si="47"/>
        <v>January</v>
      </c>
      <c r="I980" t="s">
        <v>190</v>
      </c>
      <c r="J980" t="s">
        <v>41</v>
      </c>
      <c r="K980">
        <v>8207</v>
      </c>
      <c r="L980" s="5" t="str">
        <f>IF(OR(K980&lt;Answers!$C$16,Orders!K980&gt;Answers!$C$17),"Yes","No")</f>
        <v>No</v>
      </c>
      <c r="M980" s="14">
        <f>VLOOKUP(B980,Customers!$A$1:$E$2501,4,0)</f>
        <v>81</v>
      </c>
    </row>
    <row r="981" spans="1:13" x14ac:dyDescent="0.3">
      <c r="A981">
        <v>649627</v>
      </c>
      <c r="B981">
        <v>159</v>
      </c>
      <c r="C981" s="1" t="s">
        <v>98</v>
      </c>
      <c r="D981" s="5">
        <v>45249</v>
      </c>
      <c r="E981" s="10">
        <v>0.52638888888888891</v>
      </c>
      <c r="F981" s="15">
        <f t="shared" si="45"/>
        <v>11</v>
      </c>
      <c r="G981" s="10" t="str">
        <f t="shared" si="46"/>
        <v>Sunday</v>
      </c>
      <c r="H981" s="9" t="str">
        <f t="shared" si="47"/>
        <v>November</v>
      </c>
      <c r="I981" t="s">
        <v>95</v>
      </c>
      <c r="J981" t="s">
        <v>42</v>
      </c>
      <c r="K981">
        <v>5618</v>
      </c>
      <c r="L981" s="5" t="str">
        <f>IF(OR(K981&lt;Answers!$C$16,Orders!K981&gt;Answers!$C$17),"Yes","No")</f>
        <v>No</v>
      </c>
      <c r="M981" s="14">
        <f>VLOOKUP(B981,Customers!$A$1:$E$2501,4,0)</f>
        <v>25</v>
      </c>
    </row>
    <row r="982" spans="1:13" x14ac:dyDescent="0.3">
      <c r="A982">
        <v>649787</v>
      </c>
      <c r="B982">
        <v>132</v>
      </c>
      <c r="C982" s="1" t="s">
        <v>104</v>
      </c>
      <c r="D982" s="5">
        <v>45001</v>
      </c>
      <c r="E982" s="10">
        <v>0.52916666666666667</v>
      </c>
      <c r="F982" s="15">
        <f t="shared" si="45"/>
        <v>3</v>
      </c>
      <c r="G982" s="10" t="str">
        <f t="shared" si="46"/>
        <v>Thursday</v>
      </c>
      <c r="H982" s="9" t="str">
        <f t="shared" si="47"/>
        <v>March</v>
      </c>
      <c r="I982" t="s">
        <v>97</v>
      </c>
      <c r="J982" t="s">
        <v>43</v>
      </c>
      <c r="K982">
        <v>8578</v>
      </c>
      <c r="L982" s="5" t="str">
        <f>IF(OR(K982&lt;Answers!$C$16,Orders!K982&gt;Answers!$C$17),"Yes","No")</f>
        <v>No</v>
      </c>
      <c r="M982" s="14">
        <f>VLOOKUP(B982,Customers!$A$1:$E$2501,4,0)</f>
        <v>50</v>
      </c>
    </row>
    <row r="983" spans="1:13" x14ac:dyDescent="0.3">
      <c r="A983">
        <v>650459</v>
      </c>
      <c r="B983">
        <v>928</v>
      </c>
      <c r="C983" s="1" t="s">
        <v>103</v>
      </c>
      <c r="D983" s="5">
        <v>45055</v>
      </c>
      <c r="E983" s="10">
        <v>0.52569444444444446</v>
      </c>
      <c r="F983" s="15">
        <f t="shared" si="45"/>
        <v>5</v>
      </c>
      <c r="G983" s="10" t="str">
        <f t="shared" si="46"/>
        <v>Tuesday</v>
      </c>
      <c r="H983" s="9" t="str">
        <f t="shared" si="47"/>
        <v>May</v>
      </c>
      <c r="I983" t="s">
        <v>96</v>
      </c>
      <c r="J983" t="s">
        <v>80</v>
      </c>
      <c r="K983">
        <v>6510</v>
      </c>
      <c r="L983" s="5" t="str">
        <f>IF(OR(K983&lt;Answers!$C$16,Orders!K983&gt;Answers!$C$17),"Yes","No")</f>
        <v>No</v>
      </c>
      <c r="M983" s="14">
        <f>VLOOKUP(B983,Customers!$A$1:$E$2501,4,0)</f>
        <v>56</v>
      </c>
    </row>
    <row r="984" spans="1:13" x14ac:dyDescent="0.3">
      <c r="A984">
        <v>652344</v>
      </c>
      <c r="B984">
        <v>1854</v>
      </c>
      <c r="C984" s="1" t="s">
        <v>98</v>
      </c>
      <c r="D984" s="5">
        <v>45194</v>
      </c>
      <c r="E984" s="10">
        <v>0.53749999999999998</v>
      </c>
      <c r="F984" s="15">
        <f t="shared" si="45"/>
        <v>9</v>
      </c>
      <c r="G984" s="10" t="str">
        <f t="shared" si="46"/>
        <v>Monday</v>
      </c>
      <c r="H984" s="9" t="str">
        <f t="shared" si="47"/>
        <v>September</v>
      </c>
      <c r="I984" t="s">
        <v>95</v>
      </c>
      <c r="J984" t="s">
        <v>13</v>
      </c>
      <c r="K984">
        <v>1170</v>
      </c>
      <c r="L984" s="5" t="str">
        <f>IF(OR(K984&lt;Answers!$C$16,Orders!K984&gt;Answers!$C$17),"Yes","No")</f>
        <v>No</v>
      </c>
      <c r="M984" s="14">
        <f>VLOOKUP(B984,Customers!$A$1:$E$2501,4,0)</f>
        <v>87</v>
      </c>
    </row>
    <row r="985" spans="1:13" x14ac:dyDescent="0.3">
      <c r="A985">
        <v>653986</v>
      </c>
      <c r="B985">
        <v>1079</v>
      </c>
      <c r="C985" s="1" t="s">
        <v>112</v>
      </c>
      <c r="D985" s="5">
        <v>45202</v>
      </c>
      <c r="E985" s="10">
        <v>0.47638888888888886</v>
      </c>
      <c r="F985" s="15">
        <f t="shared" si="45"/>
        <v>10</v>
      </c>
      <c r="G985" s="10" t="str">
        <f t="shared" si="46"/>
        <v>Tuesday</v>
      </c>
      <c r="H985" s="9" t="str">
        <f t="shared" si="47"/>
        <v>October</v>
      </c>
      <c r="I985" t="s">
        <v>95</v>
      </c>
      <c r="J985" t="s">
        <v>42</v>
      </c>
      <c r="K985">
        <v>6834</v>
      </c>
      <c r="L985" s="5" t="str">
        <f>IF(OR(K985&lt;Answers!$C$16,Orders!K985&gt;Answers!$C$17),"Yes","No")</f>
        <v>No</v>
      </c>
      <c r="M985" s="14">
        <f>VLOOKUP(B985,Customers!$A$1:$E$2501,4,0)</f>
        <v>29</v>
      </c>
    </row>
    <row r="986" spans="1:13" x14ac:dyDescent="0.3">
      <c r="A986">
        <v>654071</v>
      </c>
      <c r="B986">
        <v>1039</v>
      </c>
      <c r="C986" s="1" t="s">
        <v>104</v>
      </c>
      <c r="D986" s="5">
        <v>45258</v>
      </c>
      <c r="E986" s="10">
        <v>0.5180555555555556</v>
      </c>
      <c r="F986" s="15">
        <f t="shared" si="45"/>
        <v>11</v>
      </c>
      <c r="G986" s="10" t="str">
        <f t="shared" si="46"/>
        <v>Tuesday</v>
      </c>
      <c r="H986" s="9" t="str">
        <f t="shared" si="47"/>
        <v>November</v>
      </c>
      <c r="I986" t="s">
        <v>96</v>
      </c>
      <c r="J986" t="s">
        <v>44</v>
      </c>
      <c r="K986">
        <v>5670</v>
      </c>
      <c r="L986" s="5" t="str">
        <f>IF(OR(K986&lt;Answers!$C$16,Orders!K986&gt;Answers!$C$17),"Yes","No")</f>
        <v>No</v>
      </c>
      <c r="M986" s="14">
        <f>VLOOKUP(B986,Customers!$A$1:$E$2501,4,0)</f>
        <v>66</v>
      </c>
    </row>
    <row r="987" spans="1:13" x14ac:dyDescent="0.3">
      <c r="A987">
        <v>655800</v>
      </c>
      <c r="B987">
        <v>672</v>
      </c>
      <c r="C987" s="1" t="s">
        <v>98</v>
      </c>
      <c r="D987" s="5">
        <v>44944</v>
      </c>
      <c r="E987" s="10">
        <v>0.48541666666666666</v>
      </c>
      <c r="F987" s="15">
        <f t="shared" si="45"/>
        <v>1</v>
      </c>
      <c r="G987" s="10" t="str">
        <f t="shared" si="46"/>
        <v>Wednesday</v>
      </c>
      <c r="H987" s="9" t="str">
        <f t="shared" si="47"/>
        <v>January</v>
      </c>
      <c r="I987" t="s">
        <v>190</v>
      </c>
      <c r="J987" t="s">
        <v>7</v>
      </c>
      <c r="K987">
        <v>6855</v>
      </c>
      <c r="L987" s="5" t="str">
        <f>IF(OR(K987&lt;Answers!$C$16,Orders!K987&gt;Answers!$C$17),"Yes","No")</f>
        <v>No</v>
      </c>
      <c r="M987" s="14">
        <f>VLOOKUP(B987,Customers!$A$1:$E$2501,4,0)</f>
        <v>78</v>
      </c>
    </row>
    <row r="988" spans="1:13" x14ac:dyDescent="0.3">
      <c r="A988">
        <v>656865</v>
      </c>
      <c r="B988">
        <v>1462</v>
      </c>
      <c r="C988" s="1" t="s">
        <v>98</v>
      </c>
      <c r="D988" s="5">
        <v>45079</v>
      </c>
      <c r="E988" s="10">
        <v>0.51249999999999996</v>
      </c>
      <c r="F988" s="15">
        <f t="shared" si="45"/>
        <v>6</v>
      </c>
      <c r="G988" s="10" t="str">
        <f t="shared" si="46"/>
        <v>Friday</v>
      </c>
      <c r="H988" s="9" t="str">
        <f t="shared" si="47"/>
        <v>June</v>
      </c>
      <c r="I988" t="s">
        <v>190</v>
      </c>
      <c r="J988" t="s">
        <v>66</v>
      </c>
      <c r="K988">
        <v>7427</v>
      </c>
      <c r="L988" s="5" t="str">
        <f>IF(OR(K988&lt;Answers!$C$16,Orders!K988&gt;Answers!$C$17),"Yes","No")</f>
        <v>No</v>
      </c>
      <c r="M988" s="14">
        <f>VLOOKUP(B988,Customers!$A$1:$E$2501,4,0)</f>
        <v>65</v>
      </c>
    </row>
    <row r="989" spans="1:13" x14ac:dyDescent="0.3">
      <c r="A989">
        <v>656929</v>
      </c>
      <c r="B989">
        <v>1773</v>
      </c>
      <c r="C989" s="1" t="s">
        <v>98</v>
      </c>
      <c r="D989" s="5">
        <v>45278</v>
      </c>
      <c r="E989" s="10">
        <v>0.48680555555555555</v>
      </c>
      <c r="F989" s="15">
        <f t="shared" si="45"/>
        <v>12</v>
      </c>
      <c r="G989" s="10" t="str">
        <f t="shared" si="46"/>
        <v>Monday</v>
      </c>
      <c r="H989" s="9" t="str">
        <f t="shared" si="47"/>
        <v>December</v>
      </c>
      <c r="I989" t="s">
        <v>96</v>
      </c>
      <c r="J989" t="s">
        <v>59</v>
      </c>
      <c r="K989">
        <v>2228</v>
      </c>
      <c r="L989" s="5" t="str">
        <f>IF(OR(K989&lt;Answers!$C$16,Orders!K989&gt;Answers!$C$17),"Yes","No")</f>
        <v>No</v>
      </c>
      <c r="M989" s="14">
        <f>VLOOKUP(B989,Customers!$A$1:$E$2501,4,0)</f>
        <v>22</v>
      </c>
    </row>
    <row r="990" spans="1:13" x14ac:dyDescent="0.3">
      <c r="A990">
        <v>658249</v>
      </c>
      <c r="B990">
        <v>1588</v>
      </c>
      <c r="C990" s="1" t="s">
        <v>99</v>
      </c>
      <c r="D990" s="5">
        <v>45160</v>
      </c>
      <c r="E990" s="10">
        <v>36810</v>
      </c>
      <c r="F990" s="15">
        <f t="shared" si="45"/>
        <v>8</v>
      </c>
      <c r="G990" s="10" t="str">
        <f t="shared" si="46"/>
        <v>Tuesday</v>
      </c>
      <c r="H990" s="9" t="str">
        <f t="shared" si="47"/>
        <v>August</v>
      </c>
      <c r="I990" t="s">
        <v>190</v>
      </c>
      <c r="J990" t="s">
        <v>51</v>
      </c>
      <c r="K990">
        <v>6820</v>
      </c>
      <c r="L990" s="5" t="str">
        <f>IF(OR(K990&lt;Answers!$C$16,Orders!K990&gt;Answers!$C$17),"Yes","No")</f>
        <v>No</v>
      </c>
      <c r="M990" s="14">
        <f>VLOOKUP(B990,Customers!$A$1:$E$2501,4,0)</f>
        <v>74</v>
      </c>
    </row>
    <row r="991" spans="1:13" x14ac:dyDescent="0.3">
      <c r="A991">
        <v>658815</v>
      </c>
      <c r="B991">
        <v>1190</v>
      </c>
      <c r="C991" s="1" t="s">
        <v>102</v>
      </c>
      <c r="D991" s="5">
        <v>45255</v>
      </c>
      <c r="E991" s="10">
        <v>0.51041666666666663</v>
      </c>
      <c r="F991" s="15">
        <f t="shared" si="45"/>
        <v>11</v>
      </c>
      <c r="G991" s="10" t="str">
        <f t="shared" si="46"/>
        <v>Saturday</v>
      </c>
      <c r="H991" s="9" t="str">
        <f t="shared" si="47"/>
        <v>November</v>
      </c>
      <c r="I991" t="s">
        <v>190</v>
      </c>
      <c r="J991" t="s">
        <v>29</v>
      </c>
      <c r="K991">
        <v>5243</v>
      </c>
      <c r="L991" s="5" t="str">
        <f>IF(OR(K991&lt;Answers!$C$16,Orders!K991&gt;Answers!$C$17),"Yes","No")</f>
        <v>No</v>
      </c>
      <c r="M991" s="14">
        <f>VLOOKUP(B991,Customers!$A$1:$E$2501,4,0)</f>
        <v>50</v>
      </c>
    </row>
    <row r="992" spans="1:13" x14ac:dyDescent="0.3">
      <c r="A992">
        <v>659390</v>
      </c>
      <c r="B992">
        <v>159</v>
      </c>
      <c r="C992" s="1" t="s">
        <v>98</v>
      </c>
      <c r="D992" s="5">
        <v>45276</v>
      </c>
      <c r="E992" s="10">
        <v>0.51041666666666663</v>
      </c>
      <c r="F992" s="15">
        <f t="shared" si="45"/>
        <v>12</v>
      </c>
      <c r="G992" s="10" t="str">
        <f t="shared" si="46"/>
        <v>Saturday</v>
      </c>
      <c r="H992" s="9" t="str">
        <f t="shared" si="47"/>
        <v>December</v>
      </c>
      <c r="I992" t="s">
        <v>96</v>
      </c>
      <c r="J992" t="s">
        <v>26</v>
      </c>
      <c r="K992">
        <v>2372</v>
      </c>
      <c r="L992" s="5" t="str">
        <f>IF(OR(K992&lt;Answers!$C$16,Orders!K992&gt;Answers!$C$17),"Yes","No")</f>
        <v>No</v>
      </c>
      <c r="M992" s="14">
        <f>VLOOKUP(B992,Customers!$A$1:$E$2501,4,0)</f>
        <v>25</v>
      </c>
    </row>
    <row r="993" spans="1:13" x14ac:dyDescent="0.3">
      <c r="A993">
        <v>659698</v>
      </c>
      <c r="B993">
        <v>767</v>
      </c>
      <c r="C993" s="1" t="s">
        <v>98</v>
      </c>
      <c r="D993" s="5">
        <v>45168</v>
      </c>
      <c r="E993" s="10">
        <v>5.5555555555555552E-2</v>
      </c>
      <c r="F993" s="15">
        <f t="shared" si="45"/>
        <v>8</v>
      </c>
      <c r="G993" s="10" t="str">
        <f t="shared" si="46"/>
        <v>Wednesday</v>
      </c>
      <c r="H993" s="9" t="str">
        <f t="shared" si="47"/>
        <v>August</v>
      </c>
      <c r="I993" t="s">
        <v>97</v>
      </c>
      <c r="J993" t="s">
        <v>42</v>
      </c>
      <c r="K993">
        <v>6482</v>
      </c>
      <c r="L993" s="5" t="str">
        <f>IF(OR(K993&lt;Answers!$C$16,Orders!K993&gt;Answers!$C$17),"Yes","No")</f>
        <v>No</v>
      </c>
      <c r="M993" s="14">
        <f>VLOOKUP(B993,Customers!$A$1:$E$2501,4,0)</f>
        <v>30</v>
      </c>
    </row>
    <row r="994" spans="1:13" x14ac:dyDescent="0.3">
      <c r="A994">
        <v>659911</v>
      </c>
      <c r="B994">
        <v>983</v>
      </c>
      <c r="C994" s="1" t="s">
        <v>98</v>
      </c>
      <c r="D994" s="5">
        <v>45144</v>
      </c>
      <c r="E994" s="10">
        <v>5.347222222222222E-2</v>
      </c>
      <c r="F994" s="15">
        <f t="shared" si="45"/>
        <v>8</v>
      </c>
      <c r="G994" s="10" t="str">
        <f t="shared" si="46"/>
        <v>Sunday</v>
      </c>
      <c r="H994" s="9" t="str">
        <f t="shared" si="47"/>
        <v>August</v>
      </c>
      <c r="I994" t="s">
        <v>95</v>
      </c>
      <c r="J994" t="s">
        <v>26</v>
      </c>
      <c r="K994">
        <v>1431</v>
      </c>
      <c r="L994" s="5" t="str">
        <f>IF(OR(K994&lt;Answers!$C$16,Orders!K994&gt;Answers!$C$17),"Yes","No")</f>
        <v>No</v>
      </c>
      <c r="M994" s="14">
        <f>VLOOKUP(B994,Customers!$A$1:$E$2501,4,0)</f>
        <v>58</v>
      </c>
    </row>
    <row r="995" spans="1:13" x14ac:dyDescent="0.3">
      <c r="A995">
        <v>660187</v>
      </c>
      <c r="B995">
        <v>1374</v>
      </c>
      <c r="C995" s="1" t="s">
        <v>99</v>
      </c>
      <c r="D995" s="5">
        <v>45130</v>
      </c>
      <c r="E995" s="10">
        <v>36567</v>
      </c>
      <c r="F995" s="15">
        <f t="shared" si="45"/>
        <v>7</v>
      </c>
      <c r="G995" s="10" t="str">
        <f t="shared" si="46"/>
        <v>Sunday</v>
      </c>
      <c r="H995" s="9" t="str">
        <f t="shared" si="47"/>
        <v>July</v>
      </c>
      <c r="I995" t="s">
        <v>95</v>
      </c>
      <c r="J995" t="s">
        <v>24</v>
      </c>
      <c r="K995">
        <v>6369</v>
      </c>
      <c r="L995" s="5" t="str">
        <f>IF(OR(K995&lt;Answers!$C$16,Orders!K995&gt;Answers!$C$17),"Yes","No")</f>
        <v>No</v>
      </c>
      <c r="M995" s="14">
        <f>VLOOKUP(B995,Customers!$A$1:$E$2501,4,0)</f>
        <v>80</v>
      </c>
    </row>
    <row r="996" spans="1:13" x14ac:dyDescent="0.3">
      <c r="A996">
        <v>660830</v>
      </c>
      <c r="B996">
        <v>1404</v>
      </c>
      <c r="C996" s="1" t="s">
        <v>98</v>
      </c>
      <c r="D996" s="5">
        <v>44932</v>
      </c>
      <c r="E996" s="10">
        <v>36537</v>
      </c>
      <c r="F996" s="15">
        <f t="shared" si="45"/>
        <v>1</v>
      </c>
      <c r="G996" s="10" t="str">
        <f t="shared" si="46"/>
        <v>Friday</v>
      </c>
      <c r="H996" s="9" t="str">
        <f t="shared" si="47"/>
        <v>January</v>
      </c>
      <c r="I996" t="s">
        <v>190</v>
      </c>
      <c r="J996" t="s">
        <v>79</v>
      </c>
      <c r="K996">
        <v>7643</v>
      </c>
      <c r="L996" s="5" t="str">
        <f>IF(OR(K996&lt;Answers!$C$16,Orders!K996&gt;Answers!$C$17),"Yes","No")</f>
        <v>No</v>
      </c>
      <c r="M996" s="14">
        <f>VLOOKUP(B996,Customers!$A$1:$E$2501,4,0)</f>
        <v>59</v>
      </c>
    </row>
    <row r="997" spans="1:13" x14ac:dyDescent="0.3">
      <c r="A997">
        <v>661163</v>
      </c>
      <c r="B997">
        <v>1426</v>
      </c>
      <c r="C997" s="1" t="s">
        <v>98</v>
      </c>
      <c r="D997" s="5">
        <v>45001</v>
      </c>
      <c r="E997" s="10">
        <v>0.53472222222222221</v>
      </c>
      <c r="F997" s="15">
        <f t="shared" si="45"/>
        <v>3</v>
      </c>
      <c r="G997" s="10" t="str">
        <f t="shared" si="46"/>
        <v>Thursday</v>
      </c>
      <c r="H997" s="9" t="str">
        <f t="shared" si="47"/>
        <v>March</v>
      </c>
      <c r="I997" t="s">
        <v>190</v>
      </c>
      <c r="J997" t="s">
        <v>53</v>
      </c>
      <c r="K997">
        <v>5069</v>
      </c>
      <c r="L997" s="5" t="str">
        <f>IF(OR(K997&lt;Answers!$C$16,Orders!K997&gt;Answers!$C$17),"Yes","No")</f>
        <v>No</v>
      </c>
      <c r="M997" s="14">
        <f>VLOOKUP(B997,Customers!$A$1:$E$2501,4,0)</f>
        <v>37</v>
      </c>
    </row>
    <row r="998" spans="1:13" x14ac:dyDescent="0.3">
      <c r="A998">
        <v>661382</v>
      </c>
      <c r="B998">
        <v>1488</v>
      </c>
      <c r="C998" s="1" t="s">
        <v>98</v>
      </c>
      <c r="D998" s="5">
        <v>44949</v>
      </c>
      <c r="E998" s="10">
        <v>0.46805555555555556</v>
      </c>
      <c r="F998" s="15">
        <f t="shared" si="45"/>
        <v>1</v>
      </c>
      <c r="G998" s="10" t="str">
        <f t="shared" si="46"/>
        <v>Monday</v>
      </c>
      <c r="H998" s="9" t="str">
        <f t="shared" si="47"/>
        <v>January</v>
      </c>
      <c r="I998" t="s">
        <v>190</v>
      </c>
      <c r="J998" t="s">
        <v>37</v>
      </c>
      <c r="K998">
        <v>970</v>
      </c>
      <c r="L998" s="5" t="str">
        <f>IF(OR(K998&lt;Answers!$C$16,Orders!K998&gt;Answers!$C$17),"Yes","No")</f>
        <v>No</v>
      </c>
      <c r="M998" s="14">
        <f>VLOOKUP(B998,Customers!$A$1:$E$2501,4,0)</f>
        <v>35</v>
      </c>
    </row>
    <row r="999" spans="1:13" x14ac:dyDescent="0.3">
      <c r="A999">
        <v>661822</v>
      </c>
      <c r="B999">
        <v>177</v>
      </c>
      <c r="C999" s="1" t="s">
        <v>112</v>
      </c>
      <c r="D999" s="5">
        <v>45214</v>
      </c>
      <c r="E999" s="10">
        <v>0.48402777777777778</v>
      </c>
      <c r="F999" s="15">
        <f t="shared" si="45"/>
        <v>10</v>
      </c>
      <c r="G999" s="10" t="str">
        <f t="shared" si="46"/>
        <v>Sunday</v>
      </c>
      <c r="H999" s="9" t="str">
        <f t="shared" si="47"/>
        <v>October</v>
      </c>
      <c r="I999" t="s">
        <v>190</v>
      </c>
      <c r="J999" t="s">
        <v>33</v>
      </c>
      <c r="K999">
        <v>2352</v>
      </c>
      <c r="L999" s="5" t="str">
        <f>IF(OR(K999&lt;Answers!$C$16,Orders!K999&gt;Answers!$C$17),"Yes","No")</f>
        <v>No</v>
      </c>
      <c r="M999" s="14">
        <f>VLOOKUP(B999,Customers!$A$1:$E$2501,4,0)</f>
        <v>75</v>
      </c>
    </row>
    <row r="1000" spans="1:13" x14ac:dyDescent="0.3">
      <c r="A1000">
        <v>662950</v>
      </c>
      <c r="B1000">
        <v>1320</v>
      </c>
      <c r="C1000" s="1" t="s">
        <v>108</v>
      </c>
      <c r="D1000" s="5">
        <v>45098</v>
      </c>
      <c r="E1000" s="10">
        <v>0.48194444444444445</v>
      </c>
      <c r="F1000" s="15">
        <f t="shared" si="45"/>
        <v>6</v>
      </c>
      <c r="G1000" s="10" t="str">
        <f t="shared" si="46"/>
        <v>Wednesday</v>
      </c>
      <c r="H1000" s="9" t="str">
        <f t="shared" si="47"/>
        <v>June</v>
      </c>
      <c r="I1000" t="s">
        <v>96</v>
      </c>
      <c r="J1000" t="s">
        <v>59</v>
      </c>
      <c r="K1000">
        <v>8477</v>
      </c>
      <c r="L1000" s="5" t="str">
        <f>IF(OR(K1000&lt;Answers!$C$16,Orders!K1000&gt;Answers!$C$17),"Yes","No")</f>
        <v>No</v>
      </c>
      <c r="M1000" s="14">
        <f>VLOOKUP(B1000,Customers!$A$1:$E$2501,4,0)</f>
        <v>71</v>
      </c>
    </row>
    <row r="1001" spans="1:13" x14ac:dyDescent="0.3">
      <c r="A1001">
        <v>663055</v>
      </c>
      <c r="B1001">
        <v>626</v>
      </c>
      <c r="C1001" s="1" t="s">
        <v>98</v>
      </c>
      <c r="D1001" s="5">
        <v>45096</v>
      </c>
      <c r="E1001" s="10">
        <v>0.47569444444444442</v>
      </c>
      <c r="F1001" s="15">
        <f t="shared" si="45"/>
        <v>6</v>
      </c>
      <c r="G1001" s="10" t="str">
        <f t="shared" si="46"/>
        <v>Monday</v>
      </c>
      <c r="H1001" s="9" t="str">
        <f t="shared" si="47"/>
        <v>June</v>
      </c>
      <c r="I1001" t="s">
        <v>96</v>
      </c>
      <c r="J1001" t="s">
        <v>62</v>
      </c>
      <c r="K1001">
        <v>6976</v>
      </c>
      <c r="L1001" s="5" t="str">
        <f>IF(OR(K1001&lt;Answers!$C$16,Orders!K1001&gt;Answers!$C$17),"Yes","No")</f>
        <v>No</v>
      </c>
      <c r="M1001" s="14">
        <f>VLOOKUP(B1001,Customers!$A$1:$E$2501,4,0)</f>
        <v>59</v>
      </c>
    </row>
    <row r="1002" spans="1:13" x14ac:dyDescent="0.3">
      <c r="A1002">
        <v>664585</v>
      </c>
      <c r="B1002">
        <v>1236</v>
      </c>
      <c r="C1002" s="1" t="s">
        <v>98</v>
      </c>
      <c r="D1002" s="7">
        <v>45087</v>
      </c>
      <c r="E1002" s="11">
        <v>0.53472222222222221</v>
      </c>
      <c r="F1002" s="15">
        <f t="shared" si="45"/>
        <v>6</v>
      </c>
      <c r="G1002" s="10" t="str">
        <f t="shared" si="46"/>
        <v>Saturday</v>
      </c>
      <c r="H1002" s="9" t="str">
        <f t="shared" si="47"/>
        <v>June</v>
      </c>
      <c r="I1002" t="s">
        <v>190</v>
      </c>
      <c r="J1002" t="s">
        <v>3</v>
      </c>
      <c r="K1002">
        <v>9357</v>
      </c>
      <c r="L1002" s="5" t="str">
        <f>IF(OR(K1002&lt;Answers!$C$16,Orders!K1002&gt;Answers!$C$17),"Yes","No")</f>
        <v>No</v>
      </c>
      <c r="M1002" s="14">
        <f>VLOOKUP(B1002,Customers!$A$1:$E$2501,4,0)</f>
        <v>47</v>
      </c>
    </row>
    <row r="1003" spans="1:13" x14ac:dyDescent="0.3">
      <c r="A1003">
        <v>664724</v>
      </c>
      <c r="B1003">
        <v>29</v>
      </c>
      <c r="C1003" s="1" t="s">
        <v>104</v>
      </c>
      <c r="D1003" s="7">
        <v>45176</v>
      </c>
      <c r="E1003" s="11">
        <v>0.4861111111111111</v>
      </c>
      <c r="F1003" s="15">
        <f t="shared" si="45"/>
        <v>9</v>
      </c>
      <c r="G1003" s="10" t="str">
        <f t="shared" si="46"/>
        <v>Thursday</v>
      </c>
      <c r="H1003" s="9" t="str">
        <f t="shared" si="47"/>
        <v>September</v>
      </c>
      <c r="I1003" t="s">
        <v>96</v>
      </c>
      <c r="J1003" t="s">
        <v>59</v>
      </c>
      <c r="K1003">
        <v>6535</v>
      </c>
      <c r="L1003" s="5" t="str">
        <f>IF(OR(K1003&lt;Answers!$C$16,Orders!K1003&gt;Answers!$C$17),"Yes","No")</f>
        <v>No</v>
      </c>
      <c r="M1003" s="14">
        <f>VLOOKUP(B1003,Customers!$A$1:$E$2501,4,0)</f>
        <v>19</v>
      </c>
    </row>
    <row r="1004" spans="1:13" x14ac:dyDescent="0.3">
      <c r="A1004">
        <v>666564</v>
      </c>
      <c r="B1004">
        <v>1217</v>
      </c>
      <c r="C1004" s="1" t="s">
        <v>98</v>
      </c>
      <c r="D1004" s="7">
        <v>44948</v>
      </c>
      <c r="E1004" s="11">
        <v>0.51458333333333328</v>
      </c>
      <c r="F1004" s="15">
        <f t="shared" si="45"/>
        <v>1</v>
      </c>
      <c r="G1004" s="10" t="str">
        <f t="shared" si="46"/>
        <v>Sunday</v>
      </c>
      <c r="H1004" s="9" t="str">
        <f t="shared" si="47"/>
        <v>January</v>
      </c>
      <c r="I1004" t="s">
        <v>95</v>
      </c>
      <c r="J1004" t="s">
        <v>42</v>
      </c>
      <c r="K1004">
        <v>5348</v>
      </c>
      <c r="L1004" s="5" t="str">
        <f>IF(OR(K1004&lt;Answers!$C$16,Orders!K1004&gt;Answers!$C$17),"Yes","No")</f>
        <v>No</v>
      </c>
      <c r="M1004" s="14">
        <f>VLOOKUP(B1004,Customers!$A$1:$E$2501,4,0)</f>
        <v>68</v>
      </c>
    </row>
    <row r="1005" spans="1:13" x14ac:dyDescent="0.3">
      <c r="A1005">
        <v>666686</v>
      </c>
      <c r="B1005">
        <v>1580</v>
      </c>
      <c r="C1005" s="1" t="s">
        <v>100</v>
      </c>
      <c r="D1005" s="7">
        <v>45269</v>
      </c>
      <c r="E1005" s="11">
        <v>0.52152777777777781</v>
      </c>
      <c r="F1005" s="15">
        <f t="shared" si="45"/>
        <v>12</v>
      </c>
      <c r="G1005" s="10" t="str">
        <f t="shared" si="46"/>
        <v>Saturday</v>
      </c>
      <c r="H1005" s="9" t="str">
        <f t="shared" si="47"/>
        <v>December</v>
      </c>
      <c r="I1005" t="s">
        <v>190</v>
      </c>
      <c r="J1005" t="s">
        <v>39</v>
      </c>
      <c r="K1005">
        <v>3933</v>
      </c>
      <c r="L1005" s="5" t="str">
        <f>IF(OR(K1005&lt;Answers!$C$16,Orders!K1005&gt;Answers!$C$17),"Yes","No")</f>
        <v>No</v>
      </c>
      <c r="M1005" s="14">
        <f>VLOOKUP(B1005,Customers!$A$1:$E$2501,4,0)</f>
        <v>85</v>
      </c>
    </row>
    <row r="1006" spans="1:13" x14ac:dyDescent="0.3">
      <c r="A1006">
        <v>668693</v>
      </c>
      <c r="B1006">
        <v>27</v>
      </c>
      <c r="C1006" s="1" t="s">
        <v>98</v>
      </c>
      <c r="D1006" s="7">
        <v>44936</v>
      </c>
      <c r="E1006" s="11">
        <v>36841</v>
      </c>
      <c r="F1006" s="15">
        <f t="shared" si="45"/>
        <v>1</v>
      </c>
      <c r="G1006" s="10" t="str">
        <f t="shared" si="46"/>
        <v>Tuesday</v>
      </c>
      <c r="H1006" s="9" t="str">
        <f t="shared" si="47"/>
        <v>January</v>
      </c>
      <c r="I1006" t="s">
        <v>190</v>
      </c>
      <c r="J1006" t="s">
        <v>80</v>
      </c>
      <c r="K1006">
        <v>3654</v>
      </c>
      <c r="L1006" s="5" t="str">
        <f>IF(OR(K1006&lt;Answers!$C$16,Orders!K1006&gt;Answers!$C$17),"Yes","No")</f>
        <v>No</v>
      </c>
      <c r="M1006" s="14">
        <f>VLOOKUP(B1006,Customers!$A$1:$E$2501,4,0)</f>
        <v>66</v>
      </c>
    </row>
    <row r="1007" spans="1:13" x14ac:dyDescent="0.3">
      <c r="A1007">
        <v>670170</v>
      </c>
      <c r="B1007">
        <v>1773</v>
      </c>
      <c r="C1007" s="1" t="s">
        <v>98</v>
      </c>
      <c r="D1007" s="7">
        <v>45009</v>
      </c>
      <c r="E1007" s="11">
        <v>0.45277777777777778</v>
      </c>
      <c r="F1007" s="15">
        <f t="shared" si="45"/>
        <v>3</v>
      </c>
      <c r="G1007" s="10" t="str">
        <f t="shared" si="46"/>
        <v>Friday</v>
      </c>
      <c r="H1007" s="9" t="str">
        <f t="shared" si="47"/>
        <v>March</v>
      </c>
      <c r="I1007" t="s">
        <v>190</v>
      </c>
      <c r="J1007" t="s">
        <v>81</v>
      </c>
      <c r="K1007">
        <v>877</v>
      </c>
      <c r="L1007" s="5" t="str">
        <f>IF(OR(K1007&lt;Answers!$C$16,Orders!K1007&gt;Answers!$C$17),"Yes","No")</f>
        <v>No</v>
      </c>
      <c r="M1007" s="14">
        <f>VLOOKUP(B1007,Customers!$A$1:$E$2501,4,0)</f>
        <v>22</v>
      </c>
    </row>
    <row r="1008" spans="1:13" x14ac:dyDescent="0.3">
      <c r="A1008">
        <v>670697</v>
      </c>
      <c r="B1008">
        <v>171</v>
      </c>
      <c r="C1008" s="1" t="s">
        <v>98</v>
      </c>
      <c r="D1008" s="7">
        <v>45062</v>
      </c>
      <c r="E1008" s="11">
        <v>0.51597222222222228</v>
      </c>
      <c r="F1008" s="15">
        <f t="shared" si="45"/>
        <v>5</v>
      </c>
      <c r="G1008" s="10" t="str">
        <f t="shared" si="46"/>
        <v>Tuesday</v>
      </c>
      <c r="H1008" s="9" t="str">
        <f t="shared" si="47"/>
        <v>May</v>
      </c>
      <c r="I1008" t="s">
        <v>190</v>
      </c>
      <c r="J1008" t="s">
        <v>20</v>
      </c>
      <c r="K1008">
        <v>4251</v>
      </c>
      <c r="L1008" s="5" t="str">
        <f>IF(OR(K1008&lt;Answers!$C$16,Orders!K1008&gt;Answers!$C$17),"Yes","No")</f>
        <v>No</v>
      </c>
      <c r="M1008" s="14">
        <f>VLOOKUP(B1008,Customers!$A$1:$E$2501,4,0)</f>
        <v>31</v>
      </c>
    </row>
    <row r="1009" spans="1:13" x14ac:dyDescent="0.3">
      <c r="A1009">
        <v>670916</v>
      </c>
      <c r="B1009">
        <v>1977</v>
      </c>
      <c r="C1009" s="1" t="s">
        <v>98</v>
      </c>
      <c r="D1009" s="7">
        <v>45017</v>
      </c>
      <c r="E1009" s="11">
        <v>36800</v>
      </c>
      <c r="F1009" s="15">
        <f t="shared" si="45"/>
        <v>4</v>
      </c>
      <c r="G1009" s="10" t="str">
        <f t="shared" si="46"/>
        <v>Saturday</v>
      </c>
      <c r="H1009" s="9" t="str">
        <f t="shared" si="47"/>
        <v>April</v>
      </c>
      <c r="I1009" t="s">
        <v>95</v>
      </c>
      <c r="J1009" t="s">
        <v>65</v>
      </c>
      <c r="K1009">
        <v>9847</v>
      </c>
      <c r="L1009" s="5" t="str">
        <f>IF(OR(K1009&lt;Answers!$C$16,Orders!K1009&gt;Answers!$C$17),"Yes","No")</f>
        <v>No</v>
      </c>
      <c r="M1009" s="14">
        <f>VLOOKUP(B1009,Customers!$A$1:$E$2501,4,0)</f>
        <v>79</v>
      </c>
    </row>
    <row r="1010" spans="1:13" x14ac:dyDescent="0.3">
      <c r="A1010">
        <v>671201</v>
      </c>
      <c r="B1010">
        <v>456</v>
      </c>
      <c r="C1010" s="1" t="s">
        <v>100</v>
      </c>
      <c r="D1010" s="7">
        <v>45075</v>
      </c>
      <c r="E1010" s="11">
        <v>5.5555555555555552E-2</v>
      </c>
      <c r="F1010" s="15">
        <f t="shared" si="45"/>
        <v>5</v>
      </c>
      <c r="G1010" s="10" t="str">
        <f t="shared" si="46"/>
        <v>Monday</v>
      </c>
      <c r="H1010" s="9" t="str">
        <f t="shared" si="47"/>
        <v>May</v>
      </c>
      <c r="I1010" t="s">
        <v>190</v>
      </c>
      <c r="J1010" t="s">
        <v>26</v>
      </c>
      <c r="K1010">
        <v>9565</v>
      </c>
      <c r="L1010" s="5" t="str">
        <f>IF(OR(K1010&lt;Answers!$C$16,Orders!K1010&gt;Answers!$C$17),"Yes","No")</f>
        <v>No</v>
      </c>
      <c r="M1010" s="14">
        <f>VLOOKUP(B1010,Customers!$A$1:$E$2501,4,0)</f>
        <v>75</v>
      </c>
    </row>
    <row r="1011" spans="1:13" x14ac:dyDescent="0.3">
      <c r="A1011">
        <v>671270</v>
      </c>
      <c r="B1011">
        <v>1084</v>
      </c>
      <c r="C1011" s="1" t="s">
        <v>112</v>
      </c>
      <c r="D1011" s="7">
        <v>45269</v>
      </c>
      <c r="E1011" s="11">
        <v>0.49027777777777776</v>
      </c>
      <c r="F1011" s="15">
        <f t="shared" si="45"/>
        <v>12</v>
      </c>
      <c r="G1011" s="10" t="str">
        <f t="shared" si="46"/>
        <v>Saturday</v>
      </c>
      <c r="H1011" s="9" t="str">
        <f t="shared" si="47"/>
        <v>December</v>
      </c>
      <c r="I1011" t="s">
        <v>95</v>
      </c>
      <c r="J1011" t="s">
        <v>38</v>
      </c>
      <c r="K1011">
        <v>258</v>
      </c>
      <c r="L1011" s="5" t="str">
        <f>IF(OR(K1011&lt;Answers!$C$16,Orders!K1011&gt;Answers!$C$17),"Yes","No")</f>
        <v>No</v>
      </c>
      <c r="M1011" s="14">
        <f>VLOOKUP(B1011,Customers!$A$1:$E$2501,4,0)</f>
        <v>75</v>
      </c>
    </row>
    <row r="1012" spans="1:13" x14ac:dyDescent="0.3">
      <c r="A1012">
        <v>671412</v>
      </c>
      <c r="B1012">
        <v>356</v>
      </c>
      <c r="C1012" s="1" t="s">
        <v>112</v>
      </c>
      <c r="D1012" s="7">
        <v>45215</v>
      </c>
      <c r="E1012" s="11">
        <v>36842</v>
      </c>
      <c r="F1012" s="15">
        <f t="shared" si="45"/>
        <v>10</v>
      </c>
      <c r="G1012" s="10" t="str">
        <f t="shared" si="46"/>
        <v>Monday</v>
      </c>
      <c r="H1012" s="9" t="str">
        <f t="shared" si="47"/>
        <v>October</v>
      </c>
      <c r="I1012" t="s">
        <v>190</v>
      </c>
      <c r="J1012" t="s">
        <v>26</v>
      </c>
      <c r="K1012">
        <v>1921</v>
      </c>
      <c r="L1012" s="5" t="str">
        <f>IF(OR(K1012&lt;Answers!$C$16,Orders!K1012&gt;Answers!$C$17),"Yes","No")</f>
        <v>No</v>
      </c>
      <c r="M1012" s="14">
        <f>VLOOKUP(B1012,Customers!$A$1:$E$2501,4,0)</f>
        <v>41</v>
      </c>
    </row>
    <row r="1013" spans="1:13" x14ac:dyDescent="0.3">
      <c r="A1013">
        <v>671598</v>
      </c>
      <c r="B1013">
        <v>342</v>
      </c>
      <c r="C1013" s="1" t="s">
        <v>200</v>
      </c>
      <c r="D1013" s="7">
        <v>44969</v>
      </c>
      <c r="E1013" s="11">
        <v>0.52708333333333335</v>
      </c>
      <c r="F1013" s="15">
        <f t="shared" si="45"/>
        <v>2</v>
      </c>
      <c r="G1013" s="10" t="str">
        <f t="shared" si="46"/>
        <v>Sunday</v>
      </c>
      <c r="H1013" s="9" t="str">
        <f t="shared" si="47"/>
        <v>February</v>
      </c>
      <c r="I1013" t="s">
        <v>97</v>
      </c>
      <c r="J1013" t="s">
        <v>42</v>
      </c>
      <c r="K1013">
        <v>8711</v>
      </c>
      <c r="L1013" s="5" t="str">
        <f>IF(OR(K1013&lt;Answers!$C$16,Orders!K1013&gt;Answers!$C$17),"Yes","No")</f>
        <v>No</v>
      </c>
      <c r="M1013" s="14">
        <f>VLOOKUP(B1013,Customers!$A$1:$E$2501,4,0)</f>
        <v>65</v>
      </c>
    </row>
    <row r="1014" spans="1:13" x14ac:dyDescent="0.3">
      <c r="A1014">
        <v>671670</v>
      </c>
      <c r="B1014">
        <v>523</v>
      </c>
      <c r="C1014" s="1" t="s">
        <v>98</v>
      </c>
      <c r="D1014" s="7">
        <v>45155</v>
      </c>
      <c r="E1014" s="11">
        <v>36647</v>
      </c>
      <c r="F1014" s="15">
        <f t="shared" si="45"/>
        <v>8</v>
      </c>
      <c r="G1014" s="10" t="str">
        <f t="shared" si="46"/>
        <v>Thursday</v>
      </c>
      <c r="H1014" s="9" t="str">
        <f t="shared" si="47"/>
        <v>August</v>
      </c>
      <c r="I1014" t="s">
        <v>190</v>
      </c>
      <c r="J1014" t="s">
        <v>61</v>
      </c>
      <c r="K1014">
        <v>6441</v>
      </c>
      <c r="L1014" s="5" t="str">
        <f>IF(OR(K1014&lt;Answers!$C$16,Orders!K1014&gt;Answers!$C$17),"Yes","No")</f>
        <v>No</v>
      </c>
      <c r="M1014" s="14">
        <f>VLOOKUP(B1014,Customers!$A$1:$E$2501,4,0)</f>
        <v>26</v>
      </c>
    </row>
    <row r="1015" spans="1:13" x14ac:dyDescent="0.3">
      <c r="A1015">
        <v>672076</v>
      </c>
      <c r="B1015">
        <v>27</v>
      </c>
      <c r="C1015" s="1" t="s">
        <v>98</v>
      </c>
      <c r="D1015" s="7">
        <v>44933</v>
      </c>
      <c r="E1015" s="11">
        <v>0.43680555555555556</v>
      </c>
      <c r="F1015" s="15">
        <f t="shared" si="45"/>
        <v>1</v>
      </c>
      <c r="G1015" s="10" t="str">
        <f t="shared" si="46"/>
        <v>Saturday</v>
      </c>
      <c r="H1015" s="9" t="str">
        <f t="shared" si="47"/>
        <v>January</v>
      </c>
      <c r="I1015" t="s">
        <v>95</v>
      </c>
      <c r="J1015" t="s">
        <v>26</v>
      </c>
      <c r="K1015">
        <v>9162</v>
      </c>
      <c r="L1015" s="5" t="str">
        <f>IF(OR(K1015&lt;Answers!$C$16,Orders!K1015&gt;Answers!$C$17),"Yes","No")</f>
        <v>No</v>
      </c>
      <c r="M1015" s="14">
        <f>VLOOKUP(B1015,Customers!$A$1:$E$2501,4,0)</f>
        <v>66</v>
      </c>
    </row>
    <row r="1016" spans="1:13" x14ac:dyDescent="0.3">
      <c r="A1016">
        <v>672686</v>
      </c>
      <c r="B1016">
        <v>1985</v>
      </c>
      <c r="C1016" s="1" t="s">
        <v>99</v>
      </c>
      <c r="D1016" s="7">
        <v>45259</v>
      </c>
      <c r="E1016" s="11">
        <v>7.0833333333333331E-2</v>
      </c>
      <c r="F1016" s="15">
        <f t="shared" si="45"/>
        <v>11</v>
      </c>
      <c r="G1016" s="10" t="str">
        <f t="shared" si="46"/>
        <v>Wednesday</v>
      </c>
      <c r="H1016" s="9" t="str">
        <f t="shared" si="47"/>
        <v>November</v>
      </c>
      <c r="I1016" t="s">
        <v>190</v>
      </c>
      <c r="J1016" t="s">
        <v>48</v>
      </c>
      <c r="K1016">
        <v>2269</v>
      </c>
      <c r="L1016" s="5" t="str">
        <f>IF(OR(K1016&lt;Answers!$C$16,Orders!K1016&gt;Answers!$C$17),"Yes","No")</f>
        <v>No</v>
      </c>
      <c r="M1016" s="14">
        <f>VLOOKUP(B1016,Customers!$A$1:$E$2501,4,0)</f>
        <v>49</v>
      </c>
    </row>
    <row r="1017" spans="1:13" x14ac:dyDescent="0.3">
      <c r="A1017">
        <v>673115</v>
      </c>
      <c r="B1017">
        <v>1619</v>
      </c>
      <c r="C1017" s="1" t="s">
        <v>98</v>
      </c>
      <c r="D1017" s="7">
        <v>44960</v>
      </c>
      <c r="E1017" s="11">
        <v>0.46736111111111112</v>
      </c>
      <c r="F1017" s="15">
        <f t="shared" si="45"/>
        <v>2</v>
      </c>
      <c r="G1017" s="10" t="str">
        <f t="shared" si="46"/>
        <v>Friday</v>
      </c>
      <c r="H1017" s="9" t="str">
        <f t="shared" si="47"/>
        <v>February</v>
      </c>
      <c r="I1017" t="s">
        <v>190</v>
      </c>
      <c r="J1017" t="s">
        <v>65</v>
      </c>
      <c r="K1017">
        <v>3556</v>
      </c>
      <c r="L1017" s="5" t="str">
        <f>IF(OR(K1017&lt;Answers!$C$16,Orders!K1017&gt;Answers!$C$17),"Yes","No")</f>
        <v>No</v>
      </c>
      <c r="M1017" s="14">
        <f>VLOOKUP(B1017,Customers!$A$1:$E$2501,4,0)</f>
        <v>56</v>
      </c>
    </row>
    <row r="1018" spans="1:13" x14ac:dyDescent="0.3">
      <c r="A1018">
        <v>673915</v>
      </c>
      <c r="B1018">
        <v>1426</v>
      </c>
      <c r="C1018" s="1" t="s">
        <v>98</v>
      </c>
      <c r="D1018" s="7">
        <v>45250</v>
      </c>
      <c r="E1018" s="11">
        <v>0.45277777777777778</v>
      </c>
      <c r="F1018" s="15">
        <f t="shared" si="45"/>
        <v>11</v>
      </c>
      <c r="G1018" s="10" t="str">
        <f t="shared" si="46"/>
        <v>Monday</v>
      </c>
      <c r="H1018" s="9" t="str">
        <f t="shared" si="47"/>
        <v>November</v>
      </c>
      <c r="I1018" t="s">
        <v>97</v>
      </c>
      <c r="J1018" t="s">
        <v>70</v>
      </c>
      <c r="K1018">
        <v>1043</v>
      </c>
      <c r="L1018" s="5" t="str">
        <f>IF(OR(K1018&lt;Answers!$C$16,Orders!K1018&gt;Answers!$C$17),"Yes","No")</f>
        <v>No</v>
      </c>
      <c r="M1018" s="14">
        <f>VLOOKUP(B1018,Customers!$A$1:$E$2501,4,0)</f>
        <v>37</v>
      </c>
    </row>
    <row r="1019" spans="1:13" x14ac:dyDescent="0.3">
      <c r="A1019">
        <v>674745</v>
      </c>
      <c r="B1019">
        <v>613</v>
      </c>
      <c r="C1019" s="1" t="s">
        <v>112</v>
      </c>
      <c r="D1019" s="7">
        <v>44978</v>
      </c>
      <c r="E1019" s="11">
        <v>36526</v>
      </c>
      <c r="F1019" s="15">
        <f t="shared" si="45"/>
        <v>2</v>
      </c>
      <c r="G1019" s="10" t="str">
        <f t="shared" si="46"/>
        <v>Tuesday</v>
      </c>
      <c r="H1019" s="9" t="str">
        <f t="shared" si="47"/>
        <v>February</v>
      </c>
      <c r="I1019" t="s">
        <v>190</v>
      </c>
      <c r="J1019" t="s">
        <v>77</v>
      </c>
      <c r="K1019">
        <v>4027</v>
      </c>
      <c r="L1019" s="5" t="str">
        <f>IF(OR(K1019&lt;Answers!$C$16,Orders!K1019&gt;Answers!$C$17),"Yes","No")</f>
        <v>No</v>
      </c>
      <c r="M1019" s="14">
        <f>VLOOKUP(B1019,Customers!$A$1:$E$2501,4,0)</f>
        <v>51</v>
      </c>
    </row>
    <row r="1020" spans="1:13" x14ac:dyDescent="0.3">
      <c r="A1020">
        <v>675163</v>
      </c>
      <c r="B1020">
        <v>26</v>
      </c>
      <c r="C1020" s="1" t="s">
        <v>99</v>
      </c>
      <c r="D1020" s="7">
        <v>45100</v>
      </c>
      <c r="E1020" s="11">
        <v>0.43958333333333333</v>
      </c>
      <c r="F1020" s="15">
        <f t="shared" si="45"/>
        <v>6</v>
      </c>
      <c r="G1020" s="10" t="str">
        <f t="shared" si="46"/>
        <v>Friday</v>
      </c>
      <c r="H1020" s="9" t="str">
        <f t="shared" si="47"/>
        <v>June</v>
      </c>
      <c r="I1020" t="s">
        <v>190</v>
      </c>
      <c r="J1020" t="s">
        <v>54</v>
      </c>
      <c r="K1020">
        <v>8499</v>
      </c>
      <c r="L1020" s="5" t="str">
        <f>IF(OR(K1020&lt;Answers!$C$16,Orders!K1020&gt;Answers!$C$17),"Yes","No")</f>
        <v>No</v>
      </c>
      <c r="M1020" s="14">
        <f>VLOOKUP(B1020,Customers!$A$1:$E$2501,4,0)</f>
        <v>27</v>
      </c>
    </row>
    <row r="1021" spans="1:13" x14ac:dyDescent="0.3">
      <c r="A1021">
        <v>675362</v>
      </c>
      <c r="B1021">
        <v>851</v>
      </c>
      <c r="C1021" s="1" t="s">
        <v>105</v>
      </c>
      <c r="D1021" s="7">
        <v>45061</v>
      </c>
      <c r="E1021" s="11">
        <v>0.46944444444444444</v>
      </c>
      <c r="F1021" s="15">
        <f t="shared" si="45"/>
        <v>5</v>
      </c>
      <c r="G1021" s="10" t="str">
        <f t="shared" si="46"/>
        <v>Monday</v>
      </c>
      <c r="H1021" s="9" t="str">
        <f t="shared" si="47"/>
        <v>May</v>
      </c>
      <c r="I1021" t="s">
        <v>95</v>
      </c>
      <c r="J1021" t="s">
        <v>76</v>
      </c>
      <c r="K1021">
        <v>6791</v>
      </c>
      <c r="L1021" s="5" t="str">
        <f>IF(OR(K1021&lt;Answers!$C$16,Orders!K1021&gt;Answers!$C$17),"Yes","No")</f>
        <v>No</v>
      </c>
      <c r="M1021" s="14">
        <f>VLOOKUP(B1021,Customers!$A$1:$E$2501,4,0)</f>
        <v>58</v>
      </c>
    </row>
    <row r="1022" spans="1:13" x14ac:dyDescent="0.3">
      <c r="A1022">
        <v>675864</v>
      </c>
      <c r="B1022">
        <v>15</v>
      </c>
      <c r="C1022" s="1" t="s">
        <v>108</v>
      </c>
      <c r="D1022" s="7">
        <v>45159</v>
      </c>
      <c r="E1022" s="11">
        <v>36872</v>
      </c>
      <c r="F1022" s="15">
        <f t="shared" si="45"/>
        <v>8</v>
      </c>
      <c r="G1022" s="10" t="str">
        <f t="shared" si="46"/>
        <v>Monday</v>
      </c>
      <c r="H1022" s="9" t="str">
        <f t="shared" si="47"/>
        <v>August</v>
      </c>
      <c r="I1022" t="s">
        <v>97</v>
      </c>
      <c r="J1022" t="s">
        <v>45</v>
      </c>
      <c r="K1022">
        <v>9493</v>
      </c>
      <c r="L1022" s="5" t="str">
        <f>IF(OR(K1022&lt;Answers!$C$16,Orders!K1022&gt;Answers!$C$17),"Yes","No")</f>
        <v>No</v>
      </c>
      <c r="M1022" s="14">
        <f>VLOOKUP(B1022,Customers!$A$1:$E$2501,4,0)</f>
        <v>48</v>
      </c>
    </row>
    <row r="1023" spans="1:13" x14ac:dyDescent="0.3">
      <c r="A1023">
        <v>677135</v>
      </c>
      <c r="B1023">
        <v>413</v>
      </c>
      <c r="C1023" s="1" t="s">
        <v>104</v>
      </c>
      <c r="D1023" s="7">
        <v>45049</v>
      </c>
      <c r="E1023" s="11">
        <v>0.51180555555555551</v>
      </c>
      <c r="F1023" s="15">
        <f t="shared" si="45"/>
        <v>5</v>
      </c>
      <c r="G1023" s="10" t="str">
        <f t="shared" si="46"/>
        <v>Wednesday</v>
      </c>
      <c r="H1023" s="9" t="str">
        <f t="shared" si="47"/>
        <v>May</v>
      </c>
      <c r="I1023" t="s">
        <v>190</v>
      </c>
      <c r="J1023" t="s">
        <v>63</v>
      </c>
      <c r="K1023">
        <v>4602</v>
      </c>
      <c r="L1023" s="5" t="str">
        <f>IF(OR(K1023&lt;Answers!$C$16,Orders!K1023&gt;Answers!$C$17),"Yes","No")</f>
        <v>No</v>
      </c>
      <c r="M1023" s="14">
        <f>VLOOKUP(B1023,Customers!$A$1:$E$2501,4,0)</f>
        <v>47</v>
      </c>
    </row>
    <row r="1024" spans="1:13" x14ac:dyDescent="0.3">
      <c r="A1024">
        <v>679362</v>
      </c>
      <c r="B1024">
        <v>955</v>
      </c>
      <c r="C1024" s="1" t="s">
        <v>112</v>
      </c>
      <c r="D1024" s="7">
        <v>45007</v>
      </c>
      <c r="E1024" s="11">
        <v>0.52361111111111114</v>
      </c>
      <c r="F1024" s="15">
        <f t="shared" si="45"/>
        <v>3</v>
      </c>
      <c r="G1024" s="10" t="str">
        <f t="shared" si="46"/>
        <v>Wednesday</v>
      </c>
      <c r="H1024" s="9" t="str">
        <f t="shared" si="47"/>
        <v>March</v>
      </c>
      <c r="I1024" t="s">
        <v>96</v>
      </c>
      <c r="J1024" t="s">
        <v>57</v>
      </c>
      <c r="K1024">
        <v>1750</v>
      </c>
      <c r="L1024" s="5" t="str">
        <f>IF(OR(K1024&lt;Answers!$C$16,Orders!K1024&gt;Answers!$C$17),"Yes","No")</f>
        <v>No</v>
      </c>
      <c r="M1024" s="14">
        <f>VLOOKUP(B1024,Customers!$A$1:$E$2501,4,0)</f>
        <v>85</v>
      </c>
    </row>
    <row r="1025" spans="1:13" x14ac:dyDescent="0.3">
      <c r="A1025">
        <v>679845</v>
      </c>
      <c r="B1025">
        <v>95</v>
      </c>
      <c r="C1025" s="1" t="s">
        <v>112</v>
      </c>
      <c r="D1025" s="7">
        <v>44981</v>
      </c>
      <c r="E1025" s="11">
        <v>36689</v>
      </c>
      <c r="F1025" s="15">
        <f t="shared" si="45"/>
        <v>2</v>
      </c>
      <c r="G1025" s="10" t="str">
        <f t="shared" si="46"/>
        <v>Friday</v>
      </c>
      <c r="H1025" s="9" t="str">
        <f t="shared" si="47"/>
        <v>February</v>
      </c>
      <c r="I1025" t="s">
        <v>95</v>
      </c>
      <c r="J1025" t="s">
        <v>29</v>
      </c>
      <c r="K1025">
        <v>8415</v>
      </c>
      <c r="L1025" s="5" t="str">
        <f>IF(OR(K1025&lt;Answers!$C$16,Orders!K1025&gt;Answers!$C$17),"Yes","No")</f>
        <v>No</v>
      </c>
      <c r="M1025" s="14">
        <f>VLOOKUP(B1025,Customers!$A$1:$E$2501,4,0)</f>
        <v>50</v>
      </c>
    </row>
    <row r="1026" spans="1:13" x14ac:dyDescent="0.3">
      <c r="A1026">
        <v>680722</v>
      </c>
      <c r="B1026">
        <v>1278</v>
      </c>
      <c r="C1026" s="1" t="s">
        <v>98</v>
      </c>
      <c r="D1026" s="7">
        <v>45032</v>
      </c>
      <c r="E1026" s="11">
        <v>8.3333333333333329E-2</v>
      </c>
      <c r="F1026" s="15">
        <f t="shared" si="45"/>
        <v>4</v>
      </c>
      <c r="G1026" s="10" t="str">
        <f t="shared" si="46"/>
        <v>Sunday</v>
      </c>
      <c r="H1026" s="9" t="str">
        <f t="shared" si="47"/>
        <v>April</v>
      </c>
      <c r="I1026" t="s">
        <v>97</v>
      </c>
      <c r="J1026" t="s">
        <v>46</v>
      </c>
      <c r="K1026">
        <v>421</v>
      </c>
      <c r="L1026" s="5" t="str">
        <f>IF(OR(K1026&lt;Answers!$C$16,Orders!K1026&gt;Answers!$C$17),"Yes","No")</f>
        <v>No</v>
      </c>
      <c r="M1026" s="14">
        <f>VLOOKUP(B1026,Customers!$A$1:$E$2501,4,0)</f>
        <v>69</v>
      </c>
    </row>
    <row r="1027" spans="1:13" x14ac:dyDescent="0.3">
      <c r="A1027">
        <v>682438</v>
      </c>
      <c r="B1027">
        <v>361</v>
      </c>
      <c r="C1027" s="1" t="s">
        <v>106</v>
      </c>
      <c r="D1027" s="7">
        <v>45271</v>
      </c>
      <c r="E1027" s="11">
        <v>36526</v>
      </c>
      <c r="F1027" s="15">
        <f t="shared" ref="F1027:F1090" si="48">MONTH(D1027)</f>
        <v>12</v>
      </c>
      <c r="G1027" s="10" t="str">
        <f t="shared" ref="G1027:G1090" si="49">TEXT(D1027,"dddd")</f>
        <v>Monday</v>
      </c>
      <c r="H1027" s="9" t="str">
        <f t="shared" ref="H1027:H1090" si="50">TEXT(D1027,"mmmm")</f>
        <v>December</v>
      </c>
      <c r="I1027" t="s">
        <v>190</v>
      </c>
      <c r="J1027" t="s">
        <v>52</v>
      </c>
      <c r="K1027">
        <v>1181</v>
      </c>
      <c r="L1027" s="5" t="str">
        <f>IF(OR(K1027&lt;Answers!$C$16,Orders!K1027&gt;Answers!$C$17),"Yes","No")</f>
        <v>No</v>
      </c>
      <c r="M1027" s="14">
        <f>VLOOKUP(B1027,Customers!$A$1:$E$2501,4,0)</f>
        <v>87</v>
      </c>
    </row>
    <row r="1028" spans="1:13" x14ac:dyDescent="0.3">
      <c r="A1028">
        <v>683069</v>
      </c>
      <c r="B1028">
        <v>1757</v>
      </c>
      <c r="C1028" s="1" t="s">
        <v>104</v>
      </c>
      <c r="D1028" s="7">
        <v>45219</v>
      </c>
      <c r="E1028" s="11">
        <v>0.47152777777777777</v>
      </c>
      <c r="F1028" s="15">
        <f t="shared" si="48"/>
        <v>10</v>
      </c>
      <c r="G1028" s="10" t="str">
        <f t="shared" si="49"/>
        <v>Friday</v>
      </c>
      <c r="H1028" s="9" t="str">
        <f t="shared" si="50"/>
        <v>October</v>
      </c>
      <c r="I1028" t="s">
        <v>95</v>
      </c>
      <c r="J1028" t="s">
        <v>10</v>
      </c>
      <c r="K1028">
        <v>8159</v>
      </c>
      <c r="L1028" s="5" t="str">
        <f>IF(OR(K1028&lt;Answers!$C$16,Orders!K1028&gt;Answers!$C$17),"Yes","No")</f>
        <v>No</v>
      </c>
      <c r="M1028" s="14">
        <f>VLOOKUP(B1028,Customers!$A$1:$E$2501,4,0)</f>
        <v>20</v>
      </c>
    </row>
    <row r="1029" spans="1:13" x14ac:dyDescent="0.3">
      <c r="A1029">
        <v>683536</v>
      </c>
      <c r="B1029">
        <v>1986</v>
      </c>
      <c r="C1029" s="1" t="s">
        <v>99</v>
      </c>
      <c r="D1029" s="7">
        <v>45278</v>
      </c>
      <c r="E1029" s="11">
        <v>0.45763888888888887</v>
      </c>
      <c r="F1029" s="15">
        <f t="shared" si="48"/>
        <v>12</v>
      </c>
      <c r="G1029" s="10" t="str">
        <f t="shared" si="49"/>
        <v>Monday</v>
      </c>
      <c r="H1029" s="9" t="str">
        <f t="shared" si="50"/>
        <v>December</v>
      </c>
      <c r="I1029" t="s">
        <v>96</v>
      </c>
      <c r="J1029" t="s">
        <v>84</v>
      </c>
      <c r="K1029">
        <v>4037</v>
      </c>
      <c r="L1029" s="5" t="str">
        <f>IF(OR(K1029&lt;Answers!$C$16,Orders!K1029&gt;Answers!$C$17),"Yes","No")</f>
        <v>No</v>
      </c>
      <c r="M1029" s="14">
        <f>VLOOKUP(B1029,Customers!$A$1:$E$2501,4,0)</f>
        <v>21</v>
      </c>
    </row>
    <row r="1030" spans="1:13" x14ac:dyDescent="0.3">
      <c r="A1030">
        <v>685513</v>
      </c>
      <c r="B1030">
        <v>252</v>
      </c>
      <c r="C1030" s="1" t="s">
        <v>98</v>
      </c>
      <c r="D1030" s="7">
        <v>44998</v>
      </c>
      <c r="E1030" s="11">
        <v>0.51180555555555551</v>
      </c>
      <c r="F1030" s="15">
        <f t="shared" si="48"/>
        <v>3</v>
      </c>
      <c r="G1030" s="10" t="str">
        <f t="shared" si="49"/>
        <v>Monday</v>
      </c>
      <c r="H1030" s="9" t="str">
        <f t="shared" si="50"/>
        <v>March</v>
      </c>
      <c r="I1030" t="s">
        <v>95</v>
      </c>
      <c r="J1030" t="s">
        <v>43</v>
      </c>
      <c r="K1030">
        <v>7916</v>
      </c>
      <c r="L1030" s="5" t="str">
        <f>IF(OR(K1030&lt;Answers!$C$16,Orders!K1030&gt;Answers!$C$17),"Yes","No")</f>
        <v>No</v>
      </c>
      <c r="M1030" s="14">
        <f>VLOOKUP(B1030,Customers!$A$1:$E$2501,4,0)</f>
        <v>89</v>
      </c>
    </row>
    <row r="1031" spans="1:13" x14ac:dyDescent="0.3">
      <c r="A1031">
        <v>685841</v>
      </c>
      <c r="B1031">
        <v>446</v>
      </c>
      <c r="C1031" s="1" t="s">
        <v>98</v>
      </c>
      <c r="D1031" s="7">
        <v>45201</v>
      </c>
      <c r="E1031" s="11">
        <v>0.45555555555555555</v>
      </c>
      <c r="F1031" s="15">
        <f t="shared" si="48"/>
        <v>10</v>
      </c>
      <c r="G1031" s="10" t="str">
        <f t="shared" si="49"/>
        <v>Monday</v>
      </c>
      <c r="H1031" s="9" t="str">
        <f t="shared" si="50"/>
        <v>October</v>
      </c>
      <c r="I1031" t="s">
        <v>96</v>
      </c>
      <c r="J1031" t="s">
        <v>50</v>
      </c>
      <c r="K1031">
        <v>7514</v>
      </c>
      <c r="L1031" s="5" t="str">
        <f>IF(OR(K1031&lt;Answers!$C$16,Orders!K1031&gt;Answers!$C$17),"Yes","No")</f>
        <v>No</v>
      </c>
      <c r="M1031" s="14">
        <f>VLOOKUP(B1031,Customers!$A$1:$E$2501,4,0)</f>
        <v>67</v>
      </c>
    </row>
    <row r="1032" spans="1:13" x14ac:dyDescent="0.3">
      <c r="A1032">
        <v>686575</v>
      </c>
      <c r="B1032">
        <v>184</v>
      </c>
      <c r="C1032" s="1" t="s">
        <v>105</v>
      </c>
      <c r="D1032" s="7">
        <v>45112</v>
      </c>
      <c r="E1032" s="11">
        <v>0.47222222222222221</v>
      </c>
      <c r="F1032" s="15">
        <f t="shared" si="48"/>
        <v>7</v>
      </c>
      <c r="G1032" s="10" t="str">
        <f t="shared" si="49"/>
        <v>Wednesday</v>
      </c>
      <c r="H1032" s="9" t="str">
        <f t="shared" si="50"/>
        <v>July</v>
      </c>
      <c r="I1032" t="s">
        <v>97</v>
      </c>
      <c r="J1032" t="s">
        <v>26</v>
      </c>
      <c r="K1032">
        <v>5597</v>
      </c>
      <c r="L1032" s="5" t="str">
        <f>IF(OR(K1032&lt;Answers!$C$16,Orders!K1032&gt;Answers!$C$17),"Yes","No")</f>
        <v>No</v>
      </c>
      <c r="M1032" s="14">
        <f>VLOOKUP(B1032,Customers!$A$1:$E$2501,4,0)</f>
        <v>79</v>
      </c>
    </row>
    <row r="1033" spans="1:13" x14ac:dyDescent="0.3">
      <c r="A1033">
        <v>686952</v>
      </c>
      <c r="B1033">
        <v>1685</v>
      </c>
      <c r="C1033" s="1" t="s">
        <v>98</v>
      </c>
      <c r="D1033" s="7">
        <v>45029</v>
      </c>
      <c r="E1033" s="11">
        <v>0.54027777777777775</v>
      </c>
      <c r="F1033" s="15">
        <f t="shared" si="48"/>
        <v>4</v>
      </c>
      <c r="G1033" s="10" t="str">
        <f t="shared" si="49"/>
        <v>Thursday</v>
      </c>
      <c r="H1033" s="9" t="str">
        <f t="shared" si="50"/>
        <v>April</v>
      </c>
      <c r="I1033" t="s">
        <v>96</v>
      </c>
      <c r="J1033" t="s">
        <v>67</v>
      </c>
      <c r="K1033">
        <v>6047</v>
      </c>
      <c r="L1033" s="5" t="str">
        <f>IF(OR(K1033&lt;Answers!$C$16,Orders!K1033&gt;Answers!$C$17),"Yes","No")</f>
        <v>No</v>
      </c>
      <c r="M1033" s="14">
        <f>VLOOKUP(B1033,Customers!$A$1:$E$2501,4,0)</f>
        <v>74</v>
      </c>
    </row>
    <row r="1034" spans="1:13" x14ac:dyDescent="0.3">
      <c r="A1034">
        <v>687364</v>
      </c>
      <c r="B1034">
        <v>444</v>
      </c>
      <c r="C1034" s="1" t="s">
        <v>104</v>
      </c>
      <c r="D1034" s="7">
        <v>45153</v>
      </c>
      <c r="E1034" s="11">
        <v>0.4861111111111111</v>
      </c>
      <c r="F1034" s="15">
        <f t="shared" si="48"/>
        <v>8</v>
      </c>
      <c r="G1034" s="10" t="str">
        <f t="shared" si="49"/>
        <v>Tuesday</v>
      </c>
      <c r="H1034" s="9" t="str">
        <f t="shared" si="50"/>
        <v>August</v>
      </c>
      <c r="I1034" t="s">
        <v>97</v>
      </c>
      <c r="J1034" t="s">
        <v>26</v>
      </c>
      <c r="K1034">
        <v>4487</v>
      </c>
      <c r="L1034" s="5" t="str">
        <f>IF(OR(K1034&lt;Answers!$C$16,Orders!K1034&gt;Answers!$C$17),"Yes","No")</f>
        <v>No</v>
      </c>
      <c r="M1034" s="14">
        <f>VLOOKUP(B1034,Customers!$A$1:$E$2501,4,0)</f>
        <v>23</v>
      </c>
    </row>
    <row r="1035" spans="1:13" x14ac:dyDescent="0.3">
      <c r="A1035">
        <v>687698</v>
      </c>
      <c r="B1035">
        <v>814</v>
      </c>
      <c r="C1035" s="1" t="s">
        <v>98</v>
      </c>
      <c r="D1035" s="7">
        <v>44942</v>
      </c>
      <c r="E1035" s="11">
        <v>0.53125</v>
      </c>
      <c r="F1035" s="15">
        <f t="shared" si="48"/>
        <v>1</v>
      </c>
      <c r="G1035" s="10" t="str">
        <f t="shared" si="49"/>
        <v>Monday</v>
      </c>
      <c r="H1035" s="9" t="str">
        <f t="shared" si="50"/>
        <v>January</v>
      </c>
      <c r="I1035" t="s">
        <v>96</v>
      </c>
      <c r="J1035" t="s">
        <v>72</v>
      </c>
      <c r="K1035">
        <v>4616</v>
      </c>
      <c r="L1035" s="5" t="str">
        <f>IF(OR(K1035&lt;Answers!$C$16,Orders!K1035&gt;Answers!$C$17),"Yes","No")</f>
        <v>No</v>
      </c>
      <c r="M1035" s="14">
        <f>VLOOKUP(B1035,Customers!$A$1:$E$2501,4,0)</f>
        <v>60</v>
      </c>
    </row>
    <row r="1036" spans="1:13" x14ac:dyDescent="0.3">
      <c r="A1036">
        <v>688175</v>
      </c>
      <c r="B1036">
        <v>642</v>
      </c>
      <c r="C1036" s="1" t="s">
        <v>99</v>
      </c>
      <c r="D1036" s="7">
        <v>45238</v>
      </c>
      <c r="E1036" s="11">
        <v>0.53611111111111109</v>
      </c>
      <c r="F1036" s="15">
        <f t="shared" si="48"/>
        <v>11</v>
      </c>
      <c r="G1036" s="10" t="str">
        <f t="shared" si="49"/>
        <v>Wednesday</v>
      </c>
      <c r="H1036" s="9" t="str">
        <f t="shared" si="50"/>
        <v>November</v>
      </c>
      <c r="I1036" t="s">
        <v>96</v>
      </c>
      <c r="J1036" t="s">
        <v>42</v>
      </c>
      <c r="K1036">
        <v>1612</v>
      </c>
      <c r="L1036" s="5" t="str">
        <f>IF(OR(K1036&lt;Answers!$C$16,Orders!K1036&gt;Answers!$C$17),"Yes","No")</f>
        <v>No</v>
      </c>
      <c r="M1036" s="14">
        <f>VLOOKUP(B1036,Customers!$A$1:$E$2501,4,0)</f>
        <v>32</v>
      </c>
    </row>
    <row r="1037" spans="1:13" x14ac:dyDescent="0.3">
      <c r="A1037">
        <v>688366</v>
      </c>
      <c r="B1037">
        <v>268</v>
      </c>
      <c r="C1037" s="1" t="s">
        <v>112</v>
      </c>
      <c r="D1037" s="7">
        <v>45272</v>
      </c>
      <c r="E1037" s="11">
        <v>36708</v>
      </c>
      <c r="F1037" s="15">
        <f t="shared" si="48"/>
        <v>12</v>
      </c>
      <c r="G1037" s="10" t="str">
        <f t="shared" si="49"/>
        <v>Tuesday</v>
      </c>
      <c r="H1037" s="9" t="str">
        <f t="shared" si="50"/>
        <v>December</v>
      </c>
      <c r="I1037" t="s">
        <v>190</v>
      </c>
      <c r="J1037" t="s">
        <v>63</v>
      </c>
      <c r="K1037">
        <v>345</v>
      </c>
      <c r="L1037" s="5" t="str">
        <f>IF(OR(K1037&lt;Answers!$C$16,Orders!K1037&gt;Answers!$C$17),"Yes","No")</f>
        <v>No</v>
      </c>
      <c r="M1037" s="14">
        <f>VLOOKUP(B1037,Customers!$A$1:$E$2501,4,0)</f>
        <v>47</v>
      </c>
    </row>
    <row r="1038" spans="1:13" x14ac:dyDescent="0.3">
      <c r="A1038">
        <v>688473</v>
      </c>
      <c r="B1038">
        <v>829</v>
      </c>
      <c r="C1038" s="1" t="s">
        <v>98</v>
      </c>
      <c r="D1038" s="7">
        <v>45194</v>
      </c>
      <c r="E1038" s="11">
        <v>5.0694444444444445E-2</v>
      </c>
      <c r="F1038" s="15">
        <f t="shared" si="48"/>
        <v>9</v>
      </c>
      <c r="G1038" s="10" t="str">
        <f t="shared" si="49"/>
        <v>Monday</v>
      </c>
      <c r="H1038" s="9" t="str">
        <f t="shared" si="50"/>
        <v>September</v>
      </c>
      <c r="I1038" t="s">
        <v>96</v>
      </c>
      <c r="J1038" t="s">
        <v>26</v>
      </c>
      <c r="K1038">
        <v>2835</v>
      </c>
      <c r="L1038" s="5" t="str">
        <f>IF(OR(K1038&lt;Answers!$C$16,Orders!K1038&gt;Answers!$C$17),"Yes","No")</f>
        <v>No</v>
      </c>
      <c r="M1038" s="14">
        <f>VLOOKUP(B1038,Customers!$A$1:$E$2501,4,0)</f>
        <v>65</v>
      </c>
    </row>
    <row r="1039" spans="1:13" x14ac:dyDescent="0.3">
      <c r="A1039">
        <v>689972</v>
      </c>
      <c r="B1039">
        <v>916</v>
      </c>
      <c r="C1039" s="1" t="s">
        <v>200</v>
      </c>
      <c r="D1039" s="7">
        <v>44965</v>
      </c>
      <c r="E1039" s="11">
        <v>7.5694444444444439E-2</v>
      </c>
      <c r="F1039" s="15">
        <f t="shared" si="48"/>
        <v>2</v>
      </c>
      <c r="G1039" s="10" t="str">
        <f t="shared" si="49"/>
        <v>Wednesday</v>
      </c>
      <c r="H1039" s="9" t="str">
        <f t="shared" si="50"/>
        <v>February</v>
      </c>
      <c r="I1039" t="s">
        <v>95</v>
      </c>
      <c r="J1039" t="s">
        <v>25</v>
      </c>
      <c r="K1039">
        <v>2682</v>
      </c>
      <c r="L1039" s="5" t="str">
        <f>IF(OR(K1039&lt;Answers!$C$16,Orders!K1039&gt;Answers!$C$17),"Yes","No")</f>
        <v>No</v>
      </c>
      <c r="M1039" s="14">
        <f>VLOOKUP(B1039,Customers!$A$1:$E$2501,4,0)</f>
        <v>61</v>
      </c>
    </row>
    <row r="1040" spans="1:13" x14ac:dyDescent="0.3">
      <c r="A1040">
        <v>690697</v>
      </c>
      <c r="B1040">
        <v>1330</v>
      </c>
      <c r="C1040" s="1" t="s">
        <v>100</v>
      </c>
      <c r="D1040" s="7">
        <v>44987</v>
      </c>
      <c r="E1040" s="11">
        <v>36872</v>
      </c>
      <c r="F1040" s="15">
        <f t="shared" si="48"/>
        <v>3</v>
      </c>
      <c r="G1040" s="10" t="str">
        <f t="shared" si="49"/>
        <v>Thursday</v>
      </c>
      <c r="H1040" s="9" t="str">
        <f t="shared" si="50"/>
        <v>March</v>
      </c>
      <c r="I1040" t="s">
        <v>97</v>
      </c>
      <c r="J1040" t="s">
        <v>68</v>
      </c>
      <c r="K1040">
        <v>2726</v>
      </c>
      <c r="L1040" s="5" t="str">
        <f>IF(OR(K1040&lt;Answers!$C$16,Orders!K1040&gt;Answers!$C$17),"Yes","No")</f>
        <v>No</v>
      </c>
      <c r="M1040" s="14">
        <f>VLOOKUP(B1040,Customers!$A$1:$E$2501,4,0)</f>
        <v>59</v>
      </c>
    </row>
    <row r="1041" spans="1:13" x14ac:dyDescent="0.3">
      <c r="A1041">
        <v>690812</v>
      </c>
      <c r="B1041">
        <v>985</v>
      </c>
      <c r="C1041" s="1" t="s">
        <v>98</v>
      </c>
      <c r="D1041" s="7">
        <v>45167</v>
      </c>
      <c r="E1041" s="11">
        <v>36719</v>
      </c>
      <c r="F1041" s="15">
        <f t="shared" si="48"/>
        <v>8</v>
      </c>
      <c r="G1041" s="10" t="str">
        <f t="shared" si="49"/>
        <v>Tuesday</v>
      </c>
      <c r="H1041" s="9" t="str">
        <f t="shared" si="50"/>
        <v>August</v>
      </c>
      <c r="I1041" t="s">
        <v>96</v>
      </c>
      <c r="J1041" t="s">
        <v>73</v>
      </c>
      <c r="K1041">
        <v>3887</v>
      </c>
      <c r="L1041" s="5" t="str">
        <f>IF(OR(K1041&lt;Answers!$C$16,Orders!K1041&gt;Answers!$C$17),"Yes","No")</f>
        <v>No</v>
      </c>
      <c r="M1041" s="14">
        <f>VLOOKUP(B1041,Customers!$A$1:$E$2501,4,0)</f>
        <v>69</v>
      </c>
    </row>
    <row r="1042" spans="1:13" x14ac:dyDescent="0.3">
      <c r="A1042">
        <v>691227</v>
      </c>
      <c r="B1042">
        <v>955</v>
      </c>
      <c r="C1042" s="1" t="s">
        <v>112</v>
      </c>
      <c r="D1042" s="7">
        <v>45116</v>
      </c>
      <c r="E1042" s="11">
        <v>0.53402777777777777</v>
      </c>
      <c r="F1042" s="15">
        <f t="shared" si="48"/>
        <v>7</v>
      </c>
      <c r="G1042" s="10" t="str">
        <f t="shared" si="49"/>
        <v>Sunday</v>
      </c>
      <c r="H1042" s="9" t="str">
        <f t="shared" si="50"/>
        <v>July</v>
      </c>
      <c r="I1042" t="s">
        <v>190</v>
      </c>
      <c r="J1042" t="s">
        <v>42</v>
      </c>
      <c r="K1042">
        <v>5936</v>
      </c>
      <c r="L1042" s="5" t="str">
        <f>IF(OR(K1042&lt;Answers!$C$16,Orders!K1042&gt;Answers!$C$17),"Yes","No")</f>
        <v>No</v>
      </c>
      <c r="M1042" s="14">
        <f>VLOOKUP(B1042,Customers!$A$1:$E$2501,4,0)</f>
        <v>85</v>
      </c>
    </row>
    <row r="1043" spans="1:13" x14ac:dyDescent="0.3">
      <c r="A1043">
        <v>691268</v>
      </c>
      <c r="B1043">
        <v>809</v>
      </c>
      <c r="C1043" s="1" t="s">
        <v>98</v>
      </c>
      <c r="D1043" s="7">
        <v>45068</v>
      </c>
      <c r="E1043" s="11">
        <v>0.53680555555555554</v>
      </c>
      <c r="F1043" s="15">
        <f t="shared" si="48"/>
        <v>5</v>
      </c>
      <c r="G1043" s="10" t="str">
        <f t="shared" si="49"/>
        <v>Monday</v>
      </c>
      <c r="H1043" s="9" t="str">
        <f t="shared" si="50"/>
        <v>May</v>
      </c>
      <c r="I1043" t="s">
        <v>97</v>
      </c>
      <c r="J1043" t="s">
        <v>87</v>
      </c>
      <c r="K1043">
        <v>9498</v>
      </c>
      <c r="L1043" s="5" t="str">
        <f>IF(OR(K1043&lt;Answers!$C$16,Orders!K1043&gt;Answers!$C$17),"Yes","No")</f>
        <v>No</v>
      </c>
      <c r="M1043" s="14">
        <f>VLOOKUP(B1043,Customers!$A$1:$E$2501,4,0)</f>
        <v>87</v>
      </c>
    </row>
    <row r="1044" spans="1:13" x14ac:dyDescent="0.3">
      <c r="A1044">
        <v>691913</v>
      </c>
      <c r="B1044">
        <v>1566</v>
      </c>
      <c r="C1044" s="1" t="s">
        <v>98</v>
      </c>
      <c r="D1044" s="7">
        <v>44969</v>
      </c>
      <c r="E1044" s="11">
        <v>36739</v>
      </c>
      <c r="F1044" s="15">
        <f t="shared" si="48"/>
        <v>2</v>
      </c>
      <c r="G1044" s="10" t="str">
        <f t="shared" si="49"/>
        <v>Sunday</v>
      </c>
      <c r="H1044" s="9" t="str">
        <f t="shared" si="50"/>
        <v>February</v>
      </c>
      <c r="I1044" t="s">
        <v>190</v>
      </c>
      <c r="J1044" t="s">
        <v>21</v>
      </c>
      <c r="K1044">
        <v>6689</v>
      </c>
      <c r="L1044" s="5" t="str">
        <f>IF(OR(K1044&lt;Answers!$C$16,Orders!K1044&gt;Answers!$C$17),"Yes","No")</f>
        <v>No</v>
      </c>
      <c r="M1044" s="14">
        <f>VLOOKUP(B1044,Customers!$A$1:$E$2501,4,0)</f>
        <v>64</v>
      </c>
    </row>
    <row r="1045" spans="1:13" x14ac:dyDescent="0.3">
      <c r="A1045">
        <v>691946</v>
      </c>
      <c r="B1045">
        <v>455</v>
      </c>
      <c r="C1045" s="1" t="s">
        <v>108</v>
      </c>
      <c r="D1045" s="7">
        <v>44960</v>
      </c>
      <c r="E1045" s="11">
        <v>0.49027777777777776</v>
      </c>
      <c r="F1045" s="15">
        <f t="shared" si="48"/>
        <v>2</v>
      </c>
      <c r="G1045" s="10" t="str">
        <f t="shared" si="49"/>
        <v>Friday</v>
      </c>
      <c r="H1045" s="9" t="str">
        <f t="shared" si="50"/>
        <v>February</v>
      </c>
      <c r="I1045" t="s">
        <v>190</v>
      </c>
      <c r="J1045" t="s">
        <v>72</v>
      </c>
      <c r="K1045">
        <v>1893</v>
      </c>
      <c r="L1045" s="5" t="str">
        <f>IF(OR(K1045&lt;Answers!$C$16,Orders!K1045&gt;Answers!$C$17),"Yes","No")</f>
        <v>No</v>
      </c>
      <c r="M1045" s="14">
        <f>VLOOKUP(B1045,Customers!$A$1:$E$2501,4,0)</f>
        <v>52</v>
      </c>
    </row>
    <row r="1046" spans="1:13" x14ac:dyDescent="0.3">
      <c r="A1046">
        <v>692440</v>
      </c>
      <c r="B1046">
        <v>159</v>
      </c>
      <c r="C1046" s="1" t="s">
        <v>98</v>
      </c>
      <c r="D1046" s="7">
        <v>45126</v>
      </c>
      <c r="E1046" s="11">
        <v>0.48749999999999999</v>
      </c>
      <c r="F1046" s="15">
        <f t="shared" si="48"/>
        <v>7</v>
      </c>
      <c r="G1046" s="10" t="str">
        <f t="shared" si="49"/>
        <v>Wednesday</v>
      </c>
      <c r="H1046" s="9" t="str">
        <f t="shared" si="50"/>
        <v>July</v>
      </c>
      <c r="I1046" t="s">
        <v>95</v>
      </c>
      <c r="J1046" t="s">
        <v>3</v>
      </c>
      <c r="K1046">
        <v>7041</v>
      </c>
      <c r="L1046" s="5" t="str">
        <f>IF(OR(K1046&lt;Answers!$C$16,Orders!K1046&gt;Answers!$C$17),"Yes","No")</f>
        <v>No</v>
      </c>
      <c r="M1046" s="14">
        <f>VLOOKUP(B1046,Customers!$A$1:$E$2501,4,0)</f>
        <v>25</v>
      </c>
    </row>
    <row r="1047" spans="1:13" x14ac:dyDescent="0.3">
      <c r="A1047">
        <v>692808</v>
      </c>
      <c r="B1047">
        <v>1797</v>
      </c>
      <c r="C1047" s="1" t="s">
        <v>98</v>
      </c>
      <c r="D1047" s="7">
        <v>45146</v>
      </c>
      <c r="E1047" s="11">
        <v>0.51944444444444449</v>
      </c>
      <c r="F1047" s="15">
        <f t="shared" si="48"/>
        <v>8</v>
      </c>
      <c r="G1047" s="10" t="str">
        <f t="shared" si="49"/>
        <v>Tuesday</v>
      </c>
      <c r="H1047" s="9" t="str">
        <f t="shared" si="50"/>
        <v>August</v>
      </c>
      <c r="I1047" t="s">
        <v>95</v>
      </c>
      <c r="J1047" t="s">
        <v>88</v>
      </c>
      <c r="K1047">
        <v>7362</v>
      </c>
      <c r="L1047" s="5" t="str">
        <f>IF(OR(K1047&lt;Answers!$C$16,Orders!K1047&gt;Answers!$C$17),"Yes","No")</f>
        <v>No</v>
      </c>
      <c r="M1047" s="14">
        <f>VLOOKUP(B1047,Customers!$A$1:$E$2501,4,0)</f>
        <v>45</v>
      </c>
    </row>
    <row r="1048" spans="1:13" x14ac:dyDescent="0.3">
      <c r="A1048">
        <v>692957</v>
      </c>
      <c r="B1048">
        <v>941</v>
      </c>
      <c r="C1048" s="1" t="s">
        <v>98</v>
      </c>
      <c r="D1048" s="7">
        <v>45262</v>
      </c>
      <c r="E1048" s="11">
        <v>0.49027777777777776</v>
      </c>
      <c r="F1048" s="15">
        <f t="shared" si="48"/>
        <v>12</v>
      </c>
      <c r="G1048" s="10" t="str">
        <f t="shared" si="49"/>
        <v>Saturday</v>
      </c>
      <c r="H1048" s="9" t="str">
        <f t="shared" si="50"/>
        <v>December</v>
      </c>
      <c r="I1048" t="s">
        <v>97</v>
      </c>
      <c r="J1048" t="s">
        <v>18</v>
      </c>
      <c r="K1048">
        <v>8917</v>
      </c>
      <c r="L1048" s="5" t="str">
        <f>IF(OR(K1048&lt;Answers!$C$16,Orders!K1048&gt;Answers!$C$17),"Yes","No")</f>
        <v>No</v>
      </c>
      <c r="M1048" s="14">
        <f>VLOOKUP(B1048,Customers!$A$1:$E$2501,4,0)</f>
        <v>81</v>
      </c>
    </row>
    <row r="1049" spans="1:13" x14ac:dyDescent="0.3">
      <c r="A1049">
        <v>692962</v>
      </c>
      <c r="B1049">
        <v>442</v>
      </c>
      <c r="C1049" s="1" t="s">
        <v>98</v>
      </c>
      <c r="D1049" s="7">
        <v>45124</v>
      </c>
      <c r="E1049" s="11">
        <v>0.52152777777777781</v>
      </c>
      <c r="F1049" s="15">
        <f t="shared" si="48"/>
        <v>7</v>
      </c>
      <c r="G1049" s="10" t="str">
        <f t="shared" si="49"/>
        <v>Monday</v>
      </c>
      <c r="H1049" s="9" t="str">
        <f t="shared" si="50"/>
        <v>July</v>
      </c>
      <c r="I1049" t="s">
        <v>97</v>
      </c>
      <c r="J1049" t="s">
        <v>71</v>
      </c>
      <c r="K1049">
        <v>1328</v>
      </c>
      <c r="L1049" s="5" t="str">
        <f>IF(OR(K1049&lt;Answers!$C$16,Orders!K1049&gt;Answers!$C$17),"Yes","No")</f>
        <v>No</v>
      </c>
      <c r="M1049" s="14">
        <f>VLOOKUP(B1049,Customers!$A$1:$E$2501,4,0)</f>
        <v>62</v>
      </c>
    </row>
    <row r="1050" spans="1:13" x14ac:dyDescent="0.3">
      <c r="A1050">
        <v>694715</v>
      </c>
      <c r="B1050">
        <v>519</v>
      </c>
      <c r="C1050" s="1" t="s">
        <v>99</v>
      </c>
      <c r="D1050" s="7">
        <v>45139</v>
      </c>
      <c r="E1050" s="11">
        <v>36718</v>
      </c>
      <c r="F1050" s="15">
        <f t="shared" si="48"/>
        <v>8</v>
      </c>
      <c r="G1050" s="10" t="str">
        <f t="shared" si="49"/>
        <v>Tuesday</v>
      </c>
      <c r="H1050" s="9" t="str">
        <f t="shared" si="50"/>
        <v>August</v>
      </c>
      <c r="I1050" t="s">
        <v>95</v>
      </c>
      <c r="J1050" t="s">
        <v>34</v>
      </c>
      <c r="K1050">
        <v>6870</v>
      </c>
      <c r="L1050" s="5" t="str">
        <f>IF(OR(K1050&lt;Answers!$C$16,Orders!K1050&gt;Answers!$C$17),"Yes","No")</f>
        <v>No</v>
      </c>
      <c r="M1050" s="14">
        <f>VLOOKUP(B1050,Customers!$A$1:$E$2501,4,0)</f>
        <v>70</v>
      </c>
    </row>
    <row r="1051" spans="1:13" x14ac:dyDescent="0.3">
      <c r="A1051">
        <v>695237</v>
      </c>
      <c r="B1051">
        <v>520</v>
      </c>
      <c r="C1051" s="1" t="s">
        <v>104</v>
      </c>
      <c r="D1051" s="7">
        <v>44937</v>
      </c>
      <c r="E1051" s="11">
        <v>0.4861111111111111</v>
      </c>
      <c r="F1051" s="15">
        <f t="shared" si="48"/>
        <v>1</v>
      </c>
      <c r="G1051" s="10" t="str">
        <f t="shared" si="49"/>
        <v>Wednesday</v>
      </c>
      <c r="H1051" s="9" t="str">
        <f t="shared" si="50"/>
        <v>January</v>
      </c>
      <c r="I1051" t="s">
        <v>97</v>
      </c>
      <c r="J1051" t="s">
        <v>24</v>
      </c>
      <c r="K1051">
        <v>1232</v>
      </c>
      <c r="L1051" s="5" t="str">
        <f>IF(OR(K1051&lt;Answers!$C$16,Orders!K1051&gt;Answers!$C$17),"Yes","No")</f>
        <v>No</v>
      </c>
      <c r="M1051" s="14">
        <f>VLOOKUP(B1051,Customers!$A$1:$E$2501,4,0)</f>
        <v>81</v>
      </c>
    </row>
    <row r="1052" spans="1:13" x14ac:dyDescent="0.3">
      <c r="A1052">
        <v>695670</v>
      </c>
      <c r="B1052">
        <v>58</v>
      </c>
      <c r="C1052" s="1" t="s">
        <v>108</v>
      </c>
      <c r="D1052" s="7">
        <v>45090</v>
      </c>
      <c r="E1052" s="11">
        <v>9.8611111111111108E-2</v>
      </c>
      <c r="F1052" s="15">
        <f t="shared" si="48"/>
        <v>6</v>
      </c>
      <c r="G1052" s="10" t="str">
        <f t="shared" si="49"/>
        <v>Tuesday</v>
      </c>
      <c r="H1052" s="9" t="str">
        <f t="shared" si="50"/>
        <v>June</v>
      </c>
      <c r="I1052" t="s">
        <v>190</v>
      </c>
      <c r="J1052" t="s">
        <v>14</v>
      </c>
      <c r="K1052">
        <v>8331</v>
      </c>
      <c r="L1052" s="5" t="str">
        <f>IF(OR(K1052&lt;Answers!$C$16,Orders!K1052&gt;Answers!$C$17),"Yes","No")</f>
        <v>No</v>
      </c>
      <c r="M1052" s="14">
        <f>VLOOKUP(B1052,Customers!$A$1:$E$2501,4,0)</f>
        <v>29</v>
      </c>
    </row>
    <row r="1053" spans="1:13" x14ac:dyDescent="0.3">
      <c r="A1053">
        <v>696736</v>
      </c>
      <c r="B1053">
        <v>899</v>
      </c>
      <c r="C1053" s="1" t="s">
        <v>98</v>
      </c>
      <c r="D1053" s="7">
        <v>45249</v>
      </c>
      <c r="E1053" s="11">
        <v>0.5395833333333333</v>
      </c>
      <c r="F1053" s="15">
        <f t="shared" si="48"/>
        <v>11</v>
      </c>
      <c r="G1053" s="10" t="str">
        <f t="shared" si="49"/>
        <v>Sunday</v>
      </c>
      <c r="H1053" s="9" t="str">
        <f t="shared" si="50"/>
        <v>November</v>
      </c>
      <c r="I1053" t="s">
        <v>96</v>
      </c>
      <c r="J1053" t="s">
        <v>48</v>
      </c>
      <c r="K1053">
        <v>2627</v>
      </c>
      <c r="L1053" s="5" t="str">
        <f>IF(OR(K1053&lt;Answers!$C$16,Orders!K1053&gt;Answers!$C$17),"Yes","No")</f>
        <v>No</v>
      </c>
      <c r="M1053" s="14">
        <f>VLOOKUP(B1053,Customers!$A$1:$E$2501,4,0)</f>
        <v>75</v>
      </c>
    </row>
    <row r="1054" spans="1:13" x14ac:dyDescent="0.3">
      <c r="A1054">
        <v>696792</v>
      </c>
      <c r="B1054">
        <v>1651</v>
      </c>
      <c r="C1054" s="1" t="s">
        <v>100</v>
      </c>
      <c r="D1054" s="7">
        <v>45083</v>
      </c>
      <c r="E1054" s="11">
        <v>0.49236111111111114</v>
      </c>
      <c r="F1054" s="15">
        <f t="shared" si="48"/>
        <v>6</v>
      </c>
      <c r="G1054" s="10" t="str">
        <f t="shared" si="49"/>
        <v>Tuesday</v>
      </c>
      <c r="H1054" s="9" t="str">
        <f t="shared" si="50"/>
        <v>June</v>
      </c>
      <c r="I1054" t="s">
        <v>97</v>
      </c>
      <c r="J1054" t="s">
        <v>27</v>
      </c>
      <c r="K1054">
        <v>9568</v>
      </c>
      <c r="L1054" s="5" t="str">
        <f>IF(OR(K1054&lt;Answers!$C$16,Orders!K1054&gt;Answers!$C$17),"Yes","No")</f>
        <v>No</v>
      </c>
      <c r="M1054" s="14">
        <f>VLOOKUP(B1054,Customers!$A$1:$E$2501,4,0)</f>
        <v>53</v>
      </c>
    </row>
    <row r="1055" spans="1:13" x14ac:dyDescent="0.3">
      <c r="A1055">
        <v>696860</v>
      </c>
      <c r="B1055">
        <v>270</v>
      </c>
      <c r="C1055" s="1" t="s">
        <v>100</v>
      </c>
      <c r="D1055" s="7">
        <v>44996</v>
      </c>
      <c r="E1055" s="11">
        <v>0.53819444444444442</v>
      </c>
      <c r="F1055" s="15">
        <f t="shared" si="48"/>
        <v>3</v>
      </c>
      <c r="G1055" s="10" t="str">
        <f t="shared" si="49"/>
        <v>Saturday</v>
      </c>
      <c r="H1055" s="9" t="str">
        <f t="shared" si="50"/>
        <v>March</v>
      </c>
      <c r="I1055" t="s">
        <v>95</v>
      </c>
      <c r="J1055" t="s">
        <v>13</v>
      </c>
      <c r="K1055">
        <v>4174</v>
      </c>
      <c r="L1055" s="5" t="str">
        <f>IF(OR(K1055&lt;Answers!$C$16,Orders!K1055&gt;Answers!$C$17),"Yes","No")</f>
        <v>No</v>
      </c>
      <c r="M1055" s="14">
        <f>VLOOKUP(B1055,Customers!$A$1:$E$2501,4,0)</f>
        <v>74</v>
      </c>
    </row>
    <row r="1056" spans="1:13" x14ac:dyDescent="0.3">
      <c r="A1056">
        <v>697123</v>
      </c>
      <c r="B1056">
        <v>1959</v>
      </c>
      <c r="C1056" s="1" t="s">
        <v>108</v>
      </c>
      <c r="D1056" s="7">
        <v>45241</v>
      </c>
      <c r="E1056" s="11">
        <v>7.6388888888888895E-2</v>
      </c>
      <c r="F1056" s="15">
        <f t="shared" si="48"/>
        <v>11</v>
      </c>
      <c r="G1056" s="10" t="str">
        <f t="shared" si="49"/>
        <v>Saturday</v>
      </c>
      <c r="H1056" s="9" t="str">
        <f t="shared" si="50"/>
        <v>November</v>
      </c>
      <c r="I1056" t="s">
        <v>96</v>
      </c>
      <c r="J1056" t="s">
        <v>77</v>
      </c>
      <c r="K1056">
        <v>6636</v>
      </c>
      <c r="L1056" s="5" t="str">
        <f>IF(OR(K1056&lt;Answers!$C$16,Orders!K1056&gt;Answers!$C$17),"Yes","No")</f>
        <v>No</v>
      </c>
      <c r="M1056" s="14">
        <f>VLOOKUP(B1056,Customers!$A$1:$E$2501,4,0)</f>
        <v>28</v>
      </c>
    </row>
    <row r="1057" spans="1:13" x14ac:dyDescent="0.3">
      <c r="A1057">
        <v>698048</v>
      </c>
      <c r="B1057">
        <v>175</v>
      </c>
      <c r="C1057" s="1" t="s">
        <v>98</v>
      </c>
      <c r="D1057" s="7">
        <v>45234</v>
      </c>
      <c r="E1057" s="11">
        <v>7.4999999999999997E-2</v>
      </c>
      <c r="F1057" s="15">
        <f t="shared" si="48"/>
        <v>11</v>
      </c>
      <c r="G1057" s="10" t="str">
        <f t="shared" si="49"/>
        <v>Saturday</v>
      </c>
      <c r="H1057" s="9" t="str">
        <f t="shared" si="50"/>
        <v>November</v>
      </c>
      <c r="I1057" t="s">
        <v>95</v>
      </c>
      <c r="J1057" t="s">
        <v>26</v>
      </c>
      <c r="K1057">
        <v>731</v>
      </c>
      <c r="L1057" s="5" t="str">
        <f>IF(OR(K1057&lt;Answers!$C$16,Orders!K1057&gt;Answers!$C$17),"Yes","No")</f>
        <v>No</v>
      </c>
      <c r="M1057" s="14">
        <f>VLOOKUP(B1057,Customers!$A$1:$E$2501,4,0)</f>
        <v>70</v>
      </c>
    </row>
    <row r="1058" spans="1:13" x14ac:dyDescent="0.3">
      <c r="A1058">
        <v>698175</v>
      </c>
      <c r="B1058">
        <v>1372</v>
      </c>
      <c r="C1058" s="1" t="s">
        <v>99</v>
      </c>
      <c r="D1058" s="7">
        <v>45094</v>
      </c>
      <c r="E1058" s="11">
        <v>6.458333333333334E-2</v>
      </c>
      <c r="F1058" s="15">
        <f t="shared" si="48"/>
        <v>6</v>
      </c>
      <c r="G1058" s="10" t="str">
        <f t="shared" si="49"/>
        <v>Saturday</v>
      </c>
      <c r="H1058" s="9" t="str">
        <f t="shared" si="50"/>
        <v>June</v>
      </c>
      <c r="I1058" t="s">
        <v>97</v>
      </c>
      <c r="J1058" t="s">
        <v>93</v>
      </c>
      <c r="K1058">
        <v>6322</v>
      </c>
      <c r="L1058" s="5" t="str">
        <f>IF(OR(K1058&lt;Answers!$C$16,Orders!K1058&gt;Answers!$C$17),"Yes","No")</f>
        <v>No</v>
      </c>
      <c r="M1058" s="14">
        <f>VLOOKUP(B1058,Customers!$A$1:$E$2501,4,0)</f>
        <v>28</v>
      </c>
    </row>
    <row r="1059" spans="1:13" x14ac:dyDescent="0.3">
      <c r="A1059">
        <v>698222</v>
      </c>
      <c r="B1059">
        <v>1836</v>
      </c>
      <c r="C1059" s="1" t="s">
        <v>99</v>
      </c>
      <c r="D1059" s="7">
        <v>45007</v>
      </c>
      <c r="E1059" s="11">
        <v>36658</v>
      </c>
      <c r="F1059" s="15">
        <f t="shared" si="48"/>
        <v>3</v>
      </c>
      <c r="G1059" s="10" t="str">
        <f t="shared" si="49"/>
        <v>Wednesday</v>
      </c>
      <c r="H1059" s="9" t="str">
        <f t="shared" si="50"/>
        <v>March</v>
      </c>
      <c r="I1059" t="s">
        <v>97</v>
      </c>
      <c r="J1059" t="s">
        <v>45</v>
      </c>
      <c r="K1059">
        <v>1804</v>
      </c>
      <c r="L1059" s="5" t="str">
        <f>IF(OR(K1059&lt;Answers!$C$16,Orders!K1059&gt;Answers!$C$17),"Yes","No")</f>
        <v>No</v>
      </c>
      <c r="M1059" s="14">
        <f>VLOOKUP(B1059,Customers!$A$1:$E$2501,4,0)</f>
        <v>36</v>
      </c>
    </row>
    <row r="1060" spans="1:13" x14ac:dyDescent="0.3">
      <c r="A1060">
        <v>699766</v>
      </c>
      <c r="B1060">
        <v>202</v>
      </c>
      <c r="C1060" s="1" t="s">
        <v>98</v>
      </c>
      <c r="D1060" s="7">
        <v>45289</v>
      </c>
      <c r="E1060" s="11">
        <v>6.1111111111111109E-2</v>
      </c>
      <c r="F1060" s="15">
        <f t="shared" si="48"/>
        <v>12</v>
      </c>
      <c r="G1060" s="10" t="str">
        <f t="shared" si="49"/>
        <v>Friday</v>
      </c>
      <c r="H1060" s="9" t="str">
        <f t="shared" si="50"/>
        <v>December</v>
      </c>
      <c r="I1060" t="s">
        <v>96</v>
      </c>
      <c r="J1060" t="s">
        <v>19</v>
      </c>
      <c r="K1060">
        <v>2379</v>
      </c>
      <c r="L1060" s="5" t="str">
        <f>IF(OR(K1060&lt;Answers!$C$16,Orders!K1060&gt;Answers!$C$17),"Yes","No")</f>
        <v>No</v>
      </c>
      <c r="M1060" s="14">
        <f>VLOOKUP(B1060,Customers!$A$1:$E$2501,4,0)</f>
        <v>86</v>
      </c>
    </row>
    <row r="1061" spans="1:13" x14ac:dyDescent="0.3">
      <c r="A1061">
        <v>700751</v>
      </c>
      <c r="B1061">
        <v>1082</v>
      </c>
      <c r="C1061" s="1" t="s">
        <v>112</v>
      </c>
      <c r="D1061" s="7">
        <v>45023</v>
      </c>
      <c r="E1061" s="11">
        <v>0.52013888888888893</v>
      </c>
      <c r="F1061" s="15">
        <f t="shared" si="48"/>
        <v>4</v>
      </c>
      <c r="G1061" s="10" t="str">
        <f t="shared" si="49"/>
        <v>Friday</v>
      </c>
      <c r="H1061" s="9" t="str">
        <f t="shared" si="50"/>
        <v>April</v>
      </c>
      <c r="I1061" t="s">
        <v>190</v>
      </c>
      <c r="J1061" t="s">
        <v>26</v>
      </c>
      <c r="K1061">
        <v>1547</v>
      </c>
      <c r="L1061" s="5" t="str">
        <f>IF(OR(K1061&lt;Answers!$C$16,Orders!K1061&gt;Answers!$C$17),"Yes","No")</f>
        <v>No</v>
      </c>
      <c r="M1061" s="14">
        <f>VLOOKUP(B1061,Customers!$A$1:$E$2501,4,0)</f>
        <v>70</v>
      </c>
    </row>
    <row r="1062" spans="1:13" x14ac:dyDescent="0.3">
      <c r="A1062">
        <v>701790</v>
      </c>
      <c r="B1062">
        <v>1704</v>
      </c>
      <c r="C1062" s="1" t="s">
        <v>98</v>
      </c>
      <c r="D1062" s="7">
        <v>44979</v>
      </c>
      <c r="E1062" s="11">
        <v>0.52777777777777779</v>
      </c>
      <c r="F1062" s="15">
        <f t="shared" si="48"/>
        <v>2</v>
      </c>
      <c r="G1062" s="10" t="str">
        <f t="shared" si="49"/>
        <v>Wednesday</v>
      </c>
      <c r="H1062" s="9" t="str">
        <f t="shared" si="50"/>
        <v>February</v>
      </c>
      <c r="I1062" t="s">
        <v>190</v>
      </c>
      <c r="J1062" t="s">
        <v>26</v>
      </c>
      <c r="K1062">
        <v>4202</v>
      </c>
      <c r="L1062" s="5" t="str">
        <f>IF(OR(K1062&lt;Answers!$C$16,Orders!K1062&gt;Answers!$C$17),"Yes","No")</f>
        <v>No</v>
      </c>
      <c r="M1062" s="14">
        <f>VLOOKUP(B1062,Customers!$A$1:$E$2501,4,0)</f>
        <v>67</v>
      </c>
    </row>
    <row r="1063" spans="1:13" x14ac:dyDescent="0.3">
      <c r="A1063">
        <v>701802</v>
      </c>
      <c r="B1063">
        <v>151</v>
      </c>
      <c r="C1063" s="1" t="s">
        <v>108</v>
      </c>
      <c r="D1063" s="7">
        <v>45020</v>
      </c>
      <c r="E1063" s="11">
        <v>36861</v>
      </c>
      <c r="F1063" s="15">
        <f t="shared" si="48"/>
        <v>4</v>
      </c>
      <c r="G1063" s="10" t="str">
        <f t="shared" si="49"/>
        <v>Tuesday</v>
      </c>
      <c r="H1063" s="9" t="str">
        <f t="shared" si="50"/>
        <v>April</v>
      </c>
      <c r="I1063" t="s">
        <v>95</v>
      </c>
      <c r="J1063" t="s">
        <v>86</v>
      </c>
      <c r="K1063">
        <v>927</v>
      </c>
      <c r="L1063" s="5" t="str">
        <f>IF(OR(K1063&lt;Answers!$C$16,Orders!K1063&gt;Answers!$C$17),"Yes","No")</f>
        <v>No</v>
      </c>
      <c r="M1063" s="14">
        <f>VLOOKUP(B1063,Customers!$A$1:$E$2501,4,0)</f>
        <v>76</v>
      </c>
    </row>
    <row r="1064" spans="1:13" x14ac:dyDescent="0.3">
      <c r="A1064">
        <v>702331</v>
      </c>
      <c r="B1064">
        <v>1848</v>
      </c>
      <c r="C1064" s="1" t="s">
        <v>98</v>
      </c>
      <c r="D1064" s="7">
        <v>45166</v>
      </c>
      <c r="E1064" s="11">
        <v>0.5229166666666667</v>
      </c>
      <c r="F1064" s="15">
        <f t="shared" si="48"/>
        <v>8</v>
      </c>
      <c r="G1064" s="10" t="str">
        <f t="shared" si="49"/>
        <v>Monday</v>
      </c>
      <c r="H1064" s="9" t="str">
        <f t="shared" si="50"/>
        <v>August</v>
      </c>
      <c r="I1064" t="s">
        <v>96</v>
      </c>
      <c r="J1064" t="s">
        <v>26</v>
      </c>
      <c r="K1064">
        <v>5015</v>
      </c>
      <c r="L1064" s="5" t="str">
        <f>IF(OR(K1064&lt;Answers!$C$16,Orders!K1064&gt;Answers!$C$17),"Yes","No")</f>
        <v>No</v>
      </c>
      <c r="M1064" s="14">
        <f>VLOOKUP(B1064,Customers!$A$1:$E$2501,4,0)</f>
        <v>63</v>
      </c>
    </row>
    <row r="1065" spans="1:13" x14ac:dyDescent="0.3">
      <c r="A1065">
        <v>703166</v>
      </c>
      <c r="B1065">
        <v>1228</v>
      </c>
      <c r="C1065" s="1" t="s">
        <v>98</v>
      </c>
      <c r="D1065" s="7">
        <v>45233</v>
      </c>
      <c r="E1065" s="11">
        <v>0.51527777777777772</v>
      </c>
      <c r="F1065" s="15">
        <f t="shared" si="48"/>
        <v>11</v>
      </c>
      <c r="G1065" s="10" t="str">
        <f t="shared" si="49"/>
        <v>Friday</v>
      </c>
      <c r="H1065" s="9" t="str">
        <f t="shared" si="50"/>
        <v>November</v>
      </c>
      <c r="I1065" t="s">
        <v>190</v>
      </c>
      <c r="J1065" t="s">
        <v>22</v>
      </c>
      <c r="K1065">
        <v>2916</v>
      </c>
      <c r="L1065" s="5" t="str">
        <f>IF(OR(K1065&lt;Answers!$C$16,Orders!K1065&gt;Answers!$C$17),"Yes","No")</f>
        <v>No</v>
      </c>
      <c r="M1065" s="14">
        <f>VLOOKUP(B1065,Customers!$A$1:$E$2501,4,0)</f>
        <v>87</v>
      </c>
    </row>
    <row r="1066" spans="1:13" x14ac:dyDescent="0.3">
      <c r="A1066">
        <v>704734</v>
      </c>
      <c r="B1066">
        <v>1243</v>
      </c>
      <c r="C1066" s="1" t="s">
        <v>104</v>
      </c>
      <c r="D1066" s="7">
        <v>45194</v>
      </c>
      <c r="E1066" s="11">
        <v>0.44097222222222221</v>
      </c>
      <c r="F1066" s="15">
        <f t="shared" si="48"/>
        <v>9</v>
      </c>
      <c r="G1066" s="10" t="str">
        <f t="shared" si="49"/>
        <v>Monday</v>
      </c>
      <c r="H1066" s="9" t="str">
        <f t="shared" si="50"/>
        <v>September</v>
      </c>
      <c r="I1066" t="s">
        <v>97</v>
      </c>
      <c r="J1066" t="s">
        <v>17</v>
      </c>
      <c r="K1066">
        <v>9313</v>
      </c>
      <c r="L1066" s="5" t="str">
        <f>IF(OR(K1066&lt;Answers!$C$16,Orders!K1066&gt;Answers!$C$17),"Yes","No")</f>
        <v>No</v>
      </c>
      <c r="M1066" s="14">
        <f>VLOOKUP(B1066,Customers!$A$1:$E$2501,4,0)</f>
        <v>24</v>
      </c>
    </row>
    <row r="1067" spans="1:13" x14ac:dyDescent="0.3">
      <c r="A1067">
        <v>705322</v>
      </c>
      <c r="B1067">
        <v>1718</v>
      </c>
      <c r="C1067" s="1" t="s">
        <v>98</v>
      </c>
      <c r="D1067" s="7">
        <v>45049</v>
      </c>
      <c r="E1067" s="11">
        <v>0.47499999999999998</v>
      </c>
      <c r="F1067" s="15">
        <f t="shared" si="48"/>
        <v>5</v>
      </c>
      <c r="G1067" s="10" t="str">
        <f t="shared" si="49"/>
        <v>Wednesday</v>
      </c>
      <c r="H1067" s="9" t="str">
        <f t="shared" si="50"/>
        <v>May</v>
      </c>
      <c r="I1067" t="s">
        <v>190</v>
      </c>
      <c r="J1067" t="s">
        <v>51</v>
      </c>
      <c r="K1067">
        <v>1519</v>
      </c>
      <c r="L1067" s="5" t="str">
        <f>IF(OR(K1067&lt;Answers!$C$16,Orders!K1067&gt;Answers!$C$17),"Yes","No")</f>
        <v>No</v>
      </c>
      <c r="M1067" s="14">
        <f>VLOOKUP(B1067,Customers!$A$1:$E$2501,4,0)</f>
        <v>26</v>
      </c>
    </row>
    <row r="1068" spans="1:13" x14ac:dyDescent="0.3">
      <c r="A1068">
        <v>705612</v>
      </c>
      <c r="B1068">
        <v>1886</v>
      </c>
      <c r="C1068" s="1" t="s">
        <v>100</v>
      </c>
      <c r="D1068" s="7">
        <v>45045</v>
      </c>
      <c r="E1068" s="11">
        <v>0.47986111111111113</v>
      </c>
      <c r="F1068" s="15">
        <f t="shared" si="48"/>
        <v>4</v>
      </c>
      <c r="G1068" s="10" t="str">
        <f t="shared" si="49"/>
        <v>Saturday</v>
      </c>
      <c r="H1068" s="9" t="str">
        <f t="shared" si="50"/>
        <v>April</v>
      </c>
      <c r="I1068" t="s">
        <v>190</v>
      </c>
      <c r="J1068" t="s">
        <v>29</v>
      </c>
      <c r="K1068">
        <v>2657</v>
      </c>
      <c r="L1068" s="5" t="str">
        <f>IF(OR(K1068&lt;Answers!$C$16,Orders!K1068&gt;Answers!$C$17),"Yes","No")</f>
        <v>No</v>
      </c>
      <c r="M1068" s="14">
        <f>VLOOKUP(B1068,Customers!$A$1:$E$2501,4,0)</f>
        <v>28</v>
      </c>
    </row>
    <row r="1069" spans="1:13" x14ac:dyDescent="0.3">
      <c r="A1069">
        <v>706153</v>
      </c>
      <c r="B1069">
        <v>1053</v>
      </c>
      <c r="C1069" s="1" t="s">
        <v>112</v>
      </c>
      <c r="D1069" s="7">
        <v>45007</v>
      </c>
      <c r="E1069" s="11">
        <v>0.52222222222222225</v>
      </c>
      <c r="F1069" s="15">
        <f t="shared" si="48"/>
        <v>3</v>
      </c>
      <c r="G1069" s="10" t="str">
        <f t="shared" si="49"/>
        <v>Wednesday</v>
      </c>
      <c r="H1069" s="9" t="str">
        <f t="shared" si="50"/>
        <v>March</v>
      </c>
      <c r="I1069" t="s">
        <v>96</v>
      </c>
      <c r="J1069" t="s">
        <v>26</v>
      </c>
      <c r="K1069">
        <v>777</v>
      </c>
      <c r="L1069" s="5" t="str">
        <f>IF(OR(K1069&lt;Answers!$C$16,Orders!K1069&gt;Answers!$C$17),"Yes","No")</f>
        <v>No</v>
      </c>
      <c r="M1069" s="14">
        <f>VLOOKUP(B1069,Customers!$A$1:$E$2501,4,0)</f>
        <v>67</v>
      </c>
    </row>
    <row r="1070" spans="1:13" x14ac:dyDescent="0.3">
      <c r="A1070">
        <v>706669</v>
      </c>
      <c r="B1070">
        <v>1153</v>
      </c>
      <c r="C1070" s="1" t="s">
        <v>106</v>
      </c>
      <c r="D1070" s="7">
        <v>45052</v>
      </c>
      <c r="E1070" s="11">
        <v>7.2916666666666671E-2</v>
      </c>
      <c r="F1070" s="15">
        <f t="shared" si="48"/>
        <v>5</v>
      </c>
      <c r="G1070" s="10" t="str">
        <f t="shared" si="49"/>
        <v>Saturday</v>
      </c>
      <c r="H1070" s="9" t="str">
        <f t="shared" si="50"/>
        <v>May</v>
      </c>
      <c r="I1070" t="s">
        <v>97</v>
      </c>
      <c r="J1070" t="s">
        <v>42</v>
      </c>
      <c r="K1070">
        <v>4666</v>
      </c>
      <c r="L1070" s="5" t="str">
        <f>IF(OR(K1070&lt;Answers!$C$16,Orders!K1070&gt;Answers!$C$17),"Yes","No")</f>
        <v>No</v>
      </c>
      <c r="M1070" s="14">
        <f>VLOOKUP(B1070,Customers!$A$1:$E$2501,4,0)</f>
        <v>39</v>
      </c>
    </row>
    <row r="1071" spans="1:13" x14ac:dyDescent="0.3">
      <c r="A1071">
        <v>706696</v>
      </c>
      <c r="B1071">
        <v>606</v>
      </c>
      <c r="C1071" s="1" t="s">
        <v>98</v>
      </c>
      <c r="D1071" s="7">
        <v>45116</v>
      </c>
      <c r="E1071" s="11">
        <v>0.52847222222222223</v>
      </c>
      <c r="F1071" s="15">
        <f t="shared" si="48"/>
        <v>7</v>
      </c>
      <c r="G1071" s="10" t="str">
        <f t="shared" si="49"/>
        <v>Sunday</v>
      </c>
      <c r="H1071" s="9" t="str">
        <f t="shared" si="50"/>
        <v>July</v>
      </c>
      <c r="I1071" t="s">
        <v>95</v>
      </c>
      <c r="J1071" t="s">
        <v>26</v>
      </c>
      <c r="K1071">
        <v>3500</v>
      </c>
      <c r="L1071" s="5" t="str">
        <f>IF(OR(K1071&lt;Answers!$C$16,Orders!K1071&gt;Answers!$C$17),"Yes","No")</f>
        <v>No</v>
      </c>
      <c r="M1071" s="14">
        <f>VLOOKUP(B1071,Customers!$A$1:$E$2501,4,0)</f>
        <v>18</v>
      </c>
    </row>
    <row r="1072" spans="1:13" x14ac:dyDescent="0.3">
      <c r="A1072">
        <v>706725</v>
      </c>
      <c r="B1072">
        <v>1812</v>
      </c>
      <c r="C1072" s="1" t="s">
        <v>104</v>
      </c>
      <c r="D1072" s="7">
        <v>44982</v>
      </c>
      <c r="E1072" s="11">
        <v>0.51111111111111107</v>
      </c>
      <c r="F1072" s="15">
        <f t="shared" si="48"/>
        <v>2</v>
      </c>
      <c r="G1072" s="10" t="str">
        <f t="shared" si="49"/>
        <v>Saturday</v>
      </c>
      <c r="H1072" s="9" t="str">
        <f t="shared" si="50"/>
        <v>February</v>
      </c>
      <c r="I1072" t="s">
        <v>97</v>
      </c>
      <c r="J1072" t="s">
        <v>29</v>
      </c>
      <c r="K1072">
        <v>7569</v>
      </c>
      <c r="L1072" s="5" t="str">
        <f>IF(OR(K1072&lt;Answers!$C$16,Orders!K1072&gt;Answers!$C$17),"Yes","No")</f>
        <v>No</v>
      </c>
      <c r="M1072" s="14">
        <f>VLOOKUP(B1072,Customers!$A$1:$E$2501,4,0)</f>
        <v>49</v>
      </c>
    </row>
    <row r="1073" spans="1:13" x14ac:dyDescent="0.3">
      <c r="A1073">
        <v>708480</v>
      </c>
      <c r="B1073">
        <v>1060</v>
      </c>
      <c r="C1073" s="1" t="s">
        <v>112</v>
      </c>
      <c r="D1073" s="7">
        <v>45218</v>
      </c>
      <c r="E1073" s="11">
        <v>0.48125000000000001</v>
      </c>
      <c r="F1073" s="15">
        <f t="shared" si="48"/>
        <v>10</v>
      </c>
      <c r="G1073" s="10" t="str">
        <f t="shared" si="49"/>
        <v>Thursday</v>
      </c>
      <c r="H1073" s="9" t="str">
        <f t="shared" si="50"/>
        <v>October</v>
      </c>
      <c r="I1073" t="s">
        <v>96</v>
      </c>
      <c r="J1073" t="s">
        <v>79</v>
      </c>
      <c r="K1073">
        <v>2493</v>
      </c>
      <c r="L1073" s="5" t="str">
        <f>IF(OR(K1073&lt;Answers!$C$16,Orders!K1073&gt;Answers!$C$17),"Yes","No")</f>
        <v>No</v>
      </c>
      <c r="M1073" s="14">
        <f>VLOOKUP(B1073,Customers!$A$1:$E$2501,4,0)</f>
        <v>62</v>
      </c>
    </row>
    <row r="1074" spans="1:13" x14ac:dyDescent="0.3">
      <c r="A1074">
        <v>708846</v>
      </c>
      <c r="B1074">
        <v>1644</v>
      </c>
      <c r="C1074" s="1" t="s">
        <v>100</v>
      </c>
      <c r="D1074" s="7">
        <v>45206</v>
      </c>
      <c r="E1074" s="11">
        <v>0.5229166666666667</v>
      </c>
      <c r="F1074" s="15">
        <f t="shared" si="48"/>
        <v>10</v>
      </c>
      <c r="G1074" s="10" t="str">
        <f t="shared" si="49"/>
        <v>Saturday</v>
      </c>
      <c r="H1074" s="9" t="str">
        <f t="shared" si="50"/>
        <v>October</v>
      </c>
      <c r="I1074" t="s">
        <v>96</v>
      </c>
      <c r="J1074" t="s">
        <v>53</v>
      </c>
      <c r="K1074">
        <v>3069</v>
      </c>
      <c r="L1074" s="5" t="str">
        <f>IF(OR(K1074&lt;Answers!$C$16,Orders!K1074&gt;Answers!$C$17),"Yes","No")</f>
        <v>No</v>
      </c>
      <c r="M1074" s="14">
        <f>VLOOKUP(B1074,Customers!$A$1:$E$2501,4,0)</f>
        <v>25</v>
      </c>
    </row>
    <row r="1075" spans="1:13" x14ac:dyDescent="0.3">
      <c r="A1075">
        <v>709317</v>
      </c>
      <c r="B1075">
        <v>253</v>
      </c>
      <c r="C1075" s="1" t="s">
        <v>99</v>
      </c>
      <c r="D1075" s="7">
        <v>45175</v>
      </c>
      <c r="E1075" s="11">
        <v>36537</v>
      </c>
      <c r="F1075" s="15">
        <f t="shared" si="48"/>
        <v>9</v>
      </c>
      <c r="G1075" s="10" t="str">
        <f t="shared" si="49"/>
        <v>Wednesday</v>
      </c>
      <c r="H1075" s="9" t="str">
        <f t="shared" si="50"/>
        <v>September</v>
      </c>
      <c r="I1075" t="s">
        <v>190</v>
      </c>
      <c r="J1075" t="s">
        <v>37</v>
      </c>
      <c r="K1075">
        <v>9441</v>
      </c>
      <c r="L1075" s="5" t="str">
        <f>IF(OR(K1075&lt;Answers!$C$16,Orders!K1075&gt;Answers!$C$17),"Yes","No")</f>
        <v>No</v>
      </c>
      <c r="M1075" s="14">
        <f>VLOOKUP(B1075,Customers!$A$1:$E$2501,4,0)</f>
        <v>67</v>
      </c>
    </row>
    <row r="1076" spans="1:13" x14ac:dyDescent="0.3">
      <c r="A1076">
        <v>710669</v>
      </c>
      <c r="B1076">
        <v>1366</v>
      </c>
      <c r="C1076" s="1" t="s">
        <v>98</v>
      </c>
      <c r="D1076" s="7">
        <v>45275</v>
      </c>
      <c r="E1076" s="11">
        <v>36628</v>
      </c>
      <c r="F1076" s="15">
        <f t="shared" si="48"/>
        <v>12</v>
      </c>
      <c r="G1076" s="10" t="str">
        <f t="shared" si="49"/>
        <v>Friday</v>
      </c>
      <c r="H1076" s="9" t="str">
        <f t="shared" si="50"/>
        <v>December</v>
      </c>
      <c r="I1076" t="s">
        <v>97</v>
      </c>
      <c r="J1076" t="s">
        <v>33</v>
      </c>
      <c r="K1076">
        <v>5405</v>
      </c>
      <c r="L1076" s="5" t="str">
        <f>IF(OR(K1076&lt;Answers!$C$16,Orders!K1076&gt;Answers!$C$17),"Yes","No")</f>
        <v>No</v>
      </c>
      <c r="M1076" s="14">
        <f>VLOOKUP(B1076,Customers!$A$1:$E$2501,4,0)</f>
        <v>44</v>
      </c>
    </row>
    <row r="1077" spans="1:13" x14ac:dyDescent="0.3">
      <c r="A1077">
        <v>710673</v>
      </c>
      <c r="B1077">
        <v>1229</v>
      </c>
      <c r="C1077" s="1" t="s">
        <v>100</v>
      </c>
      <c r="D1077" s="7">
        <v>45090</v>
      </c>
      <c r="E1077" s="11">
        <v>5.9722222222222225E-2</v>
      </c>
      <c r="F1077" s="15">
        <f t="shared" si="48"/>
        <v>6</v>
      </c>
      <c r="G1077" s="10" t="str">
        <f t="shared" si="49"/>
        <v>Tuesday</v>
      </c>
      <c r="H1077" s="9" t="str">
        <f t="shared" si="50"/>
        <v>June</v>
      </c>
      <c r="I1077" t="s">
        <v>96</v>
      </c>
      <c r="J1077" t="s">
        <v>59</v>
      </c>
      <c r="K1077">
        <v>6405</v>
      </c>
      <c r="L1077" s="5" t="str">
        <f>IF(OR(K1077&lt;Answers!$C$16,Orders!K1077&gt;Answers!$C$17),"Yes","No")</f>
        <v>No</v>
      </c>
      <c r="M1077" s="14">
        <f>VLOOKUP(B1077,Customers!$A$1:$E$2501,4,0)</f>
        <v>67</v>
      </c>
    </row>
    <row r="1078" spans="1:13" x14ac:dyDescent="0.3">
      <c r="A1078">
        <v>711277</v>
      </c>
      <c r="B1078">
        <v>933</v>
      </c>
      <c r="C1078" s="1" t="s">
        <v>98</v>
      </c>
      <c r="D1078" s="7">
        <v>45149</v>
      </c>
      <c r="E1078" s="11">
        <v>36749</v>
      </c>
      <c r="F1078" s="15">
        <f t="shared" si="48"/>
        <v>8</v>
      </c>
      <c r="G1078" s="10" t="str">
        <f t="shared" si="49"/>
        <v>Friday</v>
      </c>
      <c r="H1078" s="9" t="str">
        <f t="shared" si="50"/>
        <v>August</v>
      </c>
      <c r="I1078" t="s">
        <v>190</v>
      </c>
      <c r="J1078" t="s">
        <v>62</v>
      </c>
      <c r="K1078">
        <v>2857</v>
      </c>
      <c r="L1078" s="5" t="str">
        <f>IF(OR(K1078&lt;Answers!$C$16,Orders!K1078&gt;Answers!$C$17),"Yes","No")</f>
        <v>No</v>
      </c>
      <c r="M1078" s="14">
        <f>VLOOKUP(B1078,Customers!$A$1:$E$2501,4,0)</f>
        <v>24</v>
      </c>
    </row>
    <row r="1079" spans="1:13" x14ac:dyDescent="0.3">
      <c r="A1079">
        <v>711681</v>
      </c>
      <c r="B1079">
        <v>1344</v>
      </c>
      <c r="C1079" s="1" t="s">
        <v>104</v>
      </c>
      <c r="D1079" s="7">
        <v>45068</v>
      </c>
      <c r="E1079" s="11">
        <v>0.52430555555555558</v>
      </c>
      <c r="F1079" s="15">
        <f t="shared" si="48"/>
        <v>5</v>
      </c>
      <c r="G1079" s="10" t="str">
        <f t="shared" si="49"/>
        <v>Monday</v>
      </c>
      <c r="H1079" s="9" t="str">
        <f t="shared" si="50"/>
        <v>May</v>
      </c>
      <c r="I1079" t="s">
        <v>97</v>
      </c>
      <c r="J1079" t="s">
        <v>3</v>
      </c>
      <c r="K1079">
        <v>3885</v>
      </c>
      <c r="L1079" s="5" t="str">
        <f>IF(OR(K1079&lt;Answers!$C$16,Orders!K1079&gt;Answers!$C$17),"Yes","No")</f>
        <v>No</v>
      </c>
      <c r="M1079" s="14">
        <f>VLOOKUP(B1079,Customers!$A$1:$E$2501,4,0)</f>
        <v>40</v>
      </c>
    </row>
    <row r="1080" spans="1:13" x14ac:dyDescent="0.3">
      <c r="A1080">
        <v>712741</v>
      </c>
      <c r="B1080">
        <v>1001</v>
      </c>
      <c r="C1080" s="1" t="s">
        <v>98</v>
      </c>
      <c r="D1080" s="7">
        <v>45280</v>
      </c>
      <c r="E1080" s="11">
        <v>0.51388888888888884</v>
      </c>
      <c r="F1080" s="15">
        <f t="shared" si="48"/>
        <v>12</v>
      </c>
      <c r="G1080" s="10" t="str">
        <f t="shared" si="49"/>
        <v>Wednesday</v>
      </c>
      <c r="H1080" s="9" t="str">
        <f t="shared" si="50"/>
        <v>December</v>
      </c>
      <c r="I1080" t="s">
        <v>95</v>
      </c>
      <c r="J1080" t="s">
        <v>59</v>
      </c>
      <c r="K1080">
        <v>1475</v>
      </c>
      <c r="L1080" s="5" t="str">
        <f>IF(OR(K1080&lt;Answers!$C$16,Orders!K1080&gt;Answers!$C$17),"Yes","No")</f>
        <v>No</v>
      </c>
      <c r="M1080" s="14">
        <f>VLOOKUP(B1080,Customers!$A$1:$E$2501,4,0)</f>
        <v>41</v>
      </c>
    </row>
    <row r="1081" spans="1:13" x14ac:dyDescent="0.3">
      <c r="A1081">
        <v>713425</v>
      </c>
      <c r="B1081">
        <v>1254</v>
      </c>
      <c r="C1081" s="1" t="s">
        <v>99</v>
      </c>
      <c r="D1081" s="7">
        <v>45258</v>
      </c>
      <c r="E1081" s="11">
        <v>0.53819444444444442</v>
      </c>
      <c r="F1081" s="15">
        <f t="shared" si="48"/>
        <v>11</v>
      </c>
      <c r="G1081" s="10" t="str">
        <f t="shared" si="49"/>
        <v>Tuesday</v>
      </c>
      <c r="H1081" s="9" t="str">
        <f t="shared" si="50"/>
        <v>November</v>
      </c>
      <c r="I1081" t="s">
        <v>95</v>
      </c>
      <c r="J1081" t="s">
        <v>42</v>
      </c>
      <c r="K1081">
        <v>918</v>
      </c>
      <c r="L1081" s="5" t="str">
        <f>IF(OR(K1081&lt;Answers!$C$16,Orders!K1081&gt;Answers!$C$17),"Yes","No")</f>
        <v>No</v>
      </c>
      <c r="M1081" s="14">
        <f>VLOOKUP(B1081,Customers!$A$1:$E$2501,4,0)</f>
        <v>71</v>
      </c>
    </row>
    <row r="1082" spans="1:13" x14ac:dyDescent="0.3">
      <c r="A1082">
        <v>716091</v>
      </c>
      <c r="B1082">
        <v>1691</v>
      </c>
      <c r="C1082" s="1" t="s">
        <v>98</v>
      </c>
      <c r="D1082" s="7">
        <v>45089</v>
      </c>
      <c r="E1082" s="11">
        <v>6.1111111111111109E-2</v>
      </c>
      <c r="F1082" s="15">
        <f t="shared" si="48"/>
        <v>6</v>
      </c>
      <c r="G1082" s="10" t="str">
        <f t="shared" si="49"/>
        <v>Monday</v>
      </c>
      <c r="H1082" s="9" t="str">
        <f t="shared" si="50"/>
        <v>June</v>
      </c>
      <c r="I1082" t="s">
        <v>96</v>
      </c>
      <c r="J1082" t="s">
        <v>39</v>
      </c>
      <c r="K1082">
        <v>6454</v>
      </c>
      <c r="L1082" s="5" t="str">
        <f>IF(OR(K1082&lt;Answers!$C$16,Orders!K1082&gt;Answers!$C$17),"Yes","No")</f>
        <v>No</v>
      </c>
      <c r="M1082" s="14">
        <f>VLOOKUP(B1082,Customers!$A$1:$E$2501,4,0)</f>
        <v>43</v>
      </c>
    </row>
    <row r="1083" spans="1:13" x14ac:dyDescent="0.3">
      <c r="A1083">
        <v>717493</v>
      </c>
      <c r="B1083">
        <v>180</v>
      </c>
      <c r="C1083" s="1" t="s">
        <v>98</v>
      </c>
      <c r="D1083" s="7">
        <v>44978</v>
      </c>
      <c r="E1083" s="11">
        <v>0.53680555555555554</v>
      </c>
      <c r="F1083" s="15">
        <f t="shared" si="48"/>
        <v>2</v>
      </c>
      <c r="G1083" s="10" t="str">
        <f t="shared" si="49"/>
        <v>Tuesday</v>
      </c>
      <c r="H1083" s="9" t="str">
        <f t="shared" si="50"/>
        <v>February</v>
      </c>
      <c r="I1083" t="s">
        <v>95</v>
      </c>
      <c r="J1083" t="s">
        <v>80</v>
      </c>
      <c r="K1083">
        <v>1788</v>
      </c>
      <c r="L1083" s="5" t="str">
        <f>IF(OR(K1083&lt;Answers!$C$16,Orders!K1083&gt;Answers!$C$17),"Yes","No")</f>
        <v>No</v>
      </c>
      <c r="M1083" s="14">
        <f>VLOOKUP(B1083,Customers!$A$1:$E$2501,4,0)</f>
        <v>81</v>
      </c>
    </row>
    <row r="1084" spans="1:13" x14ac:dyDescent="0.3">
      <c r="A1084">
        <v>718344</v>
      </c>
      <c r="B1084">
        <v>375</v>
      </c>
      <c r="C1084" s="1" t="s">
        <v>100</v>
      </c>
      <c r="D1084" s="7">
        <v>45015</v>
      </c>
      <c r="E1084" s="11">
        <v>0.47291666666666665</v>
      </c>
      <c r="F1084" s="15">
        <f t="shared" si="48"/>
        <v>3</v>
      </c>
      <c r="G1084" s="10" t="str">
        <f t="shared" si="49"/>
        <v>Thursday</v>
      </c>
      <c r="H1084" s="9" t="str">
        <f t="shared" si="50"/>
        <v>March</v>
      </c>
      <c r="I1084" t="s">
        <v>190</v>
      </c>
      <c r="J1084" t="s">
        <v>81</v>
      </c>
      <c r="K1084">
        <v>1580</v>
      </c>
      <c r="L1084" s="5" t="str">
        <f>IF(OR(K1084&lt;Answers!$C$16,Orders!K1084&gt;Answers!$C$17),"Yes","No")</f>
        <v>No</v>
      </c>
      <c r="M1084" s="14">
        <f>VLOOKUP(B1084,Customers!$A$1:$E$2501,4,0)</f>
        <v>45</v>
      </c>
    </row>
    <row r="1085" spans="1:13" x14ac:dyDescent="0.3">
      <c r="A1085">
        <v>719496</v>
      </c>
      <c r="B1085">
        <v>958</v>
      </c>
      <c r="C1085" s="1" t="s">
        <v>98</v>
      </c>
      <c r="D1085" s="7">
        <v>45021</v>
      </c>
      <c r="E1085" s="11">
        <v>0.46805555555555556</v>
      </c>
      <c r="F1085" s="15">
        <f t="shared" si="48"/>
        <v>4</v>
      </c>
      <c r="G1085" s="10" t="str">
        <f t="shared" si="49"/>
        <v>Wednesday</v>
      </c>
      <c r="H1085" s="9" t="str">
        <f t="shared" si="50"/>
        <v>April</v>
      </c>
      <c r="I1085" t="s">
        <v>96</v>
      </c>
      <c r="J1085" t="s">
        <v>27</v>
      </c>
      <c r="K1085">
        <v>8062</v>
      </c>
      <c r="L1085" s="5" t="str">
        <f>IF(OR(K1085&lt;Answers!$C$16,Orders!K1085&gt;Answers!$C$17),"Yes","No")</f>
        <v>No</v>
      </c>
      <c r="M1085" s="14">
        <f>VLOOKUP(B1085,Customers!$A$1:$E$2501,4,0)</f>
        <v>89</v>
      </c>
    </row>
    <row r="1086" spans="1:13" x14ac:dyDescent="0.3">
      <c r="A1086">
        <v>719899</v>
      </c>
      <c r="B1086">
        <v>748</v>
      </c>
      <c r="C1086" s="1" t="s">
        <v>98</v>
      </c>
      <c r="D1086" s="7">
        <v>44993</v>
      </c>
      <c r="E1086" s="11">
        <v>0.47847222222222224</v>
      </c>
      <c r="F1086" s="15">
        <f t="shared" si="48"/>
        <v>3</v>
      </c>
      <c r="G1086" s="10" t="str">
        <f t="shared" si="49"/>
        <v>Wednesday</v>
      </c>
      <c r="H1086" s="9" t="str">
        <f t="shared" si="50"/>
        <v>March</v>
      </c>
      <c r="I1086" t="s">
        <v>96</v>
      </c>
      <c r="J1086" t="s">
        <v>65</v>
      </c>
      <c r="K1086">
        <v>2445</v>
      </c>
      <c r="L1086" s="5" t="str">
        <f>IF(OR(K1086&lt;Answers!$C$16,Orders!K1086&gt;Answers!$C$17),"Yes","No")</f>
        <v>No</v>
      </c>
      <c r="M1086" s="14">
        <f>VLOOKUP(B1086,Customers!$A$1:$E$2501,4,0)</f>
        <v>40</v>
      </c>
    </row>
    <row r="1087" spans="1:13" x14ac:dyDescent="0.3">
      <c r="A1087">
        <v>720311</v>
      </c>
      <c r="B1087">
        <v>425</v>
      </c>
      <c r="C1087" s="1" t="s">
        <v>112</v>
      </c>
      <c r="D1087" s="7">
        <v>44984</v>
      </c>
      <c r="E1087" s="11">
        <v>0.51527777777777772</v>
      </c>
      <c r="F1087" s="15">
        <f t="shared" si="48"/>
        <v>2</v>
      </c>
      <c r="G1087" s="10" t="str">
        <f t="shared" si="49"/>
        <v>Monday</v>
      </c>
      <c r="H1087" s="9" t="str">
        <f t="shared" si="50"/>
        <v>February</v>
      </c>
      <c r="I1087" t="s">
        <v>97</v>
      </c>
      <c r="J1087" t="s">
        <v>26</v>
      </c>
      <c r="K1087">
        <v>4868</v>
      </c>
      <c r="L1087" s="5" t="str">
        <f>IF(OR(K1087&lt;Answers!$C$16,Orders!K1087&gt;Answers!$C$17),"Yes","No")</f>
        <v>No</v>
      </c>
      <c r="M1087" s="14">
        <f>VLOOKUP(B1087,Customers!$A$1:$E$2501,4,0)</f>
        <v>51</v>
      </c>
    </row>
    <row r="1088" spans="1:13" x14ac:dyDescent="0.3">
      <c r="A1088">
        <v>721053</v>
      </c>
      <c r="B1088">
        <v>579</v>
      </c>
      <c r="C1088" s="1" t="s">
        <v>98</v>
      </c>
      <c r="D1088" s="7">
        <v>45039</v>
      </c>
      <c r="E1088" s="11">
        <v>36597</v>
      </c>
      <c r="F1088" s="15">
        <f t="shared" si="48"/>
        <v>4</v>
      </c>
      <c r="G1088" s="10" t="str">
        <f t="shared" si="49"/>
        <v>Sunday</v>
      </c>
      <c r="H1088" s="9" t="str">
        <f t="shared" si="50"/>
        <v>April</v>
      </c>
      <c r="I1088" t="s">
        <v>95</v>
      </c>
      <c r="J1088" t="s">
        <v>38</v>
      </c>
      <c r="K1088">
        <v>5093</v>
      </c>
      <c r="L1088" s="5" t="str">
        <f>IF(OR(K1088&lt;Answers!$C$16,Orders!K1088&gt;Answers!$C$17),"Yes","No")</f>
        <v>No</v>
      </c>
      <c r="M1088" s="14">
        <f>VLOOKUP(B1088,Customers!$A$1:$E$2501,4,0)</f>
        <v>62</v>
      </c>
    </row>
    <row r="1089" spans="1:13" x14ac:dyDescent="0.3">
      <c r="A1089">
        <v>721298</v>
      </c>
      <c r="B1089">
        <v>1717</v>
      </c>
      <c r="C1089" s="1" t="s">
        <v>100</v>
      </c>
      <c r="D1089" s="7">
        <v>45013</v>
      </c>
      <c r="E1089" s="11">
        <v>0.53749999999999998</v>
      </c>
      <c r="F1089" s="15">
        <f t="shared" si="48"/>
        <v>3</v>
      </c>
      <c r="G1089" s="10" t="str">
        <f t="shared" si="49"/>
        <v>Tuesday</v>
      </c>
      <c r="H1089" s="9" t="str">
        <f t="shared" si="50"/>
        <v>March</v>
      </c>
      <c r="I1089" t="s">
        <v>190</v>
      </c>
      <c r="J1089" t="s">
        <v>26</v>
      </c>
      <c r="K1089">
        <v>3875</v>
      </c>
      <c r="L1089" s="5" t="str">
        <f>IF(OR(K1089&lt;Answers!$C$16,Orders!K1089&gt;Answers!$C$17),"Yes","No")</f>
        <v>No</v>
      </c>
      <c r="M1089" s="14">
        <f>VLOOKUP(B1089,Customers!$A$1:$E$2501,4,0)</f>
        <v>33</v>
      </c>
    </row>
    <row r="1090" spans="1:13" x14ac:dyDescent="0.3">
      <c r="A1090">
        <v>721384</v>
      </c>
      <c r="B1090">
        <v>922</v>
      </c>
      <c r="C1090" s="1" t="s">
        <v>109</v>
      </c>
      <c r="D1090" s="7">
        <v>45002</v>
      </c>
      <c r="E1090" s="11">
        <v>36628</v>
      </c>
      <c r="F1090" s="15">
        <f t="shared" si="48"/>
        <v>3</v>
      </c>
      <c r="G1090" s="10" t="str">
        <f t="shared" si="49"/>
        <v>Friday</v>
      </c>
      <c r="H1090" s="9" t="str">
        <f t="shared" si="50"/>
        <v>March</v>
      </c>
      <c r="I1090" t="s">
        <v>190</v>
      </c>
      <c r="J1090" t="s">
        <v>42</v>
      </c>
      <c r="K1090">
        <v>1833</v>
      </c>
      <c r="L1090" s="5" t="str">
        <f>IF(OR(K1090&lt;Answers!$C$16,Orders!K1090&gt;Answers!$C$17),"Yes","No")</f>
        <v>No</v>
      </c>
      <c r="M1090" s="14">
        <f>VLOOKUP(B1090,Customers!$A$1:$E$2501,4,0)</f>
        <v>31</v>
      </c>
    </row>
    <row r="1091" spans="1:13" x14ac:dyDescent="0.3">
      <c r="A1091">
        <v>722572</v>
      </c>
      <c r="B1091">
        <v>1948</v>
      </c>
      <c r="C1091" s="1" t="s">
        <v>98</v>
      </c>
      <c r="D1091" s="7">
        <v>44954</v>
      </c>
      <c r="E1091" s="11">
        <v>0.4826388888888889</v>
      </c>
      <c r="F1091" s="15">
        <f t="shared" ref="F1091:F1154" si="51">MONTH(D1091)</f>
        <v>1</v>
      </c>
      <c r="G1091" s="10" t="str">
        <f t="shared" ref="G1091:G1154" si="52">TEXT(D1091,"dddd")</f>
        <v>Saturday</v>
      </c>
      <c r="H1091" s="9" t="str">
        <f t="shared" ref="H1091:H1154" si="53">TEXT(D1091,"mmmm")</f>
        <v>January</v>
      </c>
      <c r="I1091" t="s">
        <v>95</v>
      </c>
      <c r="J1091" t="s">
        <v>61</v>
      </c>
      <c r="K1091">
        <v>1207</v>
      </c>
      <c r="L1091" s="5" t="str">
        <f>IF(OR(K1091&lt;Answers!$C$16,Orders!K1091&gt;Answers!$C$17),"Yes","No")</f>
        <v>No</v>
      </c>
      <c r="M1091" s="14">
        <f>VLOOKUP(B1091,Customers!$A$1:$E$2501,4,0)</f>
        <v>79</v>
      </c>
    </row>
    <row r="1092" spans="1:13" x14ac:dyDescent="0.3">
      <c r="A1092">
        <v>723244</v>
      </c>
      <c r="B1092">
        <v>1347</v>
      </c>
      <c r="C1092" s="1" t="s">
        <v>99</v>
      </c>
      <c r="D1092" s="7">
        <v>45161</v>
      </c>
      <c r="E1092" s="11">
        <v>36842</v>
      </c>
      <c r="F1092" s="15">
        <f t="shared" si="51"/>
        <v>8</v>
      </c>
      <c r="G1092" s="10" t="str">
        <f t="shared" si="52"/>
        <v>Wednesday</v>
      </c>
      <c r="H1092" s="9" t="str">
        <f t="shared" si="53"/>
        <v>August</v>
      </c>
      <c r="I1092" t="s">
        <v>190</v>
      </c>
      <c r="J1092" t="s">
        <v>69</v>
      </c>
      <c r="K1092">
        <v>6759</v>
      </c>
      <c r="L1092" s="5" t="str">
        <f>IF(OR(K1092&lt;Answers!$C$16,Orders!K1092&gt;Answers!$C$17),"Yes","No")</f>
        <v>No</v>
      </c>
      <c r="M1092" s="14">
        <f>VLOOKUP(B1092,Customers!$A$1:$E$2501,4,0)</f>
        <v>55</v>
      </c>
    </row>
    <row r="1093" spans="1:13" x14ac:dyDescent="0.3">
      <c r="A1093">
        <v>723357</v>
      </c>
      <c r="B1093">
        <v>1297</v>
      </c>
      <c r="C1093" s="1" t="s">
        <v>98</v>
      </c>
      <c r="D1093" s="7">
        <v>44989</v>
      </c>
      <c r="E1093" s="11">
        <v>36647</v>
      </c>
      <c r="F1093" s="15">
        <f t="shared" si="51"/>
        <v>3</v>
      </c>
      <c r="G1093" s="10" t="str">
        <f t="shared" si="52"/>
        <v>Saturday</v>
      </c>
      <c r="H1093" s="9" t="str">
        <f t="shared" si="53"/>
        <v>March</v>
      </c>
      <c r="I1093" t="s">
        <v>97</v>
      </c>
      <c r="J1093" t="s">
        <v>70</v>
      </c>
      <c r="K1093">
        <v>4674</v>
      </c>
      <c r="L1093" s="5" t="str">
        <f>IF(OR(K1093&lt;Answers!$C$16,Orders!K1093&gt;Answers!$C$17),"Yes","No")</f>
        <v>No</v>
      </c>
      <c r="M1093" s="14">
        <f>VLOOKUP(B1093,Customers!$A$1:$E$2501,4,0)</f>
        <v>86</v>
      </c>
    </row>
    <row r="1094" spans="1:13" x14ac:dyDescent="0.3">
      <c r="A1094">
        <v>723458</v>
      </c>
      <c r="B1094">
        <v>1716</v>
      </c>
      <c r="C1094" s="1" t="s">
        <v>98</v>
      </c>
      <c r="D1094" s="7">
        <v>45029</v>
      </c>
      <c r="E1094" s="11">
        <v>36719</v>
      </c>
      <c r="F1094" s="15">
        <f t="shared" si="51"/>
        <v>4</v>
      </c>
      <c r="G1094" s="10" t="str">
        <f t="shared" si="52"/>
        <v>Thursday</v>
      </c>
      <c r="H1094" s="9" t="str">
        <f t="shared" si="53"/>
        <v>April</v>
      </c>
      <c r="I1094" t="s">
        <v>190</v>
      </c>
      <c r="J1094" t="s">
        <v>42</v>
      </c>
      <c r="K1094">
        <v>946</v>
      </c>
      <c r="L1094" s="5" t="str">
        <f>IF(OR(K1094&lt;Answers!$C$16,Orders!K1094&gt;Answers!$C$17),"Yes","No")</f>
        <v>No</v>
      </c>
      <c r="M1094" s="14">
        <f>VLOOKUP(B1094,Customers!$A$1:$E$2501,4,0)</f>
        <v>18</v>
      </c>
    </row>
    <row r="1095" spans="1:13" x14ac:dyDescent="0.3">
      <c r="A1095">
        <v>723480</v>
      </c>
      <c r="B1095">
        <v>1961</v>
      </c>
      <c r="C1095" s="1" t="s">
        <v>108</v>
      </c>
      <c r="D1095" s="7">
        <v>44981</v>
      </c>
      <c r="E1095" s="11">
        <v>0.53263888888888888</v>
      </c>
      <c r="F1095" s="15">
        <f t="shared" si="51"/>
        <v>2</v>
      </c>
      <c r="G1095" s="10" t="str">
        <f t="shared" si="52"/>
        <v>Friday</v>
      </c>
      <c r="H1095" s="9" t="str">
        <f t="shared" si="53"/>
        <v>February</v>
      </c>
      <c r="I1095" t="s">
        <v>96</v>
      </c>
      <c r="J1095" t="s">
        <v>44</v>
      </c>
      <c r="K1095">
        <v>8332</v>
      </c>
      <c r="L1095" s="5" t="str">
        <f>IF(OR(K1095&lt;Answers!$C$16,Orders!K1095&gt;Answers!$C$17),"Yes","No")</f>
        <v>No</v>
      </c>
      <c r="M1095" s="14">
        <f>VLOOKUP(B1095,Customers!$A$1:$E$2501,4,0)</f>
        <v>87</v>
      </c>
    </row>
    <row r="1096" spans="1:13" x14ac:dyDescent="0.3">
      <c r="A1096">
        <v>723551</v>
      </c>
      <c r="B1096">
        <v>1849</v>
      </c>
      <c r="C1096" s="1" t="s">
        <v>107</v>
      </c>
      <c r="D1096" s="7">
        <v>45039</v>
      </c>
      <c r="E1096" s="11">
        <v>6.9444444444444448E-2</v>
      </c>
      <c r="F1096" s="15">
        <f t="shared" si="51"/>
        <v>4</v>
      </c>
      <c r="G1096" s="10" t="str">
        <f t="shared" si="52"/>
        <v>Sunday</v>
      </c>
      <c r="H1096" s="9" t="str">
        <f t="shared" si="53"/>
        <v>April</v>
      </c>
      <c r="I1096" t="s">
        <v>96</v>
      </c>
      <c r="J1096" t="s">
        <v>7</v>
      </c>
      <c r="K1096">
        <v>6416</v>
      </c>
      <c r="L1096" s="5" t="str">
        <f>IF(OR(K1096&lt;Answers!$C$16,Orders!K1096&gt;Answers!$C$17),"Yes","No")</f>
        <v>No</v>
      </c>
      <c r="M1096" s="14">
        <f>VLOOKUP(B1096,Customers!$A$1:$E$2501,4,0)</f>
        <v>35</v>
      </c>
    </row>
    <row r="1097" spans="1:13" x14ac:dyDescent="0.3">
      <c r="A1097">
        <v>723623</v>
      </c>
      <c r="B1097">
        <v>1818</v>
      </c>
      <c r="C1097" s="1" t="s">
        <v>98</v>
      </c>
      <c r="D1097" s="7">
        <v>45110</v>
      </c>
      <c r="E1097" s="11">
        <v>0.53194444444444444</v>
      </c>
      <c r="F1097" s="15">
        <f t="shared" si="51"/>
        <v>7</v>
      </c>
      <c r="G1097" s="10" t="str">
        <f t="shared" si="52"/>
        <v>Monday</v>
      </c>
      <c r="H1097" s="9" t="str">
        <f t="shared" si="53"/>
        <v>July</v>
      </c>
      <c r="I1097" t="s">
        <v>190</v>
      </c>
      <c r="J1097" t="s">
        <v>45</v>
      </c>
      <c r="K1097">
        <v>9468</v>
      </c>
      <c r="L1097" s="5" t="str">
        <f>IF(OR(K1097&lt;Answers!$C$16,Orders!K1097&gt;Answers!$C$17),"Yes","No")</f>
        <v>No</v>
      </c>
      <c r="M1097" s="14">
        <f>VLOOKUP(B1097,Customers!$A$1:$E$2501,4,0)</f>
        <v>20</v>
      </c>
    </row>
    <row r="1098" spans="1:13" x14ac:dyDescent="0.3">
      <c r="A1098">
        <v>725071</v>
      </c>
      <c r="B1098">
        <v>1825</v>
      </c>
      <c r="C1098" s="1" t="s">
        <v>100</v>
      </c>
      <c r="D1098" s="7">
        <v>44972</v>
      </c>
      <c r="E1098" s="11">
        <v>0.52222222222222225</v>
      </c>
      <c r="F1098" s="15">
        <f t="shared" si="51"/>
        <v>2</v>
      </c>
      <c r="G1098" s="10" t="str">
        <f t="shared" si="52"/>
        <v>Wednesday</v>
      </c>
      <c r="H1098" s="9" t="str">
        <f t="shared" si="53"/>
        <v>February</v>
      </c>
      <c r="I1098" t="s">
        <v>190</v>
      </c>
      <c r="J1098" t="s">
        <v>10</v>
      </c>
      <c r="K1098">
        <v>8859</v>
      </c>
      <c r="L1098" s="5" t="str">
        <f>IF(OR(K1098&lt;Answers!$C$16,Orders!K1098&gt;Answers!$C$17),"Yes","No")</f>
        <v>No</v>
      </c>
      <c r="M1098" s="14">
        <f>VLOOKUP(B1098,Customers!$A$1:$E$2501,4,0)</f>
        <v>22</v>
      </c>
    </row>
    <row r="1099" spans="1:13" x14ac:dyDescent="0.3">
      <c r="A1099">
        <v>725371</v>
      </c>
      <c r="B1099">
        <v>634</v>
      </c>
      <c r="C1099" s="1" t="s">
        <v>98</v>
      </c>
      <c r="D1099" s="7">
        <v>44928</v>
      </c>
      <c r="E1099" s="11">
        <v>0.48402777777777778</v>
      </c>
      <c r="F1099" s="15">
        <f t="shared" si="51"/>
        <v>1</v>
      </c>
      <c r="G1099" s="10" t="str">
        <f t="shared" si="52"/>
        <v>Monday</v>
      </c>
      <c r="H1099" s="9" t="str">
        <f t="shared" si="53"/>
        <v>January</v>
      </c>
      <c r="I1099" t="s">
        <v>97</v>
      </c>
      <c r="J1099" t="s">
        <v>71</v>
      </c>
      <c r="K1099">
        <v>7071</v>
      </c>
      <c r="L1099" s="5" t="str">
        <f>IF(OR(K1099&lt;Answers!$C$16,Orders!K1099&gt;Answers!$C$17),"Yes","No")</f>
        <v>No</v>
      </c>
      <c r="M1099" s="14">
        <f>VLOOKUP(B1099,Customers!$A$1:$E$2501,4,0)</f>
        <v>62</v>
      </c>
    </row>
    <row r="1100" spans="1:13" x14ac:dyDescent="0.3">
      <c r="A1100">
        <v>725482</v>
      </c>
      <c r="B1100">
        <v>1874</v>
      </c>
      <c r="C1100" s="1" t="s">
        <v>98</v>
      </c>
      <c r="D1100" s="7">
        <v>45118</v>
      </c>
      <c r="E1100" s="11">
        <v>0.47708333333333336</v>
      </c>
      <c r="F1100" s="15">
        <f t="shared" si="51"/>
        <v>7</v>
      </c>
      <c r="G1100" s="10" t="str">
        <f t="shared" si="52"/>
        <v>Tuesday</v>
      </c>
      <c r="H1100" s="9" t="str">
        <f t="shared" si="53"/>
        <v>July</v>
      </c>
      <c r="I1100" t="s">
        <v>97</v>
      </c>
      <c r="J1100" t="s">
        <v>26</v>
      </c>
      <c r="K1100">
        <v>6488</v>
      </c>
      <c r="L1100" s="5" t="str">
        <f>IF(OR(K1100&lt;Answers!$C$16,Orders!K1100&gt;Answers!$C$17),"Yes","No")</f>
        <v>No</v>
      </c>
      <c r="M1100" s="14">
        <f>VLOOKUP(B1100,Customers!$A$1:$E$2501,4,0)</f>
        <v>51</v>
      </c>
    </row>
    <row r="1101" spans="1:13" x14ac:dyDescent="0.3">
      <c r="A1101">
        <v>726616</v>
      </c>
      <c r="B1101">
        <v>1290</v>
      </c>
      <c r="C1101" s="1" t="s">
        <v>98</v>
      </c>
      <c r="D1101" s="7">
        <v>45144</v>
      </c>
      <c r="E1101" s="11">
        <v>0.48472222222222222</v>
      </c>
      <c r="F1101" s="15">
        <f t="shared" si="51"/>
        <v>8</v>
      </c>
      <c r="G1101" s="10" t="str">
        <f t="shared" si="52"/>
        <v>Sunday</v>
      </c>
      <c r="H1101" s="9" t="str">
        <f t="shared" si="53"/>
        <v>August</v>
      </c>
      <c r="I1101" t="s">
        <v>190</v>
      </c>
      <c r="J1101" t="s">
        <v>12</v>
      </c>
      <c r="K1101">
        <v>6697</v>
      </c>
      <c r="L1101" s="5" t="str">
        <f>IF(OR(K1101&lt;Answers!$C$16,Orders!K1101&gt;Answers!$C$17),"Yes","No")</f>
        <v>No</v>
      </c>
      <c r="M1101" s="14">
        <f>VLOOKUP(B1101,Customers!$A$1:$E$2501,4,0)</f>
        <v>31</v>
      </c>
    </row>
    <row r="1102" spans="1:13" x14ac:dyDescent="0.3">
      <c r="A1102">
        <v>728697</v>
      </c>
      <c r="B1102">
        <v>1913</v>
      </c>
      <c r="C1102" s="1" t="s">
        <v>106</v>
      </c>
      <c r="D1102" s="7">
        <v>45163</v>
      </c>
      <c r="E1102" s="11">
        <v>36842</v>
      </c>
      <c r="F1102" s="15">
        <f t="shared" si="51"/>
        <v>8</v>
      </c>
      <c r="G1102" s="10" t="str">
        <f t="shared" si="52"/>
        <v>Friday</v>
      </c>
      <c r="H1102" s="9" t="str">
        <f t="shared" si="53"/>
        <v>August</v>
      </c>
      <c r="I1102" t="s">
        <v>96</v>
      </c>
      <c r="J1102" t="s">
        <v>72</v>
      </c>
      <c r="K1102">
        <v>6226</v>
      </c>
      <c r="L1102" s="5" t="str">
        <f>IF(OR(K1102&lt;Answers!$C$16,Orders!K1102&gt;Answers!$C$17),"Yes","No")</f>
        <v>No</v>
      </c>
      <c r="M1102" s="14">
        <f>VLOOKUP(B1102,Customers!$A$1:$E$2501,4,0)</f>
        <v>51</v>
      </c>
    </row>
    <row r="1103" spans="1:13" x14ac:dyDescent="0.3">
      <c r="A1103">
        <v>730295</v>
      </c>
      <c r="B1103">
        <v>134</v>
      </c>
      <c r="C1103" s="1" t="s">
        <v>100</v>
      </c>
      <c r="D1103" s="7">
        <v>45144</v>
      </c>
      <c r="E1103" s="11">
        <v>36628</v>
      </c>
      <c r="F1103" s="15">
        <f t="shared" si="51"/>
        <v>8</v>
      </c>
      <c r="G1103" s="10" t="str">
        <f t="shared" si="52"/>
        <v>Sunday</v>
      </c>
      <c r="H1103" s="9" t="str">
        <f t="shared" si="53"/>
        <v>August</v>
      </c>
      <c r="I1103" t="s">
        <v>190</v>
      </c>
      <c r="J1103" t="s">
        <v>51</v>
      </c>
      <c r="K1103">
        <v>4721</v>
      </c>
      <c r="L1103" s="5" t="str">
        <f>IF(OR(K1103&lt;Answers!$C$16,Orders!K1103&gt;Answers!$C$17),"Yes","No")</f>
        <v>No</v>
      </c>
      <c r="M1103" s="14">
        <f>VLOOKUP(B1103,Customers!$A$1:$E$2501,4,0)</f>
        <v>82</v>
      </c>
    </row>
    <row r="1104" spans="1:13" x14ac:dyDescent="0.3">
      <c r="A1104">
        <v>730976</v>
      </c>
      <c r="B1104">
        <v>1908</v>
      </c>
      <c r="C1104" s="1" t="s">
        <v>98</v>
      </c>
      <c r="D1104" s="7">
        <v>45231</v>
      </c>
      <c r="E1104" s="11">
        <v>0.54027777777777775</v>
      </c>
      <c r="F1104" s="15">
        <f t="shared" si="51"/>
        <v>11</v>
      </c>
      <c r="G1104" s="10" t="str">
        <f t="shared" si="52"/>
        <v>Wednesday</v>
      </c>
      <c r="H1104" s="9" t="str">
        <f t="shared" si="53"/>
        <v>November</v>
      </c>
      <c r="I1104" t="s">
        <v>96</v>
      </c>
      <c r="J1104" t="s">
        <v>12</v>
      </c>
      <c r="K1104">
        <v>4073</v>
      </c>
      <c r="L1104" s="5" t="str">
        <f>IF(OR(K1104&lt;Answers!$C$16,Orders!K1104&gt;Answers!$C$17),"Yes","No")</f>
        <v>No</v>
      </c>
      <c r="M1104" s="14">
        <f>VLOOKUP(B1104,Customers!$A$1:$E$2501,4,0)</f>
        <v>20</v>
      </c>
    </row>
    <row r="1105" spans="1:13" x14ac:dyDescent="0.3">
      <c r="A1105">
        <v>731161</v>
      </c>
      <c r="B1105">
        <v>1367</v>
      </c>
      <c r="C1105" s="1" t="s">
        <v>106</v>
      </c>
      <c r="D1105" s="7">
        <v>45079</v>
      </c>
      <c r="E1105" s="11">
        <v>36781</v>
      </c>
      <c r="F1105" s="15">
        <f t="shared" si="51"/>
        <v>6</v>
      </c>
      <c r="G1105" s="10" t="str">
        <f t="shared" si="52"/>
        <v>Friday</v>
      </c>
      <c r="H1105" s="9" t="str">
        <f t="shared" si="53"/>
        <v>June</v>
      </c>
      <c r="I1105" t="s">
        <v>95</v>
      </c>
      <c r="J1105" t="s">
        <v>90</v>
      </c>
      <c r="K1105">
        <v>3548</v>
      </c>
      <c r="L1105" s="5" t="str">
        <f>IF(OR(K1105&lt;Answers!$C$16,Orders!K1105&gt;Answers!$C$17),"Yes","No")</f>
        <v>No</v>
      </c>
      <c r="M1105" s="14">
        <f>VLOOKUP(B1105,Customers!$A$1:$E$2501,4,0)</f>
        <v>25</v>
      </c>
    </row>
    <row r="1106" spans="1:13" x14ac:dyDescent="0.3">
      <c r="A1106">
        <v>731345</v>
      </c>
      <c r="B1106">
        <v>1365</v>
      </c>
      <c r="C1106" s="1" t="s">
        <v>98</v>
      </c>
      <c r="D1106" s="7">
        <v>45013</v>
      </c>
      <c r="E1106" s="11">
        <v>0.45763888888888887</v>
      </c>
      <c r="F1106" s="15">
        <f t="shared" si="51"/>
        <v>3</v>
      </c>
      <c r="G1106" s="10" t="str">
        <f t="shared" si="52"/>
        <v>Tuesday</v>
      </c>
      <c r="H1106" s="9" t="str">
        <f t="shared" si="53"/>
        <v>March</v>
      </c>
      <c r="I1106" t="s">
        <v>97</v>
      </c>
      <c r="J1106" t="s">
        <v>74</v>
      </c>
      <c r="K1106">
        <v>5198</v>
      </c>
      <c r="L1106" s="5" t="str">
        <f>IF(OR(K1106&lt;Answers!$C$16,Orders!K1106&gt;Answers!$C$17),"Yes","No")</f>
        <v>No</v>
      </c>
      <c r="M1106" s="14">
        <f>VLOOKUP(B1106,Customers!$A$1:$E$2501,4,0)</f>
        <v>53</v>
      </c>
    </row>
    <row r="1107" spans="1:13" x14ac:dyDescent="0.3">
      <c r="A1107">
        <v>732301</v>
      </c>
      <c r="B1107">
        <v>250</v>
      </c>
      <c r="C1107" s="1" t="s">
        <v>112</v>
      </c>
      <c r="D1107" s="7">
        <v>45231</v>
      </c>
      <c r="E1107" s="11">
        <v>36658</v>
      </c>
      <c r="F1107" s="15">
        <f t="shared" si="51"/>
        <v>11</v>
      </c>
      <c r="G1107" s="10" t="str">
        <f t="shared" si="52"/>
        <v>Wednesday</v>
      </c>
      <c r="H1107" s="9" t="str">
        <f t="shared" si="53"/>
        <v>November</v>
      </c>
      <c r="I1107" t="s">
        <v>190</v>
      </c>
      <c r="J1107" t="s">
        <v>72</v>
      </c>
      <c r="K1107">
        <v>4048</v>
      </c>
      <c r="L1107" s="5" t="str">
        <f>IF(OR(K1107&lt;Answers!$C$16,Orders!K1107&gt;Answers!$C$17),"Yes","No")</f>
        <v>No</v>
      </c>
      <c r="M1107" s="14">
        <f>VLOOKUP(B1107,Customers!$A$1:$E$2501,4,0)</f>
        <v>51</v>
      </c>
    </row>
    <row r="1108" spans="1:13" x14ac:dyDescent="0.3">
      <c r="A1108">
        <v>732319</v>
      </c>
      <c r="B1108">
        <v>1802</v>
      </c>
      <c r="C1108" s="1" t="s">
        <v>99</v>
      </c>
      <c r="D1108" s="7">
        <v>45040</v>
      </c>
      <c r="E1108" s="11">
        <v>36719</v>
      </c>
      <c r="F1108" s="15">
        <f t="shared" si="51"/>
        <v>4</v>
      </c>
      <c r="G1108" s="10" t="str">
        <f t="shared" si="52"/>
        <v>Monday</v>
      </c>
      <c r="H1108" s="9" t="str">
        <f t="shared" si="53"/>
        <v>April</v>
      </c>
      <c r="I1108" t="s">
        <v>95</v>
      </c>
      <c r="J1108" t="s">
        <v>75</v>
      </c>
      <c r="K1108">
        <v>3911</v>
      </c>
      <c r="L1108" s="5" t="str">
        <f>IF(OR(K1108&lt;Answers!$C$16,Orders!K1108&gt;Answers!$C$17),"Yes","No")</f>
        <v>No</v>
      </c>
      <c r="M1108" s="14">
        <f>VLOOKUP(B1108,Customers!$A$1:$E$2501,4,0)</f>
        <v>61</v>
      </c>
    </row>
    <row r="1109" spans="1:13" x14ac:dyDescent="0.3">
      <c r="A1109">
        <v>733263</v>
      </c>
      <c r="B1109">
        <v>881</v>
      </c>
      <c r="C1109" s="1" t="s">
        <v>99</v>
      </c>
      <c r="D1109" s="7">
        <v>45224</v>
      </c>
      <c r="E1109" s="11">
        <v>0.52361111111111114</v>
      </c>
      <c r="F1109" s="15">
        <f t="shared" si="51"/>
        <v>10</v>
      </c>
      <c r="G1109" s="10" t="str">
        <f t="shared" si="52"/>
        <v>Wednesday</v>
      </c>
      <c r="H1109" s="9" t="str">
        <f t="shared" si="53"/>
        <v>October</v>
      </c>
      <c r="I1109" t="s">
        <v>190</v>
      </c>
      <c r="J1109" t="s">
        <v>71</v>
      </c>
      <c r="K1109">
        <v>9697</v>
      </c>
      <c r="L1109" s="5" t="str">
        <f>IF(OR(K1109&lt;Answers!$C$16,Orders!K1109&gt;Answers!$C$17),"Yes","No")</f>
        <v>No</v>
      </c>
      <c r="M1109" s="14">
        <f>VLOOKUP(B1109,Customers!$A$1:$E$2501,4,0)</f>
        <v>67</v>
      </c>
    </row>
    <row r="1110" spans="1:13" x14ac:dyDescent="0.3">
      <c r="A1110">
        <v>734449</v>
      </c>
      <c r="B1110">
        <v>1061</v>
      </c>
      <c r="C1110" s="1" t="s">
        <v>101</v>
      </c>
      <c r="D1110" s="7">
        <v>45225</v>
      </c>
      <c r="E1110" s="11">
        <v>36862</v>
      </c>
      <c r="F1110" s="15">
        <f t="shared" si="51"/>
        <v>10</v>
      </c>
      <c r="G1110" s="10" t="str">
        <f t="shared" si="52"/>
        <v>Thursday</v>
      </c>
      <c r="H1110" s="9" t="str">
        <f t="shared" si="53"/>
        <v>October</v>
      </c>
      <c r="I1110" t="s">
        <v>190</v>
      </c>
      <c r="J1110" t="s">
        <v>82</v>
      </c>
      <c r="K1110">
        <v>8005</v>
      </c>
      <c r="L1110" s="5" t="str">
        <f>IF(OR(K1110&lt;Answers!$C$16,Orders!K1110&gt;Answers!$C$17),"Yes","No")</f>
        <v>No</v>
      </c>
      <c r="M1110" s="14">
        <f>VLOOKUP(B1110,Customers!$A$1:$E$2501,4,0)</f>
        <v>61</v>
      </c>
    </row>
    <row r="1111" spans="1:13" x14ac:dyDescent="0.3">
      <c r="A1111">
        <v>734468</v>
      </c>
      <c r="B1111">
        <v>83</v>
      </c>
      <c r="C1111" s="1" t="s">
        <v>106</v>
      </c>
      <c r="D1111" s="7">
        <v>44972</v>
      </c>
      <c r="E1111" s="11">
        <v>0.53819444444444442</v>
      </c>
      <c r="F1111" s="15">
        <f t="shared" si="51"/>
        <v>2</v>
      </c>
      <c r="G1111" s="10" t="str">
        <f t="shared" si="52"/>
        <v>Wednesday</v>
      </c>
      <c r="H1111" s="9" t="str">
        <f t="shared" si="53"/>
        <v>February</v>
      </c>
      <c r="I1111" t="s">
        <v>97</v>
      </c>
      <c r="J1111" t="s">
        <v>3</v>
      </c>
      <c r="K1111">
        <v>5705</v>
      </c>
      <c r="L1111" s="5" t="str">
        <f>IF(OR(K1111&lt;Answers!$C$16,Orders!K1111&gt;Answers!$C$17),"Yes","No")</f>
        <v>No</v>
      </c>
      <c r="M1111" s="14">
        <f>VLOOKUP(B1111,Customers!$A$1:$E$2501,4,0)</f>
        <v>31</v>
      </c>
    </row>
    <row r="1112" spans="1:13" x14ac:dyDescent="0.3">
      <c r="A1112">
        <v>734939</v>
      </c>
      <c r="B1112">
        <v>1797</v>
      </c>
      <c r="C1112" s="1" t="s">
        <v>98</v>
      </c>
      <c r="D1112" s="7">
        <v>44984</v>
      </c>
      <c r="E1112" s="11">
        <v>5.7638888888888892E-2</v>
      </c>
      <c r="F1112" s="15">
        <f t="shared" si="51"/>
        <v>2</v>
      </c>
      <c r="G1112" s="10" t="str">
        <f t="shared" si="52"/>
        <v>Monday</v>
      </c>
      <c r="H1112" s="9" t="str">
        <f t="shared" si="53"/>
        <v>February</v>
      </c>
      <c r="I1112" t="s">
        <v>97</v>
      </c>
      <c r="J1112" t="s">
        <v>13</v>
      </c>
      <c r="K1112">
        <v>5602</v>
      </c>
      <c r="L1112" s="5" t="str">
        <f>IF(OR(K1112&lt;Answers!$C$16,Orders!K1112&gt;Answers!$C$17),"Yes","No")</f>
        <v>No</v>
      </c>
      <c r="M1112" s="14">
        <f>VLOOKUP(B1112,Customers!$A$1:$E$2501,4,0)</f>
        <v>45</v>
      </c>
    </row>
    <row r="1113" spans="1:13" x14ac:dyDescent="0.3">
      <c r="A1113">
        <v>735675</v>
      </c>
      <c r="B1113">
        <v>412</v>
      </c>
      <c r="C1113" s="1" t="s">
        <v>112</v>
      </c>
      <c r="D1113" s="7">
        <v>45251</v>
      </c>
      <c r="E1113" s="11">
        <v>5.2777777777777778E-2</v>
      </c>
      <c r="F1113" s="15">
        <f t="shared" si="51"/>
        <v>11</v>
      </c>
      <c r="G1113" s="10" t="str">
        <f t="shared" si="52"/>
        <v>Tuesday</v>
      </c>
      <c r="H1113" s="9" t="str">
        <f t="shared" si="53"/>
        <v>November</v>
      </c>
      <c r="I1113" t="s">
        <v>95</v>
      </c>
      <c r="J1113" t="s">
        <v>76</v>
      </c>
      <c r="K1113">
        <v>2472</v>
      </c>
      <c r="L1113" s="5" t="str">
        <f>IF(OR(K1113&lt;Answers!$C$16,Orders!K1113&gt;Answers!$C$17),"Yes","No")</f>
        <v>No</v>
      </c>
      <c r="M1113" s="14">
        <f>VLOOKUP(B1113,Customers!$A$1:$E$2501,4,0)</f>
        <v>41</v>
      </c>
    </row>
    <row r="1114" spans="1:13" x14ac:dyDescent="0.3">
      <c r="A1114">
        <v>737059</v>
      </c>
      <c r="B1114">
        <v>849</v>
      </c>
      <c r="C1114" s="1" t="s">
        <v>99</v>
      </c>
      <c r="D1114" s="7">
        <v>45207</v>
      </c>
      <c r="E1114" s="11">
        <v>0.53055555555555556</v>
      </c>
      <c r="F1114" s="15">
        <f t="shared" si="51"/>
        <v>10</v>
      </c>
      <c r="G1114" s="10" t="str">
        <f t="shared" si="52"/>
        <v>Sunday</v>
      </c>
      <c r="H1114" s="9" t="str">
        <f t="shared" si="53"/>
        <v>October</v>
      </c>
      <c r="I1114" t="s">
        <v>96</v>
      </c>
      <c r="J1114" t="s">
        <v>26</v>
      </c>
      <c r="K1114">
        <v>8652</v>
      </c>
      <c r="L1114" s="5" t="str">
        <f>IF(OR(K1114&lt;Answers!$C$16,Orders!K1114&gt;Answers!$C$17),"Yes","No")</f>
        <v>No</v>
      </c>
      <c r="M1114" s="14">
        <f>VLOOKUP(B1114,Customers!$A$1:$E$2501,4,0)</f>
        <v>19</v>
      </c>
    </row>
    <row r="1115" spans="1:13" x14ac:dyDescent="0.3">
      <c r="A1115">
        <v>737066</v>
      </c>
      <c r="B1115">
        <v>744</v>
      </c>
      <c r="C1115" s="1" t="s">
        <v>101</v>
      </c>
      <c r="D1115" s="7">
        <v>44978</v>
      </c>
      <c r="E1115" s="11">
        <v>0.51388888888888884</v>
      </c>
      <c r="F1115" s="15">
        <f t="shared" si="51"/>
        <v>2</v>
      </c>
      <c r="G1115" s="10" t="str">
        <f t="shared" si="52"/>
        <v>Tuesday</v>
      </c>
      <c r="H1115" s="9" t="str">
        <f t="shared" si="53"/>
        <v>February</v>
      </c>
      <c r="I1115" t="s">
        <v>95</v>
      </c>
      <c r="J1115" t="s">
        <v>42</v>
      </c>
      <c r="K1115">
        <v>9597</v>
      </c>
      <c r="L1115" s="5" t="str">
        <f>IF(OR(K1115&lt;Answers!$C$16,Orders!K1115&gt;Answers!$C$17),"Yes","No")</f>
        <v>No</v>
      </c>
      <c r="M1115" s="14">
        <f>VLOOKUP(B1115,Customers!$A$1:$E$2501,4,0)</f>
        <v>33</v>
      </c>
    </row>
    <row r="1116" spans="1:13" x14ac:dyDescent="0.3">
      <c r="A1116">
        <v>737790</v>
      </c>
      <c r="B1116">
        <v>1646</v>
      </c>
      <c r="C1116" s="1" t="s">
        <v>104</v>
      </c>
      <c r="D1116" s="7">
        <v>45087</v>
      </c>
      <c r="E1116" s="11">
        <v>7.013888888888889E-2</v>
      </c>
      <c r="F1116" s="15">
        <f t="shared" si="51"/>
        <v>6</v>
      </c>
      <c r="G1116" s="10" t="str">
        <f t="shared" si="52"/>
        <v>Saturday</v>
      </c>
      <c r="H1116" s="9" t="str">
        <f t="shared" si="53"/>
        <v>June</v>
      </c>
      <c r="I1116" t="s">
        <v>96</v>
      </c>
      <c r="J1116" t="s">
        <v>20</v>
      </c>
      <c r="K1116">
        <v>7589</v>
      </c>
      <c r="L1116" s="5" t="str">
        <f>IF(OR(K1116&lt;Answers!$C$16,Orders!K1116&gt;Answers!$C$17),"Yes","No")</f>
        <v>No</v>
      </c>
      <c r="M1116" s="14">
        <f>VLOOKUP(B1116,Customers!$A$1:$E$2501,4,0)</f>
        <v>51</v>
      </c>
    </row>
    <row r="1117" spans="1:13" x14ac:dyDescent="0.3">
      <c r="A1117">
        <v>739012</v>
      </c>
      <c r="B1117">
        <v>1708</v>
      </c>
      <c r="C1117" s="1" t="s">
        <v>99</v>
      </c>
      <c r="D1117" s="7">
        <v>45278</v>
      </c>
      <c r="E1117" s="11">
        <v>0.53263888888888888</v>
      </c>
      <c r="F1117" s="15">
        <f t="shared" si="51"/>
        <v>12</v>
      </c>
      <c r="G1117" s="10" t="str">
        <f t="shared" si="52"/>
        <v>Monday</v>
      </c>
      <c r="H1117" s="9" t="str">
        <f t="shared" si="53"/>
        <v>December</v>
      </c>
      <c r="I1117" t="s">
        <v>95</v>
      </c>
      <c r="J1117" t="s">
        <v>11</v>
      </c>
      <c r="K1117">
        <v>265</v>
      </c>
      <c r="L1117" s="5" t="str">
        <f>IF(OR(K1117&lt;Answers!$C$16,Orders!K1117&gt;Answers!$C$17),"Yes","No")</f>
        <v>No</v>
      </c>
      <c r="M1117" s="14">
        <f>VLOOKUP(B1117,Customers!$A$1:$E$2501,4,0)</f>
        <v>87</v>
      </c>
    </row>
    <row r="1118" spans="1:13" x14ac:dyDescent="0.3">
      <c r="A1118">
        <v>740082</v>
      </c>
      <c r="B1118">
        <v>736</v>
      </c>
      <c r="C1118" s="1" t="s">
        <v>98</v>
      </c>
      <c r="D1118" s="7">
        <v>45026</v>
      </c>
      <c r="E1118" s="11">
        <v>0.49375000000000002</v>
      </c>
      <c r="F1118" s="15">
        <f t="shared" si="51"/>
        <v>4</v>
      </c>
      <c r="G1118" s="10" t="str">
        <f t="shared" si="52"/>
        <v>Monday</v>
      </c>
      <c r="H1118" s="9" t="str">
        <f t="shared" si="53"/>
        <v>April</v>
      </c>
      <c r="I1118" t="s">
        <v>96</v>
      </c>
      <c r="J1118" t="s">
        <v>28</v>
      </c>
      <c r="K1118">
        <v>2994</v>
      </c>
      <c r="L1118" s="5" t="str">
        <f>IF(OR(K1118&lt;Answers!$C$16,Orders!K1118&gt;Answers!$C$17),"Yes","No")</f>
        <v>No</v>
      </c>
      <c r="M1118" s="14">
        <f>VLOOKUP(B1118,Customers!$A$1:$E$2501,4,0)</f>
        <v>50</v>
      </c>
    </row>
    <row r="1119" spans="1:13" x14ac:dyDescent="0.3">
      <c r="A1119">
        <v>740564</v>
      </c>
      <c r="B1119">
        <v>569</v>
      </c>
      <c r="C1119" s="1" t="s">
        <v>98</v>
      </c>
      <c r="D1119" s="7">
        <v>44970</v>
      </c>
      <c r="E1119" s="11">
        <v>0.53333333333333333</v>
      </c>
      <c r="F1119" s="15">
        <f t="shared" si="51"/>
        <v>2</v>
      </c>
      <c r="G1119" s="10" t="str">
        <f t="shared" si="52"/>
        <v>Monday</v>
      </c>
      <c r="H1119" s="9" t="str">
        <f t="shared" si="53"/>
        <v>February</v>
      </c>
      <c r="I1119" t="s">
        <v>190</v>
      </c>
      <c r="J1119" t="s">
        <v>23</v>
      </c>
      <c r="K1119">
        <v>1398</v>
      </c>
      <c r="L1119" s="5" t="str">
        <f>IF(OR(K1119&lt;Answers!$C$16,Orders!K1119&gt;Answers!$C$17),"Yes","No")</f>
        <v>No</v>
      </c>
      <c r="M1119" s="14">
        <f>VLOOKUP(B1119,Customers!$A$1:$E$2501,4,0)</f>
        <v>62</v>
      </c>
    </row>
    <row r="1120" spans="1:13" x14ac:dyDescent="0.3">
      <c r="A1120">
        <v>741193</v>
      </c>
      <c r="B1120">
        <v>879</v>
      </c>
      <c r="C1120" s="1" t="s">
        <v>98</v>
      </c>
      <c r="D1120" s="7">
        <v>45097</v>
      </c>
      <c r="E1120" s="11">
        <v>36568</v>
      </c>
      <c r="F1120" s="15">
        <f t="shared" si="51"/>
        <v>6</v>
      </c>
      <c r="G1120" s="10" t="str">
        <f t="shared" si="52"/>
        <v>Tuesday</v>
      </c>
      <c r="H1120" s="9" t="str">
        <f t="shared" si="53"/>
        <v>June</v>
      </c>
      <c r="I1120" t="s">
        <v>96</v>
      </c>
      <c r="J1120" t="s">
        <v>85</v>
      </c>
      <c r="K1120">
        <v>4307</v>
      </c>
      <c r="L1120" s="5" t="str">
        <f>IF(OR(K1120&lt;Answers!$C$16,Orders!K1120&gt;Answers!$C$17),"Yes","No")</f>
        <v>No</v>
      </c>
      <c r="M1120" s="14">
        <f>VLOOKUP(B1120,Customers!$A$1:$E$2501,4,0)</f>
        <v>70</v>
      </c>
    </row>
    <row r="1121" spans="1:13" x14ac:dyDescent="0.3">
      <c r="A1121">
        <v>742561</v>
      </c>
      <c r="B1121">
        <v>1509</v>
      </c>
      <c r="C1121" s="1" t="s">
        <v>98</v>
      </c>
      <c r="D1121" s="7">
        <v>44946</v>
      </c>
      <c r="E1121" s="11">
        <v>0.44374999999999998</v>
      </c>
      <c r="F1121" s="15">
        <f t="shared" si="51"/>
        <v>1</v>
      </c>
      <c r="G1121" s="10" t="str">
        <f t="shared" si="52"/>
        <v>Friday</v>
      </c>
      <c r="H1121" s="9" t="str">
        <f t="shared" si="53"/>
        <v>January</v>
      </c>
      <c r="I1121" t="s">
        <v>190</v>
      </c>
      <c r="J1121" t="s">
        <v>30</v>
      </c>
      <c r="K1121">
        <v>1879</v>
      </c>
      <c r="L1121" s="5" t="str">
        <f>IF(OR(K1121&lt;Answers!$C$16,Orders!K1121&gt;Answers!$C$17),"Yes","No")</f>
        <v>No</v>
      </c>
      <c r="M1121" s="14">
        <f>VLOOKUP(B1121,Customers!$A$1:$E$2501,4,0)</f>
        <v>31</v>
      </c>
    </row>
    <row r="1122" spans="1:13" x14ac:dyDescent="0.3">
      <c r="A1122">
        <v>742778</v>
      </c>
      <c r="B1122">
        <v>982</v>
      </c>
      <c r="C1122" s="1" t="s">
        <v>98</v>
      </c>
      <c r="D1122" s="7">
        <v>45121</v>
      </c>
      <c r="E1122" s="11">
        <v>0.48055555555555557</v>
      </c>
      <c r="F1122" s="15">
        <f t="shared" si="51"/>
        <v>7</v>
      </c>
      <c r="G1122" s="10" t="str">
        <f t="shared" si="52"/>
        <v>Friday</v>
      </c>
      <c r="H1122" s="9" t="str">
        <f t="shared" si="53"/>
        <v>July</v>
      </c>
      <c r="I1122" t="s">
        <v>190</v>
      </c>
      <c r="J1122" t="s">
        <v>89</v>
      </c>
      <c r="K1122">
        <v>8688</v>
      </c>
      <c r="L1122" s="5" t="str">
        <f>IF(OR(K1122&lt;Answers!$C$16,Orders!K1122&gt;Answers!$C$17),"Yes","No")</f>
        <v>No</v>
      </c>
      <c r="M1122" s="14">
        <f>VLOOKUP(B1122,Customers!$A$1:$E$2501,4,0)</f>
        <v>35</v>
      </c>
    </row>
    <row r="1123" spans="1:13" x14ac:dyDescent="0.3">
      <c r="A1123">
        <v>743589</v>
      </c>
      <c r="B1123">
        <v>1559</v>
      </c>
      <c r="C1123" s="1" t="s">
        <v>104</v>
      </c>
      <c r="D1123" s="7">
        <v>45286</v>
      </c>
      <c r="E1123" s="11">
        <v>36770</v>
      </c>
      <c r="F1123" s="15">
        <f t="shared" si="51"/>
        <v>12</v>
      </c>
      <c r="G1123" s="10" t="str">
        <f t="shared" si="52"/>
        <v>Tuesday</v>
      </c>
      <c r="H1123" s="9" t="str">
        <f t="shared" si="53"/>
        <v>December</v>
      </c>
      <c r="I1123" t="s">
        <v>190</v>
      </c>
      <c r="J1123" t="s">
        <v>42</v>
      </c>
      <c r="K1123">
        <v>2636</v>
      </c>
      <c r="L1123" s="5" t="str">
        <f>IF(OR(K1123&lt;Answers!$C$16,Orders!K1123&gt;Answers!$C$17),"Yes","No")</f>
        <v>No</v>
      </c>
      <c r="M1123" s="14">
        <f>VLOOKUP(B1123,Customers!$A$1:$E$2501,4,0)</f>
        <v>68</v>
      </c>
    </row>
    <row r="1124" spans="1:13" x14ac:dyDescent="0.3">
      <c r="A1124">
        <v>743932</v>
      </c>
      <c r="B1124">
        <v>543</v>
      </c>
      <c r="C1124" s="1" t="s">
        <v>99</v>
      </c>
      <c r="D1124" s="7">
        <v>45164</v>
      </c>
      <c r="E1124" s="11">
        <v>0.51944444444444449</v>
      </c>
      <c r="F1124" s="15">
        <f t="shared" si="51"/>
        <v>8</v>
      </c>
      <c r="G1124" s="10" t="str">
        <f t="shared" si="52"/>
        <v>Saturday</v>
      </c>
      <c r="H1124" s="9" t="str">
        <f t="shared" si="53"/>
        <v>August</v>
      </c>
      <c r="I1124" t="s">
        <v>95</v>
      </c>
      <c r="J1124" t="s">
        <v>90</v>
      </c>
      <c r="K1124">
        <v>5966</v>
      </c>
      <c r="L1124" s="5" t="str">
        <f>IF(OR(K1124&lt;Answers!$C$16,Orders!K1124&gt;Answers!$C$17),"Yes","No")</f>
        <v>No</v>
      </c>
      <c r="M1124" s="14">
        <f>VLOOKUP(B1124,Customers!$A$1:$E$2501,4,0)</f>
        <v>80</v>
      </c>
    </row>
    <row r="1125" spans="1:13" x14ac:dyDescent="0.3">
      <c r="A1125">
        <v>743961</v>
      </c>
      <c r="B1125">
        <v>98</v>
      </c>
      <c r="C1125" s="1" t="s">
        <v>107</v>
      </c>
      <c r="D1125" s="7">
        <v>45176</v>
      </c>
      <c r="E1125" s="11">
        <v>0.52708333333333335</v>
      </c>
      <c r="F1125" s="15">
        <f t="shared" si="51"/>
        <v>9</v>
      </c>
      <c r="G1125" s="10" t="str">
        <f t="shared" si="52"/>
        <v>Thursday</v>
      </c>
      <c r="H1125" s="9" t="str">
        <f t="shared" si="53"/>
        <v>September</v>
      </c>
      <c r="I1125" t="s">
        <v>95</v>
      </c>
      <c r="J1125" t="s">
        <v>34</v>
      </c>
      <c r="K1125">
        <v>2467</v>
      </c>
      <c r="L1125" s="5" t="str">
        <f>IF(OR(K1125&lt;Answers!$C$16,Orders!K1125&gt;Answers!$C$17),"Yes","No")</f>
        <v>No</v>
      </c>
      <c r="M1125" s="14">
        <f>VLOOKUP(B1125,Customers!$A$1:$E$2501,4,0)</f>
        <v>35</v>
      </c>
    </row>
    <row r="1126" spans="1:13" x14ac:dyDescent="0.3">
      <c r="A1126">
        <v>745795</v>
      </c>
      <c r="B1126">
        <v>919</v>
      </c>
      <c r="C1126" s="1" t="s">
        <v>107</v>
      </c>
      <c r="D1126" s="7">
        <v>44986</v>
      </c>
      <c r="E1126" s="11">
        <v>0.53541666666666665</v>
      </c>
      <c r="F1126" s="15">
        <f t="shared" si="51"/>
        <v>3</v>
      </c>
      <c r="G1126" s="10" t="str">
        <f t="shared" si="52"/>
        <v>Wednesday</v>
      </c>
      <c r="H1126" s="9" t="str">
        <f t="shared" si="53"/>
        <v>March</v>
      </c>
      <c r="I1126" t="s">
        <v>95</v>
      </c>
      <c r="J1126" t="s">
        <v>35</v>
      </c>
      <c r="K1126">
        <v>8983</v>
      </c>
      <c r="L1126" s="5" t="str">
        <f>IF(OR(K1126&lt;Answers!$C$16,Orders!K1126&gt;Answers!$C$17),"Yes","No")</f>
        <v>No</v>
      </c>
      <c r="M1126" s="14">
        <f>VLOOKUP(B1126,Customers!$A$1:$E$2501,4,0)</f>
        <v>27</v>
      </c>
    </row>
    <row r="1127" spans="1:13" x14ac:dyDescent="0.3">
      <c r="A1127">
        <v>746060</v>
      </c>
      <c r="B1127">
        <v>1477</v>
      </c>
      <c r="C1127" s="1" t="s">
        <v>104</v>
      </c>
      <c r="D1127" s="7">
        <v>45016</v>
      </c>
      <c r="E1127" s="11">
        <v>0.49444444444444446</v>
      </c>
      <c r="F1127" s="15">
        <f t="shared" si="51"/>
        <v>3</v>
      </c>
      <c r="G1127" s="10" t="str">
        <f t="shared" si="52"/>
        <v>Friday</v>
      </c>
      <c r="H1127" s="9" t="str">
        <f t="shared" si="53"/>
        <v>March</v>
      </c>
      <c r="I1127" t="s">
        <v>96</v>
      </c>
      <c r="J1127" t="s">
        <v>33</v>
      </c>
      <c r="K1127">
        <v>1387</v>
      </c>
      <c r="L1127" s="5" t="str">
        <f>IF(OR(K1127&lt;Answers!$C$16,Orders!K1127&gt;Answers!$C$17),"Yes","No")</f>
        <v>No</v>
      </c>
      <c r="M1127" s="14">
        <f>VLOOKUP(B1127,Customers!$A$1:$E$2501,4,0)</f>
        <v>73</v>
      </c>
    </row>
    <row r="1128" spans="1:13" x14ac:dyDescent="0.3">
      <c r="A1128">
        <v>746275</v>
      </c>
      <c r="B1128">
        <v>1020</v>
      </c>
      <c r="C1128" s="1" t="s">
        <v>100</v>
      </c>
      <c r="D1128" s="7">
        <v>45059</v>
      </c>
      <c r="E1128" s="11">
        <v>5.486111111111111E-2</v>
      </c>
      <c r="F1128" s="15">
        <f t="shared" si="51"/>
        <v>5</v>
      </c>
      <c r="G1128" s="10" t="str">
        <f t="shared" si="52"/>
        <v>Saturday</v>
      </c>
      <c r="H1128" s="9" t="str">
        <f t="shared" si="53"/>
        <v>May</v>
      </c>
      <c r="I1128" t="s">
        <v>96</v>
      </c>
      <c r="J1128" t="s">
        <v>26</v>
      </c>
      <c r="K1128">
        <v>3551</v>
      </c>
      <c r="L1128" s="5" t="str">
        <f>IF(OR(K1128&lt;Answers!$C$16,Orders!K1128&gt;Answers!$C$17),"Yes","No")</f>
        <v>No</v>
      </c>
      <c r="M1128" s="14">
        <f>VLOOKUP(B1128,Customers!$A$1:$E$2501,4,0)</f>
        <v>86</v>
      </c>
    </row>
    <row r="1129" spans="1:13" x14ac:dyDescent="0.3">
      <c r="A1129">
        <v>748106</v>
      </c>
      <c r="B1129">
        <v>1295</v>
      </c>
      <c r="C1129" s="1" t="s">
        <v>101</v>
      </c>
      <c r="D1129" s="7">
        <v>45226</v>
      </c>
      <c r="E1129" s="11">
        <v>0.49861111111111112</v>
      </c>
      <c r="F1129" s="15">
        <f t="shared" si="51"/>
        <v>10</v>
      </c>
      <c r="G1129" s="10" t="str">
        <f t="shared" si="52"/>
        <v>Friday</v>
      </c>
      <c r="H1129" s="9" t="str">
        <f t="shared" si="53"/>
        <v>October</v>
      </c>
      <c r="I1129" t="s">
        <v>97</v>
      </c>
      <c r="J1129" t="s">
        <v>64</v>
      </c>
      <c r="K1129">
        <v>5025</v>
      </c>
      <c r="L1129" s="5" t="str">
        <f>IF(OR(K1129&lt;Answers!$C$16,Orders!K1129&gt;Answers!$C$17),"Yes","No")</f>
        <v>No</v>
      </c>
      <c r="M1129" s="14">
        <f>VLOOKUP(B1129,Customers!$A$1:$E$2501,4,0)</f>
        <v>86</v>
      </c>
    </row>
    <row r="1130" spans="1:13" x14ac:dyDescent="0.3">
      <c r="A1130">
        <v>748762</v>
      </c>
      <c r="B1130">
        <v>946</v>
      </c>
      <c r="C1130" s="1" t="s">
        <v>112</v>
      </c>
      <c r="D1130" s="7">
        <v>45180</v>
      </c>
      <c r="E1130" s="11">
        <v>0.52777777777777779</v>
      </c>
      <c r="F1130" s="15">
        <f t="shared" si="51"/>
        <v>9</v>
      </c>
      <c r="G1130" s="10" t="str">
        <f t="shared" si="52"/>
        <v>Monday</v>
      </c>
      <c r="H1130" s="9" t="str">
        <f t="shared" si="53"/>
        <v>September</v>
      </c>
      <c r="I1130" t="s">
        <v>97</v>
      </c>
      <c r="J1130" t="s">
        <v>39</v>
      </c>
      <c r="K1130">
        <v>9843</v>
      </c>
      <c r="L1130" s="5" t="str">
        <f>IF(OR(K1130&lt;Answers!$C$16,Orders!K1130&gt;Answers!$C$17),"Yes","No")</f>
        <v>No</v>
      </c>
      <c r="M1130" s="14">
        <f>VLOOKUP(B1130,Customers!$A$1:$E$2501,4,0)</f>
        <v>27</v>
      </c>
    </row>
    <row r="1131" spans="1:13" x14ac:dyDescent="0.3">
      <c r="A1131">
        <v>748997</v>
      </c>
      <c r="B1131">
        <v>1277</v>
      </c>
      <c r="C1131" s="1" t="s">
        <v>109</v>
      </c>
      <c r="D1131" s="7">
        <v>45091</v>
      </c>
      <c r="E1131" s="11">
        <v>0.50902777777777775</v>
      </c>
      <c r="F1131" s="15">
        <f t="shared" si="51"/>
        <v>6</v>
      </c>
      <c r="G1131" s="10" t="str">
        <f t="shared" si="52"/>
        <v>Wednesday</v>
      </c>
      <c r="H1131" s="9" t="str">
        <f t="shared" si="53"/>
        <v>June</v>
      </c>
      <c r="I1131" t="s">
        <v>95</v>
      </c>
      <c r="J1131" t="s">
        <v>94</v>
      </c>
      <c r="K1131">
        <v>9873</v>
      </c>
      <c r="L1131" s="5" t="str">
        <f>IF(OR(K1131&lt;Answers!$C$16,Orders!K1131&gt;Answers!$C$17),"Yes","No")</f>
        <v>No</v>
      </c>
      <c r="M1131" s="14">
        <f>VLOOKUP(B1131,Customers!$A$1:$E$2501,4,0)</f>
        <v>73</v>
      </c>
    </row>
    <row r="1132" spans="1:13" x14ac:dyDescent="0.3">
      <c r="A1132">
        <v>749692</v>
      </c>
      <c r="B1132">
        <v>184</v>
      </c>
      <c r="C1132" s="1" t="s">
        <v>105</v>
      </c>
      <c r="D1132" s="7">
        <v>45012</v>
      </c>
      <c r="E1132" s="11">
        <v>36739</v>
      </c>
      <c r="F1132" s="15">
        <f t="shared" si="51"/>
        <v>3</v>
      </c>
      <c r="G1132" s="10" t="str">
        <f t="shared" si="52"/>
        <v>Monday</v>
      </c>
      <c r="H1132" s="9" t="str">
        <f t="shared" si="53"/>
        <v>March</v>
      </c>
      <c r="I1132" t="s">
        <v>97</v>
      </c>
      <c r="J1132" t="s">
        <v>41</v>
      </c>
      <c r="K1132">
        <v>6601</v>
      </c>
      <c r="L1132" s="5" t="str">
        <f>IF(OR(K1132&lt;Answers!$C$16,Orders!K1132&gt;Answers!$C$17),"Yes","No")</f>
        <v>No</v>
      </c>
      <c r="M1132" s="14">
        <f>VLOOKUP(B1132,Customers!$A$1:$E$2501,4,0)</f>
        <v>79</v>
      </c>
    </row>
    <row r="1133" spans="1:13" x14ac:dyDescent="0.3">
      <c r="A1133">
        <v>749782</v>
      </c>
      <c r="B1133">
        <v>1506</v>
      </c>
      <c r="C1133" s="1" t="s">
        <v>98</v>
      </c>
      <c r="D1133" s="7">
        <v>45095</v>
      </c>
      <c r="E1133" s="11">
        <v>9.4444444444444442E-2</v>
      </c>
      <c r="F1133" s="15">
        <f t="shared" si="51"/>
        <v>6</v>
      </c>
      <c r="G1133" s="10" t="str">
        <f t="shared" si="52"/>
        <v>Sunday</v>
      </c>
      <c r="H1133" s="9" t="str">
        <f t="shared" si="53"/>
        <v>June</v>
      </c>
      <c r="I1133" t="s">
        <v>96</v>
      </c>
      <c r="J1133" t="s">
        <v>42</v>
      </c>
      <c r="K1133">
        <v>8021</v>
      </c>
      <c r="L1133" s="5" t="str">
        <f>IF(OR(K1133&lt;Answers!$C$16,Orders!K1133&gt;Answers!$C$17),"Yes","No")</f>
        <v>No</v>
      </c>
      <c r="M1133" s="14">
        <f>VLOOKUP(B1133,Customers!$A$1:$E$2501,4,0)</f>
        <v>18</v>
      </c>
    </row>
    <row r="1134" spans="1:13" x14ac:dyDescent="0.3">
      <c r="A1134">
        <v>750732</v>
      </c>
      <c r="B1134">
        <v>194</v>
      </c>
      <c r="C1134" s="1" t="s">
        <v>112</v>
      </c>
      <c r="D1134" s="7">
        <v>45247</v>
      </c>
      <c r="E1134" s="11">
        <v>0.48194444444444445</v>
      </c>
      <c r="F1134" s="15">
        <f t="shared" si="51"/>
        <v>11</v>
      </c>
      <c r="G1134" s="10" t="str">
        <f t="shared" si="52"/>
        <v>Friday</v>
      </c>
      <c r="H1134" s="9" t="str">
        <f t="shared" si="53"/>
        <v>November</v>
      </c>
      <c r="I1134" t="s">
        <v>96</v>
      </c>
      <c r="J1134" t="s">
        <v>75</v>
      </c>
      <c r="K1134">
        <v>8355</v>
      </c>
      <c r="L1134" s="5" t="str">
        <f>IF(OR(K1134&lt;Answers!$C$16,Orders!K1134&gt;Answers!$C$17),"Yes","No")</f>
        <v>No</v>
      </c>
      <c r="M1134" s="14">
        <f>VLOOKUP(B1134,Customers!$A$1:$E$2501,4,0)</f>
        <v>64</v>
      </c>
    </row>
    <row r="1135" spans="1:13" x14ac:dyDescent="0.3">
      <c r="A1135">
        <v>750814</v>
      </c>
      <c r="B1135">
        <v>862</v>
      </c>
      <c r="C1135" s="1" t="s">
        <v>98</v>
      </c>
      <c r="D1135" s="7">
        <v>45039</v>
      </c>
      <c r="E1135" s="11">
        <v>0.4909722222222222</v>
      </c>
      <c r="F1135" s="15">
        <f t="shared" si="51"/>
        <v>4</v>
      </c>
      <c r="G1135" s="10" t="str">
        <f t="shared" si="52"/>
        <v>Sunday</v>
      </c>
      <c r="H1135" s="9" t="str">
        <f t="shared" si="53"/>
        <v>April</v>
      </c>
      <c r="I1135" t="s">
        <v>95</v>
      </c>
      <c r="J1135" t="s">
        <v>11</v>
      </c>
      <c r="K1135">
        <v>1843</v>
      </c>
      <c r="L1135" s="5" t="str">
        <f>IF(OR(K1135&lt;Answers!$C$16,Orders!K1135&gt;Answers!$C$17),"Yes","No")</f>
        <v>No</v>
      </c>
      <c r="M1135" s="14">
        <f>VLOOKUP(B1135,Customers!$A$1:$E$2501,4,0)</f>
        <v>68</v>
      </c>
    </row>
    <row r="1136" spans="1:13" x14ac:dyDescent="0.3">
      <c r="A1136">
        <v>750826</v>
      </c>
      <c r="B1136">
        <v>451</v>
      </c>
      <c r="C1136" s="1" t="s">
        <v>102</v>
      </c>
      <c r="D1136" s="7">
        <v>45029</v>
      </c>
      <c r="E1136" s="11">
        <v>0.48541666666666666</v>
      </c>
      <c r="F1136" s="15">
        <f t="shared" si="51"/>
        <v>4</v>
      </c>
      <c r="G1136" s="10" t="str">
        <f t="shared" si="52"/>
        <v>Thursday</v>
      </c>
      <c r="H1136" s="9" t="str">
        <f t="shared" si="53"/>
        <v>April</v>
      </c>
      <c r="I1136" t="s">
        <v>97</v>
      </c>
      <c r="J1136" t="s">
        <v>13</v>
      </c>
      <c r="K1136">
        <v>9467</v>
      </c>
      <c r="L1136" s="5" t="str">
        <f>IF(OR(K1136&lt;Answers!$C$16,Orders!K1136&gt;Answers!$C$17),"Yes","No")</f>
        <v>No</v>
      </c>
      <c r="M1136" s="14">
        <f>VLOOKUP(B1136,Customers!$A$1:$E$2501,4,0)</f>
        <v>74</v>
      </c>
    </row>
    <row r="1137" spans="1:13" x14ac:dyDescent="0.3">
      <c r="A1137">
        <v>751811</v>
      </c>
      <c r="B1137">
        <v>1745</v>
      </c>
      <c r="C1137" s="1" t="s">
        <v>98</v>
      </c>
      <c r="D1137" s="7">
        <v>45257</v>
      </c>
      <c r="E1137" s="11">
        <v>7.8472222222222221E-2</v>
      </c>
      <c r="F1137" s="15">
        <f t="shared" si="51"/>
        <v>11</v>
      </c>
      <c r="G1137" s="10" t="str">
        <f t="shared" si="52"/>
        <v>Monday</v>
      </c>
      <c r="H1137" s="9" t="str">
        <f t="shared" si="53"/>
        <v>November</v>
      </c>
      <c r="I1137" t="s">
        <v>190</v>
      </c>
      <c r="J1137" t="s">
        <v>42</v>
      </c>
      <c r="K1137">
        <v>2348</v>
      </c>
      <c r="L1137" s="5" t="str">
        <f>IF(OR(K1137&lt;Answers!$C$16,Orders!K1137&gt;Answers!$C$17),"Yes","No")</f>
        <v>No</v>
      </c>
      <c r="M1137" s="14">
        <f>VLOOKUP(B1137,Customers!$A$1:$E$2501,4,0)</f>
        <v>54</v>
      </c>
    </row>
    <row r="1138" spans="1:13" x14ac:dyDescent="0.3">
      <c r="A1138">
        <v>751921</v>
      </c>
      <c r="B1138">
        <v>928</v>
      </c>
      <c r="C1138" s="1" t="s">
        <v>103</v>
      </c>
      <c r="D1138" s="7">
        <v>45099</v>
      </c>
      <c r="E1138" s="11">
        <v>6.1805555555555558E-2</v>
      </c>
      <c r="F1138" s="15">
        <f t="shared" si="51"/>
        <v>6</v>
      </c>
      <c r="G1138" s="10" t="str">
        <f t="shared" si="52"/>
        <v>Thursday</v>
      </c>
      <c r="H1138" s="9" t="str">
        <f t="shared" si="53"/>
        <v>June</v>
      </c>
      <c r="I1138" t="s">
        <v>97</v>
      </c>
      <c r="J1138" t="s">
        <v>44</v>
      </c>
      <c r="K1138">
        <v>9633</v>
      </c>
      <c r="L1138" s="5" t="str">
        <f>IF(OR(K1138&lt;Answers!$C$16,Orders!K1138&gt;Answers!$C$17),"Yes","No")</f>
        <v>No</v>
      </c>
      <c r="M1138" s="14">
        <f>VLOOKUP(B1138,Customers!$A$1:$E$2501,4,0)</f>
        <v>56</v>
      </c>
    </row>
    <row r="1139" spans="1:13" x14ac:dyDescent="0.3">
      <c r="A1139">
        <v>752092</v>
      </c>
      <c r="B1139">
        <v>62</v>
      </c>
      <c r="C1139" s="1" t="s">
        <v>98</v>
      </c>
      <c r="D1139" s="7">
        <v>44949</v>
      </c>
      <c r="E1139" s="11">
        <v>36708</v>
      </c>
      <c r="F1139" s="15">
        <f t="shared" si="51"/>
        <v>1</v>
      </c>
      <c r="G1139" s="10" t="str">
        <f t="shared" si="52"/>
        <v>Monday</v>
      </c>
      <c r="H1139" s="9" t="str">
        <f t="shared" si="53"/>
        <v>January</v>
      </c>
      <c r="I1139" t="s">
        <v>96</v>
      </c>
      <c r="J1139" t="s">
        <v>42</v>
      </c>
      <c r="K1139">
        <v>9268</v>
      </c>
      <c r="L1139" s="5" t="str">
        <f>IF(OR(K1139&lt;Answers!$C$16,Orders!K1139&gt;Answers!$C$17),"Yes","No")</f>
        <v>No</v>
      </c>
      <c r="M1139" s="14">
        <f>VLOOKUP(B1139,Customers!$A$1:$E$2501,4,0)</f>
        <v>42</v>
      </c>
    </row>
    <row r="1140" spans="1:13" x14ac:dyDescent="0.3">
      <c r="A1140">
        <v>752814</v>
      </c>
      <c r="B1140">
        <v>1661</v>
      </c>
      <c r="C1140" s="1" t="s">
        <v>99</v>
      </c>
      <c r="D1140" s="7">
        <v>45253</v>
      </c>
      <c r="E1140" s="11">
        <v>0.4861111111111111</v>
      </c>
      <c r="F1140" s="15">
        <f t="shared" si="51"/>
        <v>11</v>
      </c>
      <c r="G1140" s="10" t="str">
        <f t="shared" si="52"/>
        <v>Thursday</v>
      </c>
      <c r="H1140" s="9" t="str">
        <f t="shared" si="53"/>
        <v>November</v>
      </c>
      <c r="I1140" t="s">
        <v>190</v>
      </c>
      <c r="J1140" t="s">
        <v>66</v>
      </c>
      <c r="K1140">
        <v>7540</v>
      </c>
      <c r="L1140" s="5" t="str">
        <f>IF(OR(K1140&lt;Answers!$C$16,Orders!K1140&gt;Answers!$C$17),"Yes","No")</f>
        <v>No</v>
      </c>
      <c r="M1140" s="14">
        <f>VLOOKUP(B1140,Customers!$A$1:$E$2501,4,0)</f>
        <v>33</v>
      </c>
    </row>
    <row r="1141" spans="1:13" x14ac:dyDescent="0.3">
      <c r="A1141">
        <v>754290</v>
      </c>
      <c r="B1141">
        <v>977</v>
      </c>
      <c r="C1141" s="1" t="s">
        <v>112</v>
      </c>
      <c r="D1141" s="7">
        <v>44990</v>
      </c>
      <c r="E1141" s="11">
        <v>7.7083333333333337E-2</v>
      </c>
      <c r="F1141" s="15">
        <f t="shared" si="51"/>
        <v>3</v>
      </c>
      <c r="G1141" s="10" t="str">
        <f t="shared" si="52"/>
        <v>Sunday</v>
      </c>
      <c r="H1141" s="9" t="str">
        <f t="shared" si="53"/>
        <v>March</v>
      </c>
      <c r="I1141" t="s">
        <v>96</v>
      </c>
      <c r="J1141" t="s">
        <v>59</v>
      </c>
      <c r="K1141">
        <v>7063</v>
      </c>
      <c r="L1141" s="5" t="str">
        <f>IF(OR(K1141&lt;Answers!$C$16,Orders!K1141&gt;Answers!$C$17),"Yes","No")</f>
        <v>No</v>
      </c>
      <c r="M1141" s="14">
        <f>VLOOKUP(B1141,Customers!$A$1:$E$2501,4,0)</f>
        <v>31</v>
      </c>
    </row>
    <row r="1142" spans="1:13" x14ac:dyDescent="0.3">
      <c r="A1142">
        <v>754402</v>
      </c>
      <c r="B1142">
        <v>164</v>
      </c>
      <c r="C1142" s="1" t="s">
        <v>98</v>
      </c>
      <c r="D1142" s="7">
        <v>45103</v>
      </c>
      <c r="E1142" s="11">
        <v>5.9722222222222225E-2</v>
      </c>
      <c r="F1142" s="15">
        <f t="shared" si="51"/>
        <v>6</v>
      </c>
      <c r="G1142" s="10" t="str">
        <f t="shared" si="52"/>
        <v>Monday</v>
      </c>
      <c r="H1142" s="9" t="str">
        <f t="shared" si="53"/>
        <v>June</v>
      </c>
      <c r="I1142" t="s">
        <v>190</v>
      </c>
      <c r="J1142" t="s">
        <v>69</v>
      </c>
      <c r="K1142">
        <v>136</v>
      </c>
      <c r="L1142" s="5" t="str">
        <f>IF(OR(K1142&lt;Answers!$C$16,Orders!K1142&gt;Answers!$C$17),"Yes","No")</f>
        <v>No</v>
      </c>
      <c r="M1142" s="14">
        <f>VLOOKUP(B1142,Customers!$A$1:$E$2501,4,0)</f>
        <v>36</v>
      </c>
    </row>
    <row r="1143" spans="1:13" x14ac:dyDescent="0.3">
      <c r="A1143">
        <v>754474</v>
      </c>
      <c r="B1143">
        <v>48</v>
      </c>
      <c r="C1143" s="1" t="s">
        <v>98</v>
      </c>
      <c r="D1143" s="7">
        <v>45004</v>
      </c>
      <c r="E1143" s="11">
        <v>0.45416666666666666</v>
      </c>
      <c r="F1143" s="15">
        <f t="shared" si="51"/>
        <v>3</v>
      </c>
      <c r="G1143" s="10" t="str">
        <f t="shared" si="52"/>
        <v>Sunday</v>
      </c>
      <c r="H1143" s="9" t="str">
        <f t="shared" si="53"/>
        <v>March</v>
      </c>
      <c r="I1143" t="s">
        <v>190</v>
      </c>
      <c r="J1143" t="s">
        <v>70</v>
      </c>
      <c r="K1143">
        <v>5288</v>
      </c>
      <c r="L1143" s="5" t="str">
        <f>IF(OR(K1143&lt;Answers!$C$16,Orders!K1143&gt;Answers!$C$17),"Yes","No")</f>
        <v>No</v>
      </c>
      <c r="M1143" s="14">
        <f>VLOOKUP(B1143,Customers!$A$1:$E$2501,4,0)</f>
        <v>66</v>
      </c>
    </row>
    <row r="1144" spans="1:13" x14ac:dyDescent="0.3">
      <c r="A1144">
        <v>756887</v>
      </c>
      <c r="B1144">
        <v>1676</v>
      </c>
      <c r="C1144" s="1" t="s">
        <v>103</v>
      </c>
      <c r="D1144" s="7">
        <v>45036</v>
      </c>
      <c r="E1144" s="11">
        <v>0.53402777777777777</v>
      </c>
      <c r="F1144" s="15">
        <f t="shared" si="51"/>
        <v>4</v>
      </c>
      <c r="G1144" s="10" t="str">
        <f t="shared" si="52"/>
        <v>Thursday</v>
      </c>
      <c r="H1144" s="9" t="str">
        <f t="shared" si="53"/>
        <v>April</v>
      </c>
      <c r="I1144" t="s">
        <v>190</v>
      </c>
      <c r="J1144" t="s">
        <v>42</v>
      </c>
      <c r="K1144">
        <v>5656</v>
      </c>
      <c r="L1144" s="5" t="str">
        <f>IF(OR(K1144&lt;Answers!$C$16,Orders!K1144&gt;Answers!$C$17),"Yes","No")</f>
        <v>No</v>
      </c>
      <c r="M1144" s="14">
        <f>VLOOKUP(B1144,Customers!$A$1:$E$2501,4,0)</f>
        <v>25</v>
      </c>
    </row>
    <row r="1145" spans="1:13" x14ac:dyDescent="0.3">
      <c r="A1145">
        <v>757855</v>
      </c>
      <c r="B1145">
        <v>1479</v>
      </c>
      <c r="C1145" s="1" t="s">
        <v>98</v>
      </c>
      <c r="D1145" s="7">
        <v>45242</v>
      </c>
      <c r="E1145" s="11">
        <v>0.44166666666666665</v>
      </c>
      <c r="F1145" s="15">
        <f t="shared" si="51"/>
        <v>11</v>
      </c>
      <c r="G1145" s="10" t="str">
        <f t="shared" si="52"/>
        <v>Sunday</v>
      </c>
      <c r="H1145" s="9" t="str">
        <f t="shared" si="53"/>
        <v>November</v>
      </c>
      <c r="I1145" t="s">
        <v>95</v>
      </c>
      <c r="J1145" t="s">
        <v>44</v>
      </c>
      <c r="K1145">
        <v>5528</v>
      </c>
      <c r="L1145" s="5" t="str">
        <f>IF(OR(K1145&lt;Answers!$C$16,Orders!K1145&gt;Answers!$C$17),"Yes","No")</f>
        <v>No</v>
      </c>
      <c r="M1145" s="14">
        <f>VLOOKUP(B1145,Customers!$A$1:$E$2501,4,0)</f>
        <v>87</v>
      </c>
    </row>
    <row r="1146" spans="1:13" x14ac:dyDescent="0.3">
      <c r="A1146">
        <v>758496</v>
      </c>
      <c r="B1146">
        <v>1974</v>
      </c>
      <c r="C1146" s="1" t="s">
        <v>98</v>
      </c>
      <c r="D1146" s="7">
        <v>45208</v>
      </c>
      <c r="E1146" s="11">
        <v>0.52777777777777779</v>
      </c>
      <c r="F1146" s="15">
        <f t="shared" si="51"/>
        <v>10</v>
      </c>
      <c r="G1146" s="10" t="str">
        <f t="shared" si="52"/>
        <v>Monday</v>
      </c>
      <c r="H1146" s="9" t="str">
        <f t="shared" si="53"/>
        <v>October</v>
      </c>
      <c r="I1146" t="s">
        <v>97</v>
      </c>
      <c r="J1146" t="s">
        <v>7</v>
      </c>
      <c r="K1146">
        <v>2202</v>
      </c>
      <c r="L1146" s="5" t="str">
        <f>IF(OR(K1146&lt;Answers!$C$16,Orders!K1146&gt;Answers!$C$17),"Yes","No")</f>
        <v>No</v>
      </c>
      <c r="M1146" s="14">
        <f>VLOOKUP(B1146,Customers!$A$1:$E$2501,4,0)</f>
        <v>74</v>
      </c>
    </row>
    <row r="1147" spans="1:13" x14ac:dyDescent="0.3">
      <c r="A1147">
        <v>758962</v>
      </c>
      <c r="B1147">
        <v>1988</v>
      </c>
      <c r="C1147" s="1" t="s">
        <v>98</v>
      </c>
      <c r="D1147" s="7">
        <v>45058</v>
      </c>
      <c r="E1147" s="11">
        <v>0.53541666666666665</v>
      </c>
      <c r="F1147" s="15">
        <f t="shared" si="51"/>
        <v>5</v>
      </c>
      <c r="G1147" s="10" t="str">
        <f t="shared" si="52"/>
        <v>Friday</v>
      </c>
      <c r="H1147" s="9" t="str">
        <f t="shared" si="53"/>
        <v>May</v>
      </c>
      <c r="I1147" t="s">
        <v>97</v>
      </c>
      <c r="J1147" t="s">
        <v>45</v>
      </c>
      <c r="K1147">
        <v>6385</v>
      </c>
      <c r="L1147" s="5" t="str">
        <f>IF(OR(K1147&lt;Answers!$C$16,Orders!K1147&gt;Answers!$C$17),"Yes","No")</f>
        <v>No</v>
      </c>
      <c r="M1147" s="14">
        <f>VLOOKUP(B1147,Customers!$A$1:$E$2501,4,0)</f>
        <v>66</v>
      </c>
    </row>
    <row r="1148" spans="1:13" x14ac:dyDescent="0.3">
      <c r="A1148">
        <v>759664</v>
      </c>
      <c r="B1148">
        <v>494</v>
      </c>
      <c r="C1148" s="1" t="s">
        <v>99</v>
      </c>
      <c r="D1148" s="7">
        <v>45125</v>
      </c>
      <c r="E1148" s="11">
        <v>0.4861111111111111</v>
      </c>
      <c r="F1148" s="15">
        <f t="shared" si="51"/>
        <v>7</v>
      </c>
      <c r="G1148" s="10" t="str">
        <f t="shared" si="52"/>
        <v>Tuesday</v>
      </c>
      <c r="H1148" s="9" t="str">
        <f t="shared" si="53"/>
        <v>July</v>
      </c>
      <c r="I1148" t="s">
        <v>190</v>
      </c>
      <c r="J1148" t="s">
        <v>10</v>
      </c>
      <c r="K1148">
        <v>8605</v>
      </c>
      <c r="L1148" s="5" t="str">
        <f>IF(OR(K1148&lt;Answers!$C$16,Orders!K1148&gt;Answers!$C$17),"Yes","No")</f>
        <v>No</v>
      </c>
      <c r="M1148" s="14">
        <f>VLOOKUP(B1148,Customers!$A$1:$E$2501,4,0)</f>
        <v>19</v>
      </c>
    </row>
    <row r="1149" spans="1:13" x14ac:dyDescent="0.3">
      <c r="A1149">
        <v>759796</v>
      </c>
      <c r="B1149">
        <v>92</v>
      </c>
      <c r="C1149" s="1" t="s">
        <v>107</v>
      </c>
      <c r="D1149" s="7">
        <v>45227</v>
      </c>
      <c r="E1149" s="11">
        <v>36811</v>
      </c>
      <c r="F1149" s="15">
        <f t="shared" si="51"/>
        <v>10</v>
      </c>
      <c r="G1149" s="10" t="str">
        <f t="shared" si="52"/>
        <v>Saturday</v>
      </c>
      <c r="H1149" s="9" t="str">
        <f t="shared" si="53"/>
        <v>October</v>
      </c>
      <c r="I1149" t="s">
        <v>95</v>
      </c>
      <c r="J1149" t="s">
        <v>71</v>
      </c>
      <c r="K1149">
        <v>545</v>
      </c>
      <c r="L1149" s="5" t="str">
        <f>IF(OR(K1149&lt;Answers!$C$16,Orders!K1149&gt;Answers!$C$17),"Yes","No")</f>
        <v>No</v>
      </c>
      <c r="M1149" s="14">
        <f>VLOOKUP(B1149,Customers!$A$1:$E$2501,4,0)</f>
        <v>75</v>
      </c>
    </row>
    <row r="1150" spans="1:13" x14ac:dyDescent="0.3">
      <c r="A1150">
        <v>760774</v>
      </c>
      <c r="B1150">
        <v>63</v>
      </c>
      <c r="C1150" s="1" t="s">
        <v>102</v>
      </c>
      <c r="D1150" s="7">
        <v>45019</v>
      </c>
      <c r="E1150" s="11">
        <v>36811</v>
      </c>
      <c r="F1150" s="15">
        <f t="shared" si="51"/>
        <v>4</v>
      </c>
      <c r="G1150" s="10" t="str">
        <f t="shared" si="52"/>
        <v>Monday</v>
      </c>
      <c r="H1150" s="9" t="str">
        <f t="shared" si="53"/>
        <v>April</v>
      </c>
      <c r="I1150" t="s">
        <v>97</v>
      </c>
      <c r="J1150" t="s">
        <v>26</v>
      </c>
      <c r="K1150">
        <v>2846</v>
      </c>
      <c r="L1150" s="5" t="str">
        <f>IF(OR(K1150&lt;Answers!$C$16,Orders!K1150&gt;Answers!$C$17),"Yes","No")</f>
        <v>No</v>
      </c>
      <c r="M1150" s="14">
        <f>VLOOKUP(B1150,Customers!$A$1:$E$2501,4,0)</f>
        <v>23</v>
      </c>
    </row>
    <row r="1151" spans="1:13" x14ac:dyDescent="0.3">
      <c r="A1151">
        <v>761079</v>
      </c>
      <c r="B1151">
        <v>1813</v>
      </c>
      <c r="C1151" s="1" t="s">
        <v>98</v>
      </c>
      <c r="D1151" s="7">
        <v>45149</v>
      </c>
      <c r="E1151" s="11">
        <v>0.50902777777777775</v>
      </c>
      <c r="F1151" s="15">
        <f t="shared" si="51"/>
        <v>8</v>
      </c>
      <c r="G1151" s="10" t="str">
        <f t="shared" si="52"/>
        <v>Friday</v>
      </c>
      <c r="H1151" s="9" t="str">
        <f t="shared" si="53"/>
        <v>August</v>
      </c>
      <c r="I1151" t="s">
        <v>97</v>
      </c>
      <c r="J1151" t="s">
        <v>12</v>
      </c>
      <c r="K1151">
        <v>8446</v>
      </c>
      <c r="L1151" s="5" t="str">
        <f>IF(OR(K1151&lt;Answers!$C$16,Orders!K1151&gt;Answers!$C$17),"Yes","No")</f>
        <v>No</v>
      </c>
      <c r="M1151" s="14">
        <f>VLOOKUP(B1151,Customers!$A$1:$E$2501,4,0)</f>
        <v>21</v>
      </c>
    </row>
    <row r="1152" spans="1:13" x14ac:dyDescent="0.3">
      <c r="A1152">
        <v>761261</v>
      </c>
      <c r="B1152">
        <v>930</v>
      </c>
      <c r="C1152" s="1" t="s">
        <v>100</v>
      </c>
      <c r="D1152" s="7">
        <v>45095</v>
      </c>
      <c r="E1152" s="11">
        <v>0.47986111111111113</v>
      </c>
      <c r="F1152" s="15">
        <f t="shared" si="51"/>
        <v>6</v>
      </c>
      <c r="G1152" s="10" t="str">
        <f t="shared" si="52"/>
        <v>Sunday</v>
      </c>
      <c r="H1152" s="9" t="str">
        <f t="shared" si="53"/>
        <v>June</v>
      </c>
      <c r="I1152" t="s">
        <v>95</v>
      </c>
      <c r="J1152" t="s">
        <v>72</v>
      </c>
      <c r="K1152">
        <v>2321</v>
      </c>
      <c r="L1152" s="5" t="str">
        <f>IF(OR(K1152&lt;Answers!$C$16,Orders!K1152&gt;Answers!$C$17),"Yes","No")</f>
        <v>No</v>
      </c>
      <c r="M1152" s="14">
        <f>VLOOKUP(B1152,Customers!$A$1:$E$2501,4,0)</f>
        <v>21</v>
      </c>
    </row>
    <row r="1153" spans="1:13" x14ac:dyDescent="0.3">
      <c r="A1153">
        <v>762584</v>
      </c>
      <c r="B1153">
        <v>226</v>
      </c>
      <c r="C1153" s="1" t="s">
        <v>98</v>
      </c>
      <c r="D1153" s="7">
        <v>45018</v>
      </c>
      <c r="E1153" s="11">
        <v>36861</v>
      </c>
      <c r="F1153" s="15">
        <f t="shared" si="51"/>
        <v>4</v>
      </c>
      <c r="G1153" s="10" t="str">
        <f t="shared" si="52"/>
        <v>Sunday</v>
      </c>
      <c r="H1153" s="9" t="str">
        <f t="shared" si="53"/>
        <v>April</v>
      </c>
      <c r="I1153" t="s">
        <v>190</v>
      </c>
      <c r="J1153" t="s">
        <v>51</v>
      </c>
      <c r="K1153">
        <v>6342</v>
      </c>
      <c r="L1153" s="5" t="str">
        <f>IF(OR(K1153&lt;Answers!$C$16,Orders!K1153&gt;Answers!$C$17),"Yes","No")</f>
        <v>No</v>
      </c>
      <c r="M1153" s="14">
        <f>VLOOKUP(B1153,Customers!$A$1:$E$2501,4,0)</f>
        <v>31</v>
      </c>
    </row>
    <row r="1154" spans="1:13" x14ac:dyDescent="0.3">
      <c r="A1154">
        <v>763962</v>
      </c>
      <c r="B1154">
        <v>1590</v>
      </c>
      <c r="C1154" s="1" t="s">
        <v>105</v>
      </c>
      <c r="D1154" s="7">
        <v>44942</v>
      </c>
      <c r="E1154" s="11">
        <v>0.51875000000000004</v>
      </c>
      <c r="F1154" s="15">
        <f t="shared" si="51"/>
        <v>1</v>
      </c>
      <c r="G1154" s="10" t="str">
        <f t="shared" si="52"/>
        <v>Monday</v>
      </c>
      <c r="H1154" s="9" t="str">
        <f t="shared" si="53"/>
        <v>January</v>
      </c>
      <c r="I1154" t="s">
        <v>97</v>
      </c>
      <c r="J1154" t="s">
        <v>12</v>
      </c>
      <c r="K1154">
        <v>4623</v>
      </c>
      <c r="L1154" s="5" t="str">
        <f>IF(OR(K1154&lt;Answers!$C$16,Orders!K1154&gt;Answers!$C$17),"Yes","No")</f>
        <v>No</v>
      </c>
      <c r="M1154" s="14">
        <f>VLOOKUP(B1154,Customers!$A$1:$E$2501,4,0)</f>
        <v>69</v>
      </c>
    </row>
    <row r="1155" spans="1:13" x14ac:dyDescent="0.3">
      <c r="A1155">
        <v>764467</v>
      </c>
      <c r="B1155">
        <v>1998</v>
      </c>
      <c r="C1155" s="1" t="s">
        <v>100</v>
      </c>
      <c r="D1155" s="7">
        <v>45001</v>
      </c>
      <c r="E1155" s="11">
        <v>6.7361111111111108E-2</v>
      </c>
      <c r="F1155" s="15">
        <f t="shared" ref="F1155:F1218" si="54">MONTH(D1155)</f>
        <v>3</v>
      </c>
      <c r="G1155" s="10" t="str">
        <f t="shared" ref="G1155:G1218" si="55">TEXT(D1155,"dddd")</f>
        <v>Thursday</v>
      </c>
      <c r="H1155" s="9" t="str">
        <f t="shared" ref="H1155:H1218" si="56">TEXT(D1155,"mmmm")</f>
        <v>March</v>
      </c>
      <c r="I1155" t="s">
        <v>190</v>
      </c>
      <c r="J1155" t="s">
        <v>90</v>
      </c>
      <c r="K1155">
        <v>7362</v>
      </c>
      <c r="L1155" s="5" t="str">
        <f>IF(OR(K1155&lt;Answers!$C$16,Orders!K1155&gt;Answers!$C$17),"Yes","No")</f>
        <v>No</v>
      </c>
      <c r="M1155" s="14">
        <f>VLOOKUP(B1155,Customers!$A$1:$E$2501,4,0)</f>
        <v>82</v>
      </c>
    </row>
    <row r="1156" spans="1:13" x14ac:dyDescent="0.3">
      <c r="A1156">
        <v>765043</v>
      </c>
      <c r="B1156">
        <v>273</v>
      </c>
      <c r="C1156" s="1" t="s">
        <v>98</v>
      </c>
      <c r="D1156" s="7">
        <v>45222</v>
      </c>
      <c r="E1156" s="11">
        <v>0.47152777777777777</v>
      </c>
      <c r="F1156" s="15">
        <f t="shared" si="54"/>
        <v>10</v>
      </c>
      <c r="G1156" s="10" t="str">
        <f t="shared" si="55"/>
        <v>Monday</v>
      </c>
      <c r="H1156" s="9" t="str">
        <f t="shared" si="56"/>
        <v>October</v>
      </c>
      <c r="I1156" t="s">
        <v>190</v>
      </c>
      <c r="J1156" t="s">
        <v>74</v>
      </c>
      <c r="K1156">
        <v>7579</v>
      </c>
      <c r="L1156" s="5" t="str">
        <f>IF(OR(K1156&lt;Answers!$C$16,Orders!K1156&gt;Answers!$C$17),"Yes","No")</f>
        <v>No</v>
      </c>
      <c r="M1156" s="14">
        <f>VLOOKUP(B1156,Customers!$A$1:$E$2501,4,0)</f>
        <v>34</v>
      </c>
    </row>
    <row r="1157" spans="1:13" x14ac:dyDescent="0.3">
      <c r="A1157">
        <v>765994</v>
      </c>
      <c r="B1157">
        <v>220</v>
      </c>
      <c r="C1157" s="1" t="s">
        <v>100</v>
      </c>
      <c r="D1157" s="7">
        <v>45056</v>
      </c>
      <c r="E1157" s="11">
        <v>0.51597222222222228</v>
      </c>
      <c r="F1157" s="15">
        <f t="shared" si="54"/>
        <v>5</v>
      </c>
      <c r="G1157" s="10" t="str">
        <f t="shared" si="55"/>
        <v>Wednesday</v>
      </c>
      <c r="H1157" s="9" t="str">
        <f t="shared" si="56"/>
        <v>May</v>
      </c>
      <c r="I1157" t="s">
        <v>97</v>
      </c>
      <c r="J1157" t="s">
        <v>72</v>
      </c>
      <c r="K1157">
        <v>5250</v>
      </c>
      <c r="L1157" s="5" t="str">
        <f>IF(OR(K1157&lt;Answers!$C$16,Orders!K1157&gt;Answers!$C$17),"Yes","No")</f>
        <v>No</v>
      </c>
      <c r="M1157" s="14">
        <f>VLOOKUP(B1157,Customers!$A$1:$E$2501,4,0)</f>
        <v>71</v>
      </c>
    </row>
    <row r="1158" spans="1:13" x14ac:dyDescent="0.3">
      <c r="A1158">
        <v>767130</v>
      </c>
      <c r="B1158">
        <v>1627</v>
      </c>
      <c r="C1158" s="1" t="s">
        <v>100</v>
      </c>
      <c r="D1158" s="7">
        <v>45096</v>
      </c>
      <c r="E1158" s="11">
        <v>0.45624999999999999</v>
      </c>
      <c r="F1158" s="15">
        <f t="shared" si="54"/>
        <v>6</v>
      </c>
      <c r="G1158" s="10" t="str">
        <f t="shared" si="55"/>
        <v>Monday</v>
      </c>
      <c r="H1158" s="9" t="str">
        <f t="shared" si="56"/>
        <v>June</v>
      </c>
      <c r="I1158" t="s">
        <v>190</v>
      </c>
      <c r="J1158" t="s">
        <v>75</v>
      </c>
      <c r="K1158">
        <v>4936</v>
      </c>
      <c r="L1158" s="5" t="str">
        <f>IF(OR(K1158&lt;Answers!$C$16,Orders!K1158&gt;Answers!$C$17),"Yes","No")</f>
        <v>No</v>
      </c>
      <c r="M1158" s="14">
        <f>VLOOKUP(B1158,Customers!$A$1:$E$2501,4,0)</f>
        <v>61</v>
      </c>
    </row>
    <row r="1159" spans="1:13" x14ac:dyDescent="0.3">
      <c r="A1159">
        <v>767512</v>
      </c>
      <c r="B1159">
        <v>1219</v>
      </c>
      <c r="C1159" s="1" t="s">
        <v>98</v>
      </c>
      <c r="D1159" s="7">
        <v>45290</v>
      </c>
      <c r="E1159" s="11">
        <v>0.52430555555555558</v>
      </c>
      <c r="F1159" s="15">
        <f t="shared" si="54"/>
        <v>12</v>
      </c>
      <c r="G1159" s="10" t="str">
        <f t="shared" si="55"/>
        <v>Saturday</v>
      </c>
      <c r="H1159" s="9" t="str">
        <f t="shared" si="56"/>
        <v>December</v>
      </c>
      <c r="I1159" t="s">
        <v>96</v>
      </c>
      <c r="J1159" t="s">
        <v>71</v>
      </c>
      <c r="K1159">
        <v>4002</v>
      </c>
      <c r="L1159" s="5" t="str">
        <f>IF(OR(K1159&lt;Answers!$C$16,Orders!K1159&gt;Answers!$C$17),"Yes","No")</f>
        <v>No</v>
      </c>
      <c r="M1159" s="14">
        <f>VLOOKUP(B1159,Customers!$A$1:$E$2501,4,0)</f>
        <v>19</v>
      </c>
    </row>
    <row r="1160" spans="1:13" x14ac:dyDescent="0.3">
      <c r="A1160">
        <v>767976</v>
      </c>
      <c r="B1160">
        <v>1079</v>
      </c>
      <c r="C1160" s="1" t="s">
        <v>112</v>
      </c>
      <c r="D1160" s="7">
        <v>45213</v>
      </c>
      <c r="E1160" s="11">
        <v>0.53125</v>
      </c>
      <c r="F1160" s="15">
        <f t="shared" si="54"/>
        <v>10</v>
      </c>
      <c r="G1160" s="10" t="str">
        <f t="shared" si="55"/>
        <v>Saturday</v>
      </c>
      <c r="H1160" s="9" t="str">
        <f t="shared" si="56"/>
        <v>October</v>
      </c>
      <c r="I1160" t="s">
        <v>96</v>
      </c>
      <c r="J1160" t="s">
        <v>27</v>
      </c>
      <c r="K1160">
        <v>4080</v>
      </c>
      <c r="L1160" s="5" t="str">
        <f>IF(OR(K1160&lt;Answers!$C$16,Orders!K1160&gt;Answers!$C$17),"Yes","No")</f>
        <v>No</v>
      </c>
      <c r="M1160" s="14">
        <f>VLOOKUP(B1160,Customers!$A$1:$E$2501,4,0)</f>
        <v>29</v>
      </c>
    </row>
    <row r="1161" spans="1:13" x14ac:dyDescent="0.3">
      <c r="A1161">
        <v>768093</v>
      </c>
      <c r="B1161">
        <v>680</v>
      </c>
      <c r="C1161" s="1" t="s">
        <v>98</v>
      </c>
      <c r="D1161" s="7">
        <v>44986</v>
      </c>
      <c r="E1161" s="11">
        <v>0.52083333333333337</v>
      </c>
      <c r="F1161" s="15">
        <f t="shared" si="54"/>
        <v>3</v>
      </c>
      <c r="G1161" s="10" t="str">
        <f t="shared" si="55"/>
        <v>Wednesday</v>
      </c>
      <c r="H1161" s="9" t="str">
        <f t="shared" si="56"/>
        <v>March</v>
      </c>
      <c r="I1161" t="s">
        <v>95</v>
      </c>
      <c r="J1161" t="s">
        <v>69</v>
      </c>
      <c r="K1161">
        <v>8126</v>
      </c>
      <c r="L1161" s="5" t="str">
        <f>IF(OR(K1161&lt;Answers!$C$16,Orders!K1161&gt;Answers!$C$17),"Yes","No")</f>
        <v>No</v>
      </c>
      <c r="M1161" s="14">
        <f>VLOOKUP(B1161,Customers!$A$1:$E$2501,4,0)</f>
        <v>81</v>
      </c>
    </row>
    <row r="1162" spans="1:13" x14ac:dyDescent="0.3">
      <c r="A1162">
        <v>768435</v>
      </c>
      <c r="B1162">
        <v>1878</v>
      </c>
      <c r="C1162" s="1" t="s">
        <v>104</v>
      </c>
      <c r="D1162" s="7">
        <v>45092</v>
      </c>
      <c r="E1162" s="11">
        <v>0.52986111111111112</v>
      </c>
      <c r="F1162" s="15">
        <f t="shared" si="54"/>
        <v>6</v>
      </c>
      <c r="G1162" s="10" t="str">
        <f t="shared" si="55"/>
        <v>Thursday</v>
      </c>
      <c r="H1162" s="9" t="str">
        <f t="shared" si="56"/>
        <v>June</v>
      </c>
      <c r="I1162" t="s">
        <v>97</v>
      </c>
      <c r="J1162" t="s">
        <v>13</v>
      </c>
      <c r="K1162">
        <v>1281</v>
      </c>
      <c r="L1162" s="5" t="str">
        <f>IF(OR(K1162&lt;Answers!$C$16,Orders!K1162&gt;Answers!$C$17),"Yes","No")</f>
        <v>No</v>
      </c>
      <c r="M1162" s="14">
        <f>VLOOKUP(B1162,Customers!$A$1:$E$2501,4,0)</f>
        <v>24</v>
      </c>
    </row>
    <row r="1163" spans="1:13" x14ac:dyDescent="0.3">
      <c r="A1163">
        <v>769005</v>
      </c>
      <c r="B1163">
        <v>1308</v>
      </c>
      <c r="C1163" s="1" t="s">
        <v>104</v>
      </c>
      <c r="D1163" s="7">
        <v>45291</v>
      </c>
      <c r="E1163" s="11">
        <v>7.7083333333333337E-2</v>
      </c>
      <c r="F1163" s="15">
        <f t="shared" si="54"/>
        <v>12</v>
      </c>
      <c r="G1163" s="10" t="str">
        <f t="shared" si="55"/>
        <v>Sunday</v>
      </c>
      <c r="H1163" s="9" t="str">
        <f t="shared" si="56"/>
        <v>December</v>
      </c>
      <c r="I1163" t="s">
        <v>95</v>
      </c>
      <c r="J1163" t="s">
        <v>26</v>
      </c>
      <c r="K1163">
        <v>6183</v>
      </c>
      <c r="L1163" s="5" t="str">
        <f>IF(OR(K1163&lt;Answers!$C$16,Orders!K1163&gt;Answers!$C$17),"Yes","No")</f>
        <v>No</v>
      </c>
      <c r="M1163" s="14">
        <f>VLOOKUP(B1163,Customers!$A$1:$E$2501,4,0)</f>
        <v>56</v>
      </c>
    </row>
    <row r="1164" spans="1:13" x14ac:dyDescent="0.3">
      <c r="A1164">
        <v>769009</v>
      </c>
      <c r="B1164">
        <v>541</v>
      </c>
      <c r="C1164" s="1" t="s">
        <v>98</v>
      </c>
      <c r="D1164" s="7">
        <v>45206</v>
      </c>
      <c r="E1164" s="11">
        <v>0.45763888888888887</v>
      </c>
      <c r="F1164" s="15">
        <f t="shared" si="54"/>
        <v>10</v>
      </c>
      <c r="G1164" s="10" t="str">
        <f t="shared" si="55"/>
        <v>Saturday</v>
      </c>
      <c r="H1164" s="9" t="str">
        <f t="shared" si="56"/>
        <v>October</v>
      </c>
      <c r="I1164" t="s">
        <v>190</v>
      </c>
      <c r="J1164" t="s">
        <v>76</v>
      </c>
      <c r="K1164">
        <v>2143</v>
      </c>
      <c r="L1164" s="5" t="str">
        <f>IF(OR(K1164&lt;Answers!$C$16,Orders!K1164&gt;Answers!$C$17),"Yes","No")</f>
        <v>No</v>
      </c>
      <c r="M1164" s="14">
        <f>VLOOKUP(B1164,Customers!$A$1:$E$2501,4,0)</f>
        <v>85</v>
      </c>
    </row>
    <row r="1165" spans="1:13" x14ac:dyDescent="0.3">
      <c r="A1165">
        <v>769050</v>
      </c>
      <c r="B1165">
        <v>1934</v>
      </c>
      <c r="C1165" s="1" t="s">
        <v>104</v>
      </c>
      <c r="D1165" s="7">
        <v>45010</v>
      </c>
      <c r="E1165" s="11">
        <v>36537</v>
      </c>
      <c r="F1165" s="15">
        <f t="shared" si="54"/>
        <v>3</v>
      </c>
      <c r="G1165" s="10" t="str">
        <f t="shared" si="55"/>
        <v>Saturday</v>
      </c>
      <c r="H1165" s="9" t="str">
        <f t="shared" si="56"/>
        <v>March</v>
      </c>
      <c r="I1165" t="s">
        <v>96</v>
      </c>
      <c r="J1165" t="s">
        <v>26</v>
      </c>
      <c r="K1165">
        <v>1290</v>
      </c>
      <c r="L1165" s="5" t="str">
        <f>IF(OR(K1165&lt;Answers!$C$16,Orders!K1165&gt;Answers!$C$17),"Yes","No")</f>
        <v>No</v>
      </c>
      <c r="M1165" s="14">
        <f>VLOOKUP(B1165,Customers!$A$1:$E$2501,4,0)</f>
        <v>25</v>
      </c>
    </row>
    <row r="1166" spans="1:13" x14ac:dyDescent="0.3">
      <c r="A1166">
        <v>770892</v>
      </c>
      <c r="B1166">
        <v>824</v>
      </c>
      <c r="C1166" s="1" t="s">
        <v>98</v>
      </c>
      <c r="D1166" s="7">
        <v>45140</v>
      </c>
      <c r="E1166" s="11">
        <v>0.10138888888888889</v>
      </c>
      <c r="F1166" s="15">
        <f t="shared" si="54"/>
        <v>8</v>
      </c>
      <c r="G1166" s="10" t="str">
        <f t="shared" si="55"/>
        <v>Wednesday</v>
      </c>
      <c r="H1166" s="9" t="str">
        <f t="shared" si="56"/>
        <v>August</v>
      </c>
      <c r="I1166" t="s">
        <v>97</v>
      </c>
      <c r="J1166" t="s">
        <v>42</v>
      </c>
      <c r="K1166">
        <v>8032</v>
      </c>
      <c r="L1166" s="5" t="str">
        <f>IF(OR(K1166&lt;Answers!$C$16,Orders!K1166&gt;Answers!$C$17),"Yes","No")</f>
        <v>No</v>
      </c>
      <c r="M1166" s="14">
        <f>VLOOKUP(B1166,Customers!$A$1:$E$2501,4,0)</f>
        <v>35</v>
      </c>
    </row>
    <row r="1167" spans="1:13" x14ac:dyDescent="0.3">
      <c r="A1167">
        <v>772693</v>
      </c>
      <c r="B1167">
        <v>1191</v>
      </c>
      <c r="C1167" s="1" t="s">
        <v>100</v>
      </c>
      <c r="D1167" s="7">
        <v>45047</v>
      </c>
      <c r="E1167" s="11">
        <v>0.47847222222222224</v>
      </c>
      <c r="F1167" s="15">
        <f t="shared" si="54"/>
        <v>5</v>
      </c>
      <c r="G1167" s="10" t="str">
        <f t="shared" si="55"/>
        <v>Monday</v>
      </c>
      <c r="H1167" s="9" t="str">
        <f t="shared" si="56"/>
        <v>May</v>
      </c>
      <c r="I1167" t="s">
        <v>96</v>
      </c>
      <c r="J1167" t="s">
        <v>48</v>
      </c>
      <c r="K1167">
        <v>8999</v>
      </c>
      <c r="L1167" s="5" t="str">
        <f>IF(OR(K1167&lt;Answers!$C$16,Orders!K1167&gt;Answers!$C$17),"Yes","No")</f>
        <v>No</v>
      </c>
      <c r="M1167" s="14">
        <f>VLOOKUP(B1167,Customers!$A$1:$E$2501,4,0)</f>
        <v>48</v>
      </c>
    </row>
    <row r="1168" spans="1:13" x14ac:dyDescent="0.3">
      <c r="A1168">
        <v>772763</v>
      </c>
      <c r="B1168">
        <v>452</v>
      </c>
      <c r="C1168" s="1" t="s">
        <v>104</v>
      </c>
      <c r="D1168" s="7">
        <v>45007</v>
      </c>
      <c r="E1168" s="11">
        <v>36811</v>
      </c>
      <c r="F1168" s="15">
        <f t="shared" si="54"/>
        <v>3</v>
      </c>
      <c r="G1168" s="10" t="str">
        <f t="shared" si="55"/>
        <v>Wednesday</v>
      </c>
      <c r="H1168" s="9" t="str">
        <f t="shared" si="56"/>
        <v>March</v>
      </c>
      <c r="I1168" t="s">
        <v>190</v>
      </c>
      <c r="J1168" t="s">
        <v>49</v>
      </c>
      <c r="K1168">
        <v>5141</v>
      </c>
      <c r="L1168" s="5" t="str">
        <f>IF(OR(K1168&lt;Answers!$C$16,Orders!K1168&gt;Answers!$C$17),"Yes","No")</f>
        <v>No</v>
      </c>
      <c r="M1168" s="14">
        <f>VLOOKUP(B1168,Customers!$A$1:$E$2501,4,0)</f>
        <v>75</v>
      </c>
    </row>
    <row r="1169" spans="1:13" x14ac:dyDescent="0.3">
      <c r="A1169">
        <v>774603</v>
      </c>
      <c r="B1169">
        <v>101</v>
      </c>
      <c r="C1169" s="1" t="s">
        <v>98</v>
      </c>
      <c r="D1169" s="7">
        <v>45049</v>
      </c>
      <c r="E1169" s="11">
        <v>0.53819444444444442</v>
      </c>
      <c r="F1169" s="15">
        <f t="shared" si="54"/>
        <v>5</v>
      </c>
      <c r="G1169" s="10" t="str">
        <f t="shared" si="55"/>
        <v>Wednesday</v>
      </c>
      <c r="H1169" s="9" t="str">
        <f t="shared" si="56"/>
        <v>May</v>
      </c>
      <c r="I1169" t="s">
        <v>95</v>
      </c>
      <c r="J1169" t="s">
        <v>4</v>
      </c>
      <c r="K1169">
        <v>1913</v>
      </c>
      <c r="L1169" s="5" t="str">
        <f>IF(OR(K1169&lt;Answers!$C$16,Orders!K1169&gt;Answers!$C$17),"Yes","No")</f>
        <v>No</v>
      </c>
      <c r="M1169" s="14">
        <f>VLOOKUP(B1169,Customers!$A$1:$E$2501,4,0)</f>
        <v>63</v>
      </c>
    </row>
    <row r="1170" spans="1:13" x14ac:dyDescent="0.3">
      <c r="A1170">
        <v>775306</v>
      </c>
      <c r="B1170">
        <v>655</v>
      </c>
      <c r="C1170" s="1" t="s">
        <v>98</v>
      </c>
      <c r="D1170" s="7">
        <v>45101</v>
      </c>
      <c r="E1170" s="11">
        <v>36567</v>
      </c>
      <c r="F1170" s="15">
        <f t="shared" si="54"/>
        <v>6</v>
      </c>
      <c r="G1170" s="10" t="str">
        <f t="shared" si="55"/>
        <v>Saturday</v>
      </c>
      <c r="H1170" s="9" t="str">
        <f t="shared" si="56"/>
        <v>June</v>
      </c>
      <c r="I1170" t="s">
        <v>97</v>
      </c>
      <c r="J1170" t="s">
        <v>45</v>
      </c>
      <c r="K1170">
        <v>7346</v>
      </c>
      <c r="L1170" s="5" t="str">
        <f>IF(OR(K1170&lt;Answers!$C$16,Orders!K1170&gt;Answers!$C$17),"Yes","No")</f>
        <v>No</v>
      </c>
      <c r="M1170" s="14">
        <f>VLOOKUP(B1170,Customers!$A$1:$E$2501,4,0)</f>
        <v>22</v>
      </c>
    </row>
    <row r="1171" spans="1:13" x14ac:dyDescent="0.3">
      <c r="A1171">
        <v>775387</v>
      </c>
      <c r="B1171">
        <v>945</v>
      </c>
      <c r="C1171" s="1" t="s">
        <v>99</v>
      </c>
      <c r="D1171" s="7">
        <v>45185</v>
      </c>
      <c r="E1171" s="11">
        <v>36718</v>
      </c>
      <c r="F1171" s="15">
        <f t="shared" si="54"/>
        <v>9</v>
      </c>
      <c r="G1171" s="10" t="str">
        <f t="shared" si="55"/>
        <v>Saturday</v>
      </c>
      <c r="H1171" s="9" t="str">
        <f t="shared" si="56"/>
        <v>September</v>
      </c>
      <c r="I1171" t="s">
        <v>190</v>
      </c>
      <c r="J1171" t="s">
        <v>81</v>
      </c>
      <c r="K1171">
        <v>8620</v>
      </c>
      <c r="L1171" s="5" t="str">
        <f>IF(OR(K1171&lt;Answers!$C$16,Orders!K1171&gt;Answers!$C$17),"Yes","No")</f>
        <v>No</v>
      </c>
      <c r="M1171" s="14">
        <f>VLOOKUP(B1171,Customers!$A$1:$E$2501,4,0)</f>
        <v>34</v>
      </c>
    </row>
    <row r="1172" spans="1:13" x14ac:dyDescent="0.3">
      <c r="A1172">
        <v>775856</v>
      </c>
      <c r="B1172">
        <v>146</v>
      </c>
      <c r="C1172" s="1" t="s">
        <v>102</v>
      </c>
      <c r="D1172" s="7">
        <v>45214</v>
      </c>
      <c r="E1172" s="11">
        <v>0.51666666666666672</v>
      </c>
      <c r="F1172" s="15">
        <f t="shared" si="54"/>
        <v>10</v>
      </c>
      <c r="G1172" s="10" t="str">
        <f t="shared" si="55"/>
        <v>Sunday</v>
      </c>
      <c r="H1172" s="9" t="str">
        <f t="shared" si="56"/>
        <v>October</v>
      </c>
      <c r="I1172" t="s">
        <v>96</v>
      </c>
      <c r="J1172" t="s">
        <v>16</v>
      </c>
      <c r="K1172">
        <v>5780</v>
      </c>
      <c r="L1172" s="5" t="str">
        <f>IF(OR(K1172&lt;Answers!$C$16,Orders!K1172&gt;Answers!$C$17),"Yes","No")</f>
        <v>No</v>
      </c>
      <c r="M1172" s="14">
        <f>VLOOKUP(B1172,Customers!$A$1:$E$2501,4,0)</f>
        <v>85</v>
      </c>
    </row>
    <row r="1173" spans="1:13" x14ac:dyDescent="0.3">
      <c r="A1173">
        <v>778907</v>
      </c>
      <c r="B1173">
        <v>915</v>
      </c>
      <c r="C1173" s="1" t="s">
        <v>99</v>
      </c>
      <c r="D1173" s="7">
        <v>45238</v>
      </c>
      <c r="E1173" s="11">
        <v>36781</v>
      </c>
      <c r="F1173" s="15">
        <f t="shared" si="54"/>
        <v>11</v>
      </c>
      <c r="G1173" s="10" t="str">
        <f t="shared" si="55"/>
        <v>Wednesday</v>
      </c>
      <c r="H1173" s="9" t="str">
        <f t="shared" si="56"/>
        <v>November</v>
      </c>
      <c r="I1173" t="s">
        <v>95</v>
      </c>
      <c r="J1173" t="s">
        <v>10</v>
      </c>
      <c r="K1173">
        <v>8273</v>
      </c>
      <c r="L1173" s="5" t="str">
        <f>IF(OR(K1173&lt;Answers!$C$16,Orders!K1173&gt;Answers!$C$17),"Yes","No")</f>
        <v>No</v>
      </c>
      <c r="M1173" s="14">
        <f>VLOOKUP(B1173,Customers!$A$1:$E$2501,4,0)</f>
        <v>39</v>
      </c>
    </row>
    <row r="1174" spans="1:13" x14ac:dyDescent="0.3">
      <c r="A1174">
        <v>779276</v>
      </c>
      <c r="B1174">
        <v>1162</v>
      </c>
      <c r="C1174" s="1" t="s">
        <v>98</v>
      </c>
      <c r="D1174" s="7">
        <v>45087</v>
      </c>
      <c r="E1174" s="11">
        <v>0.49791666666666667</v>
      </c>
      <c r="F1174" s="15">
        <f t="shared" si="54"/>
        <v>6</v>
      </c>
      <c r="G1174" s="10" t="str">
        <f t="shared" si="55"/>
        <v>Saturday</v>
      </c>
      <c r="H1174" s="9" t="str">
        <f t="shared" si="56"/>
        <v>June</v>
      </c>
      <c r="I1174" t="s">
        <v>97</v>
      </c>
      <c r="J1174" t="s">
        <v>43</v>
      </c>
      <c r="K1174">
        <v>4738</v>
      </c>
      <c r="L1174" s="5" t="str">
        <f>IF(OR(K1174&lt;Answers!$C$16,Orders!K1174&gt;Answers!$C$17),"Yes","No")</f>
        <v>No</v>
      </c>
      <c r="M1174" s="14">
        <f>VLOOKUP(B1174,Customers!$A$1:$E$2501,4,0)</f>
        <v>87</v>
      </c>
    </row>
    <row r="1175" spans="1:13" x14ac:dyDescent="0.3">
      <c r="A1175">
        <v>780193</v>
      </c>
      <c r="B1175">
        <v>1979</v>
      </c>
      <c r="C1175" s="1" t="s">
        <v>101</v>
      </c>
      <c r="D1175" s="7">
        <v>45143</v>
      </c>
      <c r="E1175" s="11">
        <v>7.4999999999999997E-2</v>
      </c>
      <c r="F1175" s="15">
        <f t="shared" si="54"/>
        <v>8</v>
      </c>
      <c r="G1175" s="10" t="str">
        <f t="shared" si="55"/>
        <v>Saturday</v>
      </c>
      <c r="H1175" s="9" t="str">
        <f t="shared" si="56"/>
        <v>August</v>
      </c>
      <c r="I1175" t="s">
        <v>95</v>
      </c>
      <c r="J1175" t="s">
        <v>77</v>
      </c>
      <c r="K1175">
        <v>1562</v>
      </c>
      <c r="L1175" s="5" t="str">
        <f>IF(OR(K1175&lt;Answers!$C$16,Orders!K1175&gt;Answers!$C$17),"Yes","No")</f>
        <v>No</v>
      </c>
      <c r="M1175" s="14">
        <f>VLOOKUP(B1175,Customers!$A$1:$E$2501,4,0)</f>
        <v>21</v>
      </c>
    </row>
    <row r="1176" spans="1:13" x14ac:dyDescent="0.3">
      <c r="A1176">
        <v>780651</v>
      </c>
      <c r="B1176">
        <v>1630</v>
      </c>
      <c r="C1176" s="1" t="s">
        <v>99</v>
      </c>
      <c r="D1176" s="7">
        <v>45130</v>
      </c>
      <c r="E1176" s="11">
        <v>7.0833333333333331E-2</v>
      </c>
      <c r="F1176" s="15">
        <f t="shared" si="54"/>
        <v>7</v>
      </c>
      <c r="G1176" s="10" t="str">
        <f t="shared" si="55"/>
        <v>Sunday</v>
      </c>
      <c r="H1176" s="9" t="str">
        <f t="shared" si="56"/>
        <v>July</v>
      </c>
      <c r="I1176" t="s">
        <v>95</v>
      </c>
      <c r="J1176" t="s">
        <v>26</v>
      </c>
      <c r="K1176">
        <v>2596</v>
      </c>
      <c r="L1176" s="5" t="str">
        <f>IF(OR(K1176&lt;Answers!$C$16,Orders!K1176&gt;Answers!$C$17),"Yes","No")</f>
        <v>No</v>
      </c>
      <c r="M1176" s="14">
        <f>VLOOKUP(B1176,Customers!$A$1:$E$2501,4,0)</f>
        <v>21</v>
      </c>
    </row>
    <row r="1177" spans="1:13" x14ac:dyDescent="0.3">
      <c r="A1177">
        <v>780700</v>
      </c>
      <c r="B1177">
        <v>1677</v>
      </c>
      <c r="C1177" s="1" t="s">
        <v>106</v>
      </c>
      <c r="D1177" s="7">
        <v>45055</v>
      </c>
      <c r="E1177" s="11">
        <v>0.49375000000000002</v>
      </c>
      <c r="F1177" s="15">
        <f t="shared" si="54"/>
        <v>5</v>
      </c>
      <c r="G1177" s="10" t="str">
        <f t="shared" si="55"/>
        <v>Tuesday</v>
      </c>
      <c r="H1177" s="9" t="str">
        <f t="shared" si="56"/>
        <v>May</v>
      </c>
      <c r="I1177" t="s">
        <v>95</v>
      </c>
      <c r="J1177" t="s">
        <v>58</v>
      </c>
      <c r="K1177">
        <v>9948</v>
      </c>
      <c r="L1177" s="5" t="str">
        <f>IF(OR(K1177&lt;Answers!$C$16,Orders!K1177&gt;Answers!$C$17),"Yes","No")</f>
        <v>No</v>
      </c>
      <c r="M1177" s="14">
        <f>VLOOKUP(B1177,Customers!$A$1:$E$2501,4,0)</f>
        <v>51</v>
      </c>
    </row>
    <row r="1178" spans="1:13" x14ac:dyDescent="0.3">
      <c r="A1178">
        <v>780895</v>
      </c>
      <c r="B1178">
        <v>1569</v>
      </c>
      <c r="C1178" s="1" t="s">
        <v>104</v>
      </c>
      <c r="D1178" s="7">
        <v>45046</v>
      </c>
      <c r="E1178" s="11">
        <v>0.49444444444444446</v>
      </c>
      <c r="F1178" s="15">
        <f t="shared" si="54"/>
        <v>4</v>
      </c>
      <c r="G1178" s="10" t="str">
        <f t="shared" si="55"/>
        <v>Sunday</v>
      </c>
      <c r="H1178" s="9" t="str">
        <f t="shared" si="56"/>
        <v>April</v>
      </c>
      <c r="I1178" t="s">
        <v>97</v>
      </c>
      <c r="J1178" t="s">
        <v>47</v>
      </c>
      <c r="K1178">
        <v>5917</v>
      </c>
      <c r="L1178" s="5" t="str">
        <f>IF(OR(K1178&lt;Answers!$C$16,Orders!K1178&gt;Answers!$C$17),"Yes","No")</f>
        <v>No</v>
      </c>
      <c r="M1178" s="14">
        <f>VLOOKUP(B1178,Customers!$A$1:$E$2501,4,0)</f>
        <v>20</v>
      </c>
    </row>
    <row r="1179" spans="1:13" x14ac:dyDescent="0.3">
      <c r="A1179">
        <v>781125</v>
      </c>
      <c r="B1179">
        <v>1723</v>
      </c>
      <c r="C1179" s="1" t="s">
        <v>104</v>
      </c>
      <c r="D1179" s="7">
        <v>44950</v>
      </c>
      <c r="E1179" s="11">
        <v>0.54027777777777775</v>
      </c>
      <c r="F1179" s="15">
        <f t="shared" si="54"/>
        <v>1</v>
      </c>
      <c r="G1179" s="10" t="str">
        <f t="shared" si="55"/>
        <v>Tuesday</v>
      </c>
      <c r="H1179" s="9" t="str">
        <f t="shared" si="56"/>
        <v>January</v>
      </c>
      <c r="I1179" t="s">
        <v>95</v>
      </c>
      <c r="J1179" t="s">
        <v>25</v>
      </c>
      <c r="K1179">
        <v>3855</v>
      </c>
      <c r="L1179" s="5" t="str">
        <f>IF(OR(K1179&lt;Answers!$C$16,Orders!K1179&gt;Answers!$C$17),"Yes","No")</f>
        <v>No</v>
      </c>
      <c r="M1179" s="14">
        <f>VLOOKUP(B1179,Customers!$A$1:$E$2501,4,0)</f>
        <v>82</v>
      </c>
    </row>
    <row r="1180" spans="1:13" x14ac:dyDescent="0.3">
      <c r="A1180">
        <v>781195</v>
      </c>
      <c r="B1180">
        <v>184</v>
      </c>
      <c r="C1180" s="1" t="s">
        <v>105</v>
      </c>
      <c r="D1180" s="7">
        <v>45232</v>
      </c>
      <c r="E1180" s="11">
        <v>36842</v>
      </c>
      <c r="F1180" s="15">
        <f t="shared" si="54"/>
        <v>11</v>
      </c>
      <c r="G1180" s="10" t="str">
        <f t="shared" si="55"/>
        <v>Thursday</v>
      </c>
      <c r="H1180" s="9" t="str">
        <f t="shared" si="56"/>
        <v>November</v>
      </c>
      <c r="I1180" t="s">
        <v>96</v>
      </c>
      <c r="J1180" t="s">
        <v>73</v>
      </c>
      <c r="K1180">
        <v>5349</v>
      </c>
      <c r="L1180" s="5" t="str">
        <f>IF(OR(K1180&lt;Answers!$C$16,Orders!K1180&gt;Answers!$C$17),"Yes","No")</f>
        <v>No</v>
      </c>
      <c r="M1180" s="14">
        <f>VLOOKUP(B1180,Customers!$A$1:$E$2501,4,0)</f>
        <v>79</v>
      </c>
    </row>
    <row r="1181" spans="1:13" x14ac:dyDescent="0.3">
      <c r="A1181">
        <v>781771</v>
      </c>
      <c r="B1181">
        <v>1377</v>
      </c>
      <c r="C1181" s="1" t="s">
        <v>108</v>
      </c>
      <c r="D1181" s="7">
        <v>44969</v>
      </c>
      <c r="E1181" s="11">
        <v>36811</v>
      </c>
      <c r="F1181" s="15">
        <f t="shared" si="54"/>
        <v>2</v>
      </c>
      <c r="G1181" s="10" t="str">
        <f t="shared" si="55"/>
        <v>Sunday</v>
      </c>
      <c r="H1181" s="9" t="str">
        <f t="shared" si="56"/>
        <v>February</v>
      </c>
      <c r="I1181" t="s">
        <v>95</v>
      </c>
      <c r="J1181" t="s">
        <v>87</v>
      </c>
      <c r="K1181">
        <v>9605</v>
      </c>
      <c r="L1181" s="5" t="str">
        <f>IF(OR(K1181&lt;Answers!$C$16,Orders!K1181&gt;Answers!$C$17),"Yes","No")</f>
        <v>No</v>
      </c>
      <c r="M1181" s="14">
        <f>VLOOKUP(B1181,Customers!$A$1:$E$2501,4,0)</f>
        <v>33</v>
      </c>
    </row>
    <row r="1182" spans="1:13" x14ac:dyDescent="0.3">
      <c r="A1182">
        <v>782836</v>
      </c>
      <c r="B1182">
        <v>1896</v>
      </c>
      <c r="C1182" s="1" t="s">
        <v>99</v>
      </c>
      <c r="D1182" s="7">
        <v>45141</v>
      </c>
      <c r="E1182" s="11">
        <v>0.51875000000000004</v>
      </c>
      <c r="F1182" s="15">
        <f t="shared" si="54"/>
        <v>8</v>
      </c>
      <c r="G1182" s="10" t="str">
        <f t="shared" si="55"/>
        <v>Thursday</v>
      </c>
      <c r="H1182" s="9" t="str">
        <f t="shared" si="56"/>
        <v>August</v>
      </c>
      <c r="I1182" t="s">
        <v>190</v>
      </c>
      <c r="J1182" t="s">
        <v>72</v>
      </c>
      <c r="K1182">
        <v>8153</v>
      </c>
      <c r="L1182" s="5" t="str">
        <f>IF(OR(K1182&lt;Answers!$C$16,Orders!K1182&gt;Answers!$C$17),"Yes","No")</f>
        <v>No</v>
      </c>
      <c r="M1182" s="14">
        <f>VLOOKUP(B1182,Customers!$A$1:$E$2501,4,0)</f>
        <v>22</v>
      </c>
    </row>
    <row r="1183" spans="1:13" x14ac:dyDescent="0.3">
      <c r="A1183">
        <v>783763</v>
      </c>
      <c r="B1183">
        <v>447</v>
      </c>
      <c r="C1183" s="1" t="s">
        <v>98</v>
      </c>
      <c r="D1183" s="7">
        <v>45127</v>
      </c>
      <c r="E1183" s="11">
        <v>6.3888888888888884E-2</v>
      </c>
      <c r="F1183" s="15">
        <f t="shared" si="54"/>
        <v>7</v>
      </c>
      <c r="G1183" s="10" t="str">
        <f t="shared" si="55"/>
        <v>Thursday</v>
      </c>
      <c r="H1183" s="9" t="str">
        <f t="shared" si="56"/>
        <v>July</v>
      </c>
      <c r="I1183" t="s">
        <v>96</v>
      </c>
      <c r="J1183" t="s">
        <v>88</v>
      </c>
      <c r="K1183">
        <v>3794</v>
      </c>
      <c r="L1183" s="5" t="str">
        <f>IF(OR(K1183&lt;Answers!$C$16,Orders!K1183&gt;Answers!$C$17),"Yes","No")</f>
        <v>No</v>
      </c>
      <c r="M1183" s="14">
        <f>VLOOKUP(B1183,Customers!$A$1:$E$2501,4,0)</f>
        <v>77</v>
      </c>
    </row>
    <row r="1184" spans="1:13" x14ac:dyDescent="0.3">
      <c r="A1184">
        <v>783822</v>
      </c>
      <c r="B1184">
        <v>221</v>
      </c>
      <c r="C1184" s="1" t="s">
        <v>100</v>
      </c>
      <c r="D1184" s="7">
        <v>45253</v>
      </c>
      <c r="E1184" s="11">
        <v>0.48125000000000001</v>
      </c>
      <c r="F1184" s="15">
        <f t="shared" si="54"/>
        <v>11</v>
      </c>
      <c r="G1184" s="10" t="str">
        <f t="shared" si="55"/>
        <v>Thursday</v>
      </c>
      <c r="H1184" s="9" t="str">
        <f t="shared" si="56"/>
        <v>November</v>
      </c>
      <c r="I1184" t="s">
        <v>96</v>
      </c>
      <c r="J1184" t="s">
        <v>26</v>
      </c>
      <c r="K1184">
        <v>5404</v>
      </c>
      <c r="L1184" s="5" t="str">
        <f>IF(OR(K1184&lt;Answers!$C$16,Orders!K1184&gt;Answers!$C$17),"Yes","No")</f>
        <v>No</v>
      </c>
      <c r="M1184" s="14">
        <f>VLOOKUP(B1184,Customers!$A$1:$E$2501,4,0)</f>
        <v>64</v>
      </c>
    </row>
    <row r="1185" spans="1:13" x14ac:dyDescent="0.3">
      <c r="A1185">
        <v>784475</v>
      </c>
      <c r="B1185">
        <v>109</v>
      </c>
      <c r="C1185" s="1" t="s">
        <v>98</v>
      </c>
      <c r="D1185" s="7">
        <v>45284</v>
      </c>
      <c r="E1185" s="11">
        <v>7.1527777777777773E-2</v>
      </c>
      <c r="F1185" s="15">
        <f t="shared" si="54"/>
        <v>12</v>
      </c>
      <c r="G1185" s="10" t="str">
        <f t="shared" si="55"/>
        <v>Sunday</v>
      </c>
      <c r="H1185" s="9" t="str">
        <f t="shared" si="56"/>
        <v>December</v>
      </c>
      <c r="I1185" t="s">
        <v>96</v>
      </c>
      <c r="J1185" t="s">
        <v>24</v>
      </c>
      <c r="K1185">
        <v>505</v>
      </c>
      <c r="L1185" s="5" t="str">
        <f>IF(OR(K1185&lt;Answers!$C$16,Orders!K1185&gt;Answers!$C$17),"Yes","No")</f>
        <v>No</v>
      </c>
      <c r="M1185" s="14">
        <f>VLOOKUP(B1185,Customers!$A$1:$E$2501,4,0)</f>
        <v>32</v>
      </c>
    </row>
    <row r="1186" spans="1:13" x14ac:dyDescent="0.3">
      <c r="A1186">
        <v>784839</v>
      </c>
      <c r="B1186">
        <v>222</v>
      </c>
      <c r="C1186" s="1" t="s">
        <v>102</v>
      </c>
      <c r="D1186" s="7">
        <v>45226</v>
      </c>
      <c r="E1186" s="11">
        <v>0.44513888888888886</v>
      </c>
      <c r="F1186" s="15">
        <f t="shared" si="54"/>
        <v>10</v>
      </c>
      <c r="G1186" s="10" t="str">
        <f t="shared" si="55"/>
        <v>Friday</v>
      </c>
      <c r="H1186" s="9" t="str">
        <f t="shared" si="56"/>
        <v>October</v>
      </c>
      <c r="I1186" t="s">
        <v>190</v>
      </c>
      <c r="J1186" t="s">
        <v>48</v>
      </c>
      <c r="K1186">
        <v>6391</v>
      </c>
      <c r="L1186" s="5" t="str">
        <f>IF(OR(K1186&lt;Answers!$C$16,Orders!K1186&gt;Answers!$C$17),"Yes","No")</f>
        <v>No</v>
      </c>
      <c r="M1186" s="14">
        <f>VLOOKUP(B1186,Customers!$A$1:$E$2501,4,0)</f>
        <v>37</v>
      </c>
    </row>
    <row r="1187" spans="1:13" x14ac:dyDescent="0.3">
      <c r="A1187">
        <v>786170</v>
      </c>
      <c r="B1187">
        <v>1676</v>
      </c>
      <c r="C1187" s="1" t="s">
        <v>103</v>
      </c>
      <c r="D1187" s="7">
        <v>45182</v>
      </c>
      <c r="E1187" s="11">
        <v>0.53055555555555556</v>
      </c>
      <c r="F1187" s="15">
        <f t="shared" si="54"/>
        <v>9</v>
      </c>
      <c r="G1187" s="10" t="str">
        <f t="shared" si="55"/>
        <v>Wednesday</v>
      </c>
      <c r="H1187" s="9" t="str">
        <f t="shared" si="56"/>
        <v>September</v>
      </c>
      <c r="I1187" t="s">
        <v>97</v>
      </c>
      <c r="J1187" t="s">
        <v>4</v>
      </c>
      <c r="K1187">
        <v>5008</v>
      </c>
      <c r="L1187" s="5" t="str">
        <f>IF(OR(K1187&lt;Answers!$C$16,Orders!K1187&gt;Answers!$C$17),"Yes","No")</f>
        <v>No</v>
      </c>
      <c r="M1187" s="14">
        <f>VLOOKUP(B1187,Customers!$A$1:$E$2501,4,0)</f>
        <v>25</v>
      </c>
    </row>
    <row r="1188" spans="1:13" x14ac:dyDescent="0.3">
      <c r="A1188">
        <v>787058</v>
      </c>
      <c r="B1188">
        <v>1587</v>
      </c>
      <c r="C1188" s="1" t="s">
        <v>98</v>
      </c>
      <c r="D1188" s="7">
        <v>45063</v>
      </c>
      <c r="E1188" s="11">
        <v>0.53680555555555554</v>
      </c>
      <c r="F1188" s="15">
        <f t="shared" si="54"/>
        <v>5</v>
      </c>
      <c r="G1188" s="10" t="str">
        <f t="shared" si="55"/>
        <v>Wednesday</v>
      </c>
      <c r="H1188" s="9" t="str">
        <f t="shared" si="56"/>
        <v>May</v>
      </c>
      <c r="I1188" t="s">
        <v>96</v>
      </c>
      <c r="J1188" t="s">
        <v>6</v>
      </c>
      <c r="K1188">
        <v>7663</v>
      </c>
      <c r="L1188" s="5" t="str">
        <f>IF(OR(K1188&lt;Answers!$C$16,Orders!K1188&gt;Answers!$C$17),"Yes","No")</f>
        <v>No</v>
      </c>
      <c r="M1188" s="14">
        <f>VLOOKUP(B1188,Customers!$A$1:$E$2501,4,0)</f>
        <v>41</v>
      </c>
    </row>
    <row r="1189" spans="1:13" x14ac:dyDescent="0.3">
      <c r="A1189">
        <v>787848</v>
      </c>
      <c r="B1189">
        <v>1855</v>
      </c>
      <c r="C1189" s="1" t="s">
        <v>107</v>
      </c>
      <c r="D1189" s="7">
        <v>45091</v>
      </c>
      <c r="E1189" s="11">
        <v>0.49791666666666667</v>
      </c>
      <c r="F1189" s="15">
        <f t="shared" si="54"/>
        <v>6</v>
      </c>
      <c r="G1189" s="10" t="str">
        <f t="shared" si="55"/>
        <v>Wednesday</v>
      </c>
      <c r="H1189" s="9" t="str">
        <f t="shared" si="56"/>
        <v>June</v>
      </c>
      <c r="I1189" t="s">
        <v>190</v>
      </c>
      <c r="J1189" t="s">
        <v>26</v>
      </c>
      <c r="K1189">
        <v>7298</v>
      </c>
      <c r="L1189" s="5" t="str">
        <f>IF(OR(K1189&lt;Answers!$C$16,Orders!K1189&gt;Answers!$C$17),"Yes","No")</f>
        <v>No</v>
      </c>
      <c r="M1189" s="14">
        <f>VLOOKUP(B1189,Customers!$A$1:$E$2501,4,0)</f>
        <v>44</v>
      </c>
    </row>
    <row r="1190" spans="1:13" x14ac:dyDescent="0.3">
      <c r="A1190">
        <v>788037</v>
      </c>
      <c r="B1190">
        <v>284</v>
      </c>
      <c r="C1190" s="1" t="s">
        <v>98</v>
      </c>
      <c r="D1190" s="7">
        <v>45066</v>
      </c>
      <c r="E1190" s="11">
        <v>0.52500000000000002</v>
      </c>
      <c r="F1190" s="15">
        <f t="shared" si="54"/>
        <v>5</v>
      </c>
      <c r="G1190" s="10" t="str">
        <f t="shared" si="55"/>
        <v>Saturday</v>
      </c>
      <c r="H1190" s="9" t="str">
        <f t="shared" si="56"/>
        <v>May</v>
      </c>
      <c r="I1190" t="s">
        <v>190</v>
      </c>
      <c r="J1190" t="s">
        <v>51</v>
      </c>
      <c r="K1190">
        <v>4007</v>
      </c>
      <c r="L1190" s="5" t="str">
        <f>IF(OR(K1190&lt;Answers!$C$16,Orders!K1190&gt;Answers!$C$17),"Yes","No")</f>
        <v>No</v>
      </c>
      <c r="M1190" s="14">
        <f>VLOOKUP(B1190,Customers!$A$1:$E$2501,4,0)</f>
        <v>82</v>
      </c>
    </row>
    <row r="1191" spans="1:13" x14ac:dyDescent="0.3">
      <c r="A1191">
        <v>788243</v>
      </c>
      <c r="B1191">
        <v>1856</v>
      </c>
      <c r="C1191" s="1" t="s">
        <v>98</v>
      </c>
      <c r="D1191" s="7">
        <v>45218</v>
      </c>
      <c r="E1191" s="11">
        <v>36872</v>
      </c>
      <c r="F1191" s="15">
        <f t="shared" si="54"/>
        <v>10</v>
      </c>
      <c r="G1191" s="10" t="str">
        <f t="shared" si="55"/>
        <v>Thursday</v>
      </c>
      <c r="H1191" s="9" t="str">
        <f t="shared" si="56"/>
        <v>October</v>
      </c>
      <c r="I1191" t="s">
        <v>96</v>
      </c>
      <c r="J1191" t="s">
        <v>22</v>
      </c>
      <c r="K1191">
        <v>1117</v>
      </c>
      <c r="L1191" s="5" t="str">
        <f>IF(OR(K1191&lt;Answers!$C$16,Orders!K1191&gt;Answers!$C$17),"Yes","No")</f>
        <v>No</v>
      </c>
      <c r="M1191" s="14">
        <f>VLOOKUP(B1191,Customers!$A$1:$E$2501,4,0)</f>
        <v>78</v>
      </c>
    </row>
    <row r="1192" spans="1:13" x14ac:dyDescent="0.3">
      <c r="A1192">
        <v>788263</v>
      </c>
      <c r="B1192">
        <v>759</v>
      </c>
      <c r="C1192" s="1" t="s">
        <v>98</v>
      </c>
      <c r="D1192" s="7">
        <v>44934</v>
      </c>
      <c r="E1192" s="11">
        <v>36617</v>
      </c>
      <c r="F1192" s="15">
        <f t="shared" si="54"/>
        <v>1</v>
      </c>
      <c r="G1192" s="10" t="str">
        <f t="shared" si="55"/>
        <v>Sunday</v>
      </c>
      <c r="H1192" s="9" t="str">
        <f t="shared" si="56"/>
        <v>January</v>
      </c>
      <c r="I1192" t="s">
        <v>96</v>
      </c>
      <c r="J1192" t="s">
        <v>69</v>
      </c>
      <c r="K1192">
        <v>8883</v>
      </c>
      <c r="L1192" s="5" t="str">
        <f>IF(OR(K1192&lt;Answers!$C$16,Orders!K1192&gt;Answers!$C$17),"Yes","No")</f>
        <v>No</v>
      </c>
      <c r="M1192" s="14">
        <f>VLOOKUP(B1192,Customers!$A$1:$E$2501,4,0)</f>
        <v>19</v>
      </c>
    </row>
    <row r="1193" spans="1:13" x14ac:dyDescent="0.3">
      <c r="A1193">
        <v>788290</v>
      </c>
      <c r="B1193">
        <v>29</v>
      </c>
      <c r="C1193" s="1" t="s">
        <v>104</v>
      </c>
      <c r="D1193" s="7">
        <v>45167</v>
      </c>
      <c r="E1193" s="11">
        <v>36831</v>
      </c>
      <c r="F1193" s="15">
        <f t="shared" si="54"/>
        <v>8</v>
      </c>
      <c r="G1193" s="10" t="str">
        <f t="shared" si="55"/>
        <v>Tuesday</v>
      </c>
      <c r="H1193" s="9" t="str">
        <f t="shared" si="56"/>
        <v>August</v>
      </c>
      <c r="I1193" t="s">
        <v>96</v>
      </c>
      <c r="J1193" t="s">
        <v>70</v>
      </c>
      <c r="K1193">
        <v>9872</v>
      </c>
      <c r="L1193" s="5" t="str">
        <f>IF(OR(K1193&lt;Answers!$C$16,Orders!K1193&gt;Answers!$C$17),"Yes","No")</f>
        <v>No</v>
      </c>
      <c r="M1193" s="14">
        <f>VLOOKUP(B1193,Customers!$A$1:$E$2501,4,0)</f>
        <v>19</v>
      </c>
    </row>
    <row r="1194" spans="1:13" x14ac:dyDescent="0.3">
      <c r="A1194">
        <v>789675</v>
      </c>
      <c r="B1194">
        <v>817</v>
      </c>
      <c r="C1194" s="1" t="s">
        <v>98</v>
      </c>
      <c r="D1194" s="7">
        <v>45211</v>
      </c>
      <c r="E1194" s="11">
        <v>0.51041666666666663</v>
      </c>
      <c r="F1194" s="15">
        <f t="shared" si="54"/>
        <v>10</v>
      </c>
      <c r="G1194" s="10" t="str">
        <f t="shared" si="55"/>
        <v>Thursday</v>
      </c>
      <c r="H1194" s="9" t="str">
        <f t="shared" si="56"/>
        <v>October</v>
      </c>
      <c r="I1194" t="s">
        <v>97</v>
      </c>
      <c r="J1194" t="s">
        <v>42</v>
      </c>
      <c r="K1194">
        <v>627</v>
      </c>
      <c r="L1194" s="5" t="str">
        <f>IF(OR(K1194&lt;Answers!$C$16,Orders!K1194&gt;Answers!$C$17),"Yes","No")</f>
        <v>No</v>
      </c>
      <c r="M1194" s="14">
        <f>VLOOKUP(B1194,Customers!$A$1:$E$2501,4,0)</f>
        <v>39</v>
      </c>
    </row>
    <row r="1195" spans="1:13" x14ac:dyDescent="0.3">
      <c r="A1195">
        <v>794197</v>
      </c>
      <c r="B1195">
        <v>313</v>
      </c>
      <c r="C1195" s="1" t="s">
        <v>112</v>
      </c>
      <c r="D1195" s="7">
        <v>45170</v>
      </c>
      <c r="E1195" s="11">
        <v>0.4909722222222222</v>
      </c>
      <c r="F1195" s="15">
        <f t="shared" si="54"/>
        <v>9</v>
      </c>
      <c r="G1195" s="10" t="str">
        <f t="shared" si="55"/>
        <v>Friday</v>
      </c>
      <c r="H1195" s="9" t="str">
        <f t="shared" si="56"/>
        <v>September</v>
      </c>
      <c r="I1195" t="s">
        <v>95</v>
      </c>
      <c r="J1195" t="s">
        <v>91</v>
      </c>
      <c r="K1195">
        <v>4130</v>
      </c>
      <c r="L1195" s="5" t="str">
        <f>IF(OR(K1195&lt;Answers!$C$16,Orders!K1195&gt;Answers!$C$17),"Yes","No")</f>
        <v>No</v>
      </c>
      <c r="M1195" s="14">
        <f>VLOOKUP(B1195,Customers!$A$1:$E$2501,4,0)</f>
        <v>61</v>
      </c>
    </row>
    <row r="1196" spans="1:13" x14ac:dyDescent="0.3">
      <c r="A1196">
        <v>794297</v>
      </c>
      <c r="B1196">
        <v>221</v>
      </c>
      <c r="C1196" s="1" t="s">
        <v>100</v>
      </c>
      <c r="D1196" s="7">
        <v>45111</v>
      </c>
      <c r="E1196" s="11">
        <v>0.53472222222222221</v>
      </c>
      <c r="F1196" s="15">
        <f t="shared" si="54"/>
        <v>7</v>
      </c>
      <c r="G1196" s="10" t="str">
        <f t="shared" si="55"/>
        <v>Tuesday</v>
      </c>
      <c r="H1196" s="9" t="str">
        <f t="shared" si="56"/>
        <v>July</v>
      </c>
      <c r="I1196" t="s">
        <v>95</v>
      </c>
      <c r="J1196" t="s">
        <v>7</v>
      </c>
      <c r="K1196">
        <v>7199</v>
      </c>
      <c r="L1196" s="5" t="str">
        <f>IF(OR(K1196&lt;Answers!$C$16,Orders!K1196&gt;Answers!$C$17),"Yes","No")</f>
        <v>No</v>
      </c>
      <c r="M1196" s="14">
        <f>VLOOKUP(B1196,Customers!$A$1:$E$2501,4,0)</f>
        <v>64</v>
      </c>
    </row>
    <row r="1197" spans="1:13" x14ac:dyDescent="0.3">
      <c r="A1197">
        <v>794975</v>
      </c>
      <c r="B1197">
        <v>738</v>
      </c>
      <c r="C1197" s="1" t="s">
        <v>99</v>
      </c>
      <c r="D1197" s="7">
        <v>44979</v>
      </c>
      <c r="E1197" s="11">
        <v>5.8333333333333334E-2</v>
      </c>
      <c r="F1197" s="15">
        <f t="shared" si="54"/>
        <v>2</v>
      </c>
      <c r="G1197" s="10" t="str">
        <f t="shared" si="55"/>
        <v>Wednesday</v>
      </c>
      <c r="H1197" s="9" t="str">
        <f t="shared" si="56"/>
        <v>February</v>
      </c>
      <c r="I1197" t="s">
        <v>96</v>
      </c>
      <c r="J1197" t="s">
        <v>45</v>
      </c>
      <c r="K1197">
        <v>1230</v>
      </c>
      <c r="L1197" s="5" t="str">
        <f>IF(OR(K1197&lt;Answers!$C$16,Orders!K1197&gt;Answers!$C$17),"Yes","No")</f>
        <v>No</v>
      </c>
      <c r="M1197" s="14">
        <f>VLOOKUP(B1197,Customers!$A$1:$E$2501,4,0)</f>
        <v>25</v>
      </c>
    </row>
    <row r="1198" spans="1:13" x14ac:dyDescent="0.3">
      <c r="A1198">
        <v>795216</v>
      </c>
      <c r="B1198">
        <v>1588</v>
      </c>
      <c r="C1198" s="1" t="s">
        <v>99</v>
      </c>
      <c r="D1198" s="7">
        <v>45268</v>
      </c>
      <c r="E1198" s="11">
        <v>36781</v>
      </c>
      <c r="F1198" s="15">
        <f t="shared" si="54"/>
        <v>12</v>
      </c>
      <c r="G1198" s="10" t="str">
        <f t="shared" si="55"/>
        <v>Friday</v>
      </c>
      <c r="H1198" s="9" t="str">
        <f t="shared" si="56"/>
        <v>December</v>
      </c>
      <c r="I1198" t="s">
        <v>190</v>
      </c>
      <c r="J1198" t="s">
        <v>9</v>
      </c>
      <c r="K1198">
        <v>1033</v>
      </c>
      <c r="L1198" s="5" t="str">
        <f>IF(OR(K1198&lt;Answers!$C$16,Orders!K1198&gt;Answers!$C$17),"Yes","No")</f>
        <v>No</v>
      </c>
      <c r="M1198" s="14">
        <f>VLOOKUP(B1198,Customers!$A$1:$E$2501,4,0)</f>
        <v>74</v>
      </c>
    </row>
    <row r="1199" spans="1:13" x14ac:dyDescent="0.3">
      <c r="A1199">
        <v>795276</v>
      </c>
      <c r="B1199">
        <v>836</v>
      </c>
      <c r="C1199" s="1" t="s">
        <v>112</v>
      </c>
      <c r="D1199" s="7">
        <v>45034</v>
      </c>
      <c r="E1199" s="11">
        <v>0.4548611111111111</v>
      </c>
      <c r="F1199" s="15">
        <f t="shared" si="54"/>
        <v>4</v>
      </c>
      <c r="G1199" s="10" t="str">
        <f t="shared" si="55"/>
        <v>Tuesday</v>
      </c>
      <c r="H1199" s="9" t="str">
        <f t="shared" si="56"/>
        <v>April</v>
      </c>
      <c r="I1199" t="s">
        <v>190</v>
      </c>
      <c r="J1199" t="s">
        <v>71</v>
      </c>
      <c r="K1199">
        <v>1032</v>
      </c>
      <c r="L1199" s="5" t="str">
        <f>IF(OR(K1199&lt;Answers!$C$16,Orders!K1199&gt;Answers!$C$17),"Yes","No")</f>
        <v>No</v>
      </c>
      <c r="M1199" s="14">
        <f>VLOOKUP(B1199,Customers!$A$1:$E$2501,4,0)</f>
        <v>70</v>
      </c>
    </row>
    <row r="1200" spans="1:13" x14ac:dyDescent="0.3">
      <c r="A1200">
        <v>797415</v>
      </c>
      <c r="B1200">
        <v>842</v>
      </c>
      <c r="C1200" s="1" t="s">
        <v>99</v>
      </c>
      <c r="D1200" s="7">
        <v>45269</v>
      </c>
      <c r="E1200" s="11">
        <v>0.5</v>
      </c>
      <c r="F1200" s="15">
        <f t="shared" si="54"/>
        <v>12</v>
      </c>
      <c r="G1200" s="10" t="str">
        <f t="shared" si="55"/>
        <v>Saturday</v>
      </c>
      <c r="H1200" s="9" t="str">
        <f t="shared" si="56"/>
        <v>December</v>
      </c>
      <c r="I1200" t="s">
        <v>97</v>
      </c>
      <c r="J1200" t="s">
        <v>12</v>
      </c>
      <c r="K1200">
        <v>7700</v>
      </c>
      <c r="L1200" s="5" t="str">
        <f>IF(OR(K1200&lt;Answers!$C$16,Orders!K1200&gt;Answers!$C$17),"Yes","No")</f>
        <v>No</v>
      </c>
      <c r="M1200" s="14">
        <f>VLOOKUP(B1200,Customers!$A$1:$E$2501,4,0)</f>
        <v>41</v>
      </c>
    </row>
    <row r="1201" spans="1:13" x14ac:dyDescent="0.3">
      <c r="A1201">
        <v>797735</v>
      </c>
      <c r="B1201">
        <v>1192</v>
      </c>
      <c r="C1201" s="1" t="s">
        <v>98</v>
      </c>
      <c r="D1201" s="7">
        <v>45276</v>
      </c>
      <c r="E1201" s="11">
        <v>36800</v>
      </c>
      <c r="F1201" s="15">
        <f t="shared" si="54"/>
        <v>12</v>
      </c>
      <c r="G1201" s="10" t="str">
        <f t="shared" si="55"/>
        <v>Saturday</v>
      </c>
      <c r="H1201" s="9" t="str">
        <f t="shared" si="56"/>
        <v>December</v>
      </c>
      <c r="I1201" t="s">
        <v>97</v>
      </c>
      <c r="J1201" t="s">
        <v>9</v>
      </c>
      <c r="K1201">
        <v>322</v>
      </c>
      <c r="L1201" s="5" t="str">
        <f>IF(OR(K1201&lt;Answers!$C$16,Orders!K1201&gt;Answers!$C$17),"Yes","No")</f>
        <v>No</v>
      </c>
      <c r="M1201" s="14">
        <f>VLOOKUP(B1201,Customers!$A$1:$E$2501,4,0)</f>
        <v>87</v>
      </c>
    </row>
    <row r="1202" spans="1:13" x14ac:dyDescent="0.3">
      <c r="A1202">
        <v>797824</v>
      </c>
      <c r="B1202">
        <v>931</v>
      </c>
      <c r="C1202" s="1" t="s">
        <v>98</v>
      </c>
      <c r="D1202" s="7">
        <v>45164</v>
      </c>
      <c r="E1202" s="11">
        <v>0.48472222222222222</v>
      </c>
      <c r="F1202" s="15">
        <f t="shared" si="54"/>
        <v>8</v>
      </c>
      <c r="G1202" s="10" t="str">
        <f t="shared" si="55"/>
        <v>Saturday</v>
      </c>
      <c r="H1202" s="9" t="str">
        <f t="shared" si="56"/>
        <v>August</v>
      </c>
      <c r="I1202" t="s">
        <v>95</v>
      </c>
      <c r="J1202" t="s">
        <v>14</v>
      </c>
      <c r="K1202">
        <v>7354</v>
      </c>
      <c r="L1202" s="5" t="str">
        <f>IF(OR(K1202&lt;Answers!$C$16,Orders!K1202&gt;Answers!$C$17),"Yes","No")</f>
        <v>No</v>
      </c>
      <c r="M1202" s="14">
        <f>VLOOKUP(B1202,Customers!$A$1:$E$2501,4,0)</f>
        <v>58</v>
      </c>
    </row>
    <row r="1203" spans="1:13" x14ac:dyDescent="0.3">
      <c r="A1203">
        <v>798176</v>
      </c>
      <c r="B1203">
        <v>1070</v>
      </c>
      <c r="C1203" s="1" t="s">
        <v>105</v>
      </c>
      <c r="D1203" s="7">
        <v>45283</v>
      </c>
      <c r="E1203" s="11">
        <v>5.2083333333333336E-2</v>
      </c>
      <c r="F1203" s="15">
        <f t="shared" si="54"/>
        <v>12</v>
      </c>
      <c r="G1203" s="10" t="str">
        <f t="shared" si="55"/>
        <v>Saturday</v>
      </c>
      <c r="H1203" s="9" t="str">
        <f t="shared" si="56"/>
        <v>December</v>
      </c>
      <c r="I1203" t="s">
        <v>190</v>
      </c>
      <c r="J1203" t="s">
        <v>12</v>
      </c>
      <c r="K1203">
        <v>311</v>
      </c>
      <c r="L1203" s="5" t="str">
        <f>IF(OR(K1203&lt;Answers!$C$16,Orders!K1203&gt;Answers!$C$17),"Yes","No")</f>
        <v>No</v>
      </c>
      <c r="M1203" s="14">
        <f>VLOOKUP(B1203,Customers!$A$1:$E$2501,4,0)</f>
        <v>60</v>
      </c>
    </row>
    <row r="1204" spans="1:13" x14ac:dyDescent="0.3">
      <c r="A1204">
        <v>799277</v>
      </c>
      <c r="B1204">
        <v>1432</v>
      </c>
      <c r="C1204" s="1" t="s">
        <v>98</v>
      </c>
      <c r="D1204" s="7">
        <v>45258</v>
      </c>
      <c r="E1204" s="11">
        <v>0.47986111111111113</v>
      </c>
      <c r="F1204" s="15">
        <f t="shared" si="54"/>
        <v>11</v>
      </c>
      <c r="G1204" s="10" t="str">
        <f t="shared" si="55"/>
        <v>Tuesday</v>
      </c>
      <c r="H1204" s="9" t="str">
        <f t="shared" si="56"/>
        <v>November</v>
      </c>
      <c r="I1204" t="s">
        <v>96</v>
      </c>
      <c r="J1204" t="s">
        <v>61</v>
      </c>
      <c r="K1204">
        <v>9518</v>
      </c>
      <c r="L1204" s="5" t="str">
        <f>IF(OR(K1204&lt;Answers!$C$16,Orders!K1204&gt;Answers!$C$17),"Yes","No")</f>
        <v>No</v>
      </c>
      <c r="M1204" s="14">
        <f>VLOOKUP(B1204,Customers!$A$1:$E$2501,4,0)</f>
        <v>30</v>
      </c>
    </row>
    <row r="1205" spans="1:13" x14ac:dyDescent="0.3">
      <c r="A1205">
        <v>800145</v>
      </c>
      <c r="B1205">
        <v>653</v>
      </c>
      <c r="C1205" s="1" t="s">
        <v>99</v>
      </c>
      <c r="D1205" s="7">
        <v>45017</v>
      </c>
      <c r="E1205" s="11">
        <v>0.53402777777777777</v>
      </c>
      <c r="F1205" s="15">
        <f t="shared" si="54"/>
        <v>4</v>
      </c>
      <c r="G1205" s="10" t="str">
        <f t="shared" si="55"/>
        <v>Saturday</v>
      </c>
      <c r="H1205" s="9" t="str">
        <f t="shared" si="56"/>
        <v>April</v>
      </c>
      <c r="I1205" t="s">
        <v>95</v>
      </c>
      <c r="J1205" t="s">
        <v>74</v>
      </c>
      <c r="K1205">
        <v>2086</v>
      </c>
      <c r="L1205" s="5" t="str">
        <f>IF(OR(K1205&lt;Answers!$C$16,Orders!K1205&gt;Answers!$C$17),"Yes","No")</f>
        <v>No</v>
      </c>
      <c r="M1205" s="14">
        <f>VLOOKUP(B1205,Customers!$A$1:$E$2501,4,0)</f>
        <v>68</v>
      </c>
    </row>
    <row r="1206" spans="1:13" x14ac:dyDescent="0.3">
      <c r="A1206">
        <v>800248</v>
      </c>
      <c r="B1206">
        <v>1360</v>
      </c>
      <c r="C1206" s="1" t="s">
        <v>104</v>
      </c>
      <c r="D1206" s="7">
        <v>45130</v>
      </c>
      <c r="E1206" s="11">
        <v>5.6250000000000001E-2</v>
      </c>
      <c r="F1206" s="15">
        <f t="shared" si="54"/>
        <v>7</v>
      </c>
      <c r="G1206" s="10" t="str">
        <f t="shared" si="55"/>
        <v>Sunday</v>
      </c>
      <c r="H1206" s="9" t="str">
        <f t="shared" si="56"/>
        <v>July</v>
      </c>
      <c r="I1206" t="s">
        <v>97</v>
      </c>
      <c r="J1206" t="s">
        <v>65</v>
      </c>
      <c r="K1206">
        <v>4265</v>
      </c>
      <c r="L1206" s="5" t="str">
        <f>IF(OR(K1206&lt;Answers!$C$16,Orders!K1206&gt;Answers!$C$17),"Yes","No")</f>
        <v>No</v>
      </c>
      <c r="M1206" s="14">
        <f>VLOOKUP(B1206,Customers!$A$1:$E$2501,4,0)</f>
        <v>40</v>
      </c>
    </row>
    <row r="1207" spans="1:13" x14ac:dyDescent="0.3">
      <c r="A1207">
        <v>800421</v>
      </c>
      <c r="B1207">
        <v>736</v>
      </c>
      <c r="C1207" s="1" t="s">
        <v>98</v>
      </c>
      <c r="D1207" s="7">
        <v>45133</v>
      </c>
      <c r="E1207" s="11">
        <v>8.3333333333333329E-2</v>
      </c>
      <c r="F1207" s="15">
        <f t="shared" si="54"/>
        <v>7</v>
      </c>
      <c r="G1207" s="10" t="str">
        <f t="shared" si="55"/>
        <v>Wednesday</v>
      </c>
      <c r="H1207" s="9" t="str">
        <f t="shared" si="56"/>
        <v>July</v>
      </c>
      <c r="I1207" t="s">
        <v>96</v>
      </c>
      <c r="J1207" t="s">
        <v>19</v>
      </c>
      <c r="K1207">
        <v>3687</v>
      </c>
      <c r="L1207" s="5" t="str">
        <f>IF(OR(K1207&lt;Answers!$C$16,Orders!K1207&gt;Answers!$C$17),"Yes","No")</f>
        <v>No</v>
      </c>
      <c r="M1207" s="14">
        <f>VLOOKUP(B1207,Customers!$A$1:$E$2501,4,0)</f>
        <v>50</v>
      </c>
    </row>
    <row r="1208" spans="1:13" x14ac:dyDescent="0.3">
      <c r="A1208">
        <v>801394</v>
      </c>
      <c r="B1208">
        <v>1922</v>
      </c>
      <c r="C1208" s="1" t="s">
        <v>104</v>
      </c>
      <c r="D1208" s="7">
        <v>45017</v>
      </c>
      <c r="E1208" s="11">
        <v>7.3611111111111113E-2</v>
      </c>
      <c r="F1208" s="15">
        <f t="shared" si="54"/>
        <v>4</v>
      </c>
      <c r="G1208" s="10" t="str">
        <f t="shared" si="55"/>
        <v>Saturday</v>
      </c>
      <c r="H1208" s="9" t="str">
        <f t="shared" si="56"/>
        <v>April</v>
      </c>
      <c r="I1208" t="s">
        <v>95</v>
      </c>
      <c r="J1208" t="s">
        <v>71</v>
      </c>
      <c r="K1208">
        <v>5526</v>
      </c>
      <c r="L1208" s="5" t="str">
        <f>IF(OR(K1208&lt;Answers!$C$16,Orders!K1208&gt;Answers!$C$17),"Yes","No")</f>
        <v>No</v>
      </c>
      <c r="M1208" s="14">
        <f>VLOOKUP(B1208,Customers!$A$1:$E$2501,4,0)</f>
        <v>59</v>
      </c>
    </row>
    <row r="1209" spans="1:13" x14ac:dyDescent="0.3">
      <c r="A1209">
        <v>802352</v>
      </c>
      <c r="B1209">
        <v>1838</v>
      </c>
      <c r="C1209" s="1" t="s">
        <v>98</v>
      </c>
      <c r="D1209" s="7">
        <v>45086</v>
      </c>
      <c r="E1209" s="11">
        <v>36586</v>
      </c>
      <c r="F1209" s="15">
        <f t="shared" si="54"/>
        <v>6</v>
      </c>
      <c r="G1209" s="10" t="str">
        <f t="shared" si="55"/>
        <v>Friday</v>
      </c>
      <c r="H1209" s="9" t="str">
        <f t="shared" si="56"/>
        <v>June</v>
      </c>
      <c r="I1209" t="s">
        <v>97</v>
      </c>
      <c r="J1209" t="s">
        <v>82</v>
      </c>
      <c r="K1209">
        <v>7995</v>
      </c>
      <c r="L1209" s="5" t="str">
        <f>IF(OR(K1209&lt;Answers!$C$16,Orders!K1209&gt;Answers!$C$17),"Yes","No")</f>
        <v>No</v>
      </c>
      <c r="M1209" s="14">
        <f>VLOOKUP(B1209,Customers!$A$1:$E$2501,4,0)</f>
        <v>48</v>
      </c>
    </row>
    <row r="1210" spans="1:13" x14ac:dyDescent="0.3">
      <c r="A1210">
        <v>804031</v>
      </c>
      <c r="B1210">
        <v>1267</v>
      </c>
      <c r="C1210" s="1" t="s">
        <v>106</v>
      </c>
      <c r="D1210" s="7">
        <v>44928</v>
      </c>
      <c r="E1210" s="11">
        <v>5.486111111111111E-2</v>
      </c>
      <c r="F1210" s="15">
        <f t="shared" si="54"/>
        <v>1</v>
      </c>
      <c r="G1210" s="10" t="str">
        <f t="shared" si="55"/>
        <v>Monday</v>
      </c>
      <c r="H1210" s="9" t="str">
        <f t="shared" si="56"/>
        <v>January</v>
      </c>
      <c r="I1210" t="s">
        <v>95</v>
      </c>
      <c r="J1210" t="s">
        <v>69</v>
      </c>
      <c r="K1210">
        <v>9935</v>
      </c>
      <c r="L1210" s="5" t="str">
        <f>IF(OR(K1210&lt;Answers!$C$16,Orders!K1210&gt;Answers!$C$17),"Yes","No")</f>
        <v>No</v>
      </c>
      <c r="M1210" s="14">
        <f>VLOOKUP(B1210,Customers!$A$1:$E$2501,4,0)</f>
        <v>62</v>
      </c>
    </row>
    <row r="1211" spans="1:13" x14ac:dyDescent="0.3">
      <c r="A1211">
        <v>804076</v>
      </c>
      <c r="B1211">
        <v>279</v>
      </c>
      <c r="C1211" s="1" t="s">
        <v>112</v>
      </c>
      <c r="D1211" s="7">
        <v>45151</v>
      </c>
      <c r="E1211" s="11">
        <v>0.50902777777777775</v>
      </c>
      <c r="F1211" s="15">
        <f t="shared" si="54"/>
        <v>8</v>
      </c>
      <c r="G1211" s="10" t="str">
        <f t="shared" si="55"/>
        <v>Sunday</v>
      </c>
      <c r="H1211" s="9" t="str">
        <f t="shared" si="56"/>
        <v>August</v>
      </c>
      <c r="I1211" t="s">
        <v>95</v>
      </c>
      <c r="J1211" t="s">
        <v>13</v>
      </c>
      <c r="K1211">
        <v>4684</v>
      </c>
      <c r="L1211" s="5" t="str">
        <f>IF(OR(K1211&lt;Answers!$C$16,Orders!K1211&gt;Answers!$C$17),"Yes","No")</f>
        <v>No</v>
      </c>
      <c r="M1211" s="14">
        <f>VLOOKUP(B1211,Customers!$A$1:$E$2501,4,0)</f>
        <v>80</v>
      </c>
    </row>
    <row r="1212" spans="1:13" x14ac:dyDescent="0.3">
      <c r="A1212">
        <v>804356</v>
      </c>
      <c r="B1212">
        <v>1586</v>
      </c>
      <c r="C1212" s="1" t="s">
        <v>99</v>
      </c>
      <c r="D1212" s="7">
        <v>45174</v>
      </c>
      <c r="E1212" s="11">
        <v>36709</v>
      </c>
      <c r="F1212" s="15">
        <f t="shared" si="54"/>
        <v>9</v>
      </c>
      <c r="G1212" s="10" t="str">
        <f t="shared" si="55"/>
        <v>Tuesday</v>
      </c>
      <c r="H1212" s="9" t="str">
        <f t="shared" si="56"/>
        <v>September</v>
      </c>
      <c r="I1212" t="s">
        <v>190</v>
      </c>
      <c r="J1212" t="s">
        <v>26</v>
      </c>
      <c r="K1212">
        <v>9054</v>
      </c>
      <c r="L1212" s="5" t="str">
        <f>IF(OR(K1212&lt;Answers!$C$16,Orders!K1212&gt;Answers!$C$17),"Yes","No")</f>
        <v>No</v>
      </c>
      <c r="M1212" s="14">
        <f>VLOOKUP(B1212,Customers!$A$1:$E$2501,4,0)</f>
        <v>42</v>
      </c>
    </row>
    <row r="1213" spans="1:13" x14ac:dyDescent="0.3">
      <c r="A1213">
        <v>805121</v>
      </c>
      <c r="B1213">
        <v>704</v>
      </c>
      <c r="C1213" s="1" t="s">
        <v>98</v>
      </c>
      <c r="D1213" s="7">
        <v>45174</v>
      </c>
      <c r="E1213" s="11">
        <v>7.3611111111111113E-2</v>
      </c>
      <c r="F1213" s="15">
        <f t="shared" si="54"/>
        <v>9</v>
      </c>
      <c r="G1213" s="10" t="str">
        <f t="shared" si="55"/>
        <v>Tuesday</v>
      </c>
      <c r="H1213" s="9" t="str">
        <f t="shared" si="56"/>
        <v>September</v>
      </c>
      <c r="I1213" t="s">
        <v>97</v>
      </c>
      <c r="J1213" t="s">
        <v>76</v>
      </c>
      <c r="K1213">
        <v>6764</v>
      </c>
      <c r="L1213" s="5" t="str">
        <f>IF(OR(K1213&lt;Answers!$C$16,Orders!K1213&gt;Answers!$C$17),"Yes","No")</f>
        <v>No</v>
      </c>
      <c r="M1213" s="14">
        <f>VLOOKUP(B1213,Customers!$A$1:$E$2501,4,0)</f>
        <v>76</v>
      </c>
    </row>
    <row r="1214" spans="1:13" x14ac:dyDescent="0.3">
      <c r="A1214">
        <v>805282</v>
      </c>
      <c r="B1214">
        <v>935</v>
      </c>
      <c r="C1214" s="1" t="s">
        <v>99</v>
      </c>
      <c r="D1214" s="7">
        <v>45148</v>
      </c>
      <c r="E1214" s="11">
        <v>0.51527777777777772</v>
      </c>
      <c r="F1214" s="15">
        <f t="shared" si="54"/>
        <v>8</v>
      </c>
      <c r="G1214" s="10" t="str">
        <f t="shared" si="55"/>
        <v>Thursday</v>
      </c>
      <c r="H1214" s="9" t="str">
        <f t="shared" si="56"/>
        <v>August</v>
      </c>
      <c r="I1214" t="s">
        <v>190</v>
      </c>
      <c r="J1214" t="s">
        <v>26</v>
      </c>
      <c r="K1214">
        <v>7748</v>
      </c>
      <c r="L1214" s="5" t="str">
        <f>IF(OR(K1214&lt;Answers!$C$16,Orders!K1214&gt;Answers!$C$17),"Yes","No")</f>
        <v>No</v>
      </c>
      <c r="M1214" s="14">
        <f>VLOOKUP(B1214,Customers!$A$1:$E$2501,4,0)</f>
        <v>38</v>
      </c>
    </row>
    <row r="1215" spans="1:13" x14ac:dyDescent="0.3">
      <c r="A1215">
        <v>806906</v>
      </c>
      <c r="B1215">
        <v>1603</v>
      </c>
      <c r="C1215" s="1" t="s">
        <v>98</v>
      </c>
      <c r="D1215" s="7">
        <v>45058</v>
      </c>
      <c r="E1215" s="11">
        <v>0.47222222222222221</v>
      </c>
      <c r="F1215" s="15">
        <f t="shared" si="54"/>
        <v>5</v>
      </c>
      <c r="G1215" s="10" t="str">
        <f t="shared" si="55"/>
        <v>Friday</v>
      </c>
      <c r="H1215" s="9" t="str">
        <f t="shared" si="56"/>
        <v>May</v>
      </c>
      <c r="I1215" t="s">
        <v>97</v>
      </c>
      <c r="J1215" t="s">
        <v>42</v>
      </c>
      <c r="K1215">
        <v>585</v>
      </c>
      <c r="L1215" s="5" t="str">
        <f>IF(OR(K1215&lt;Answers!$C$16,Orders!K1215&gt;Answers!$C$17),"Yes","No")</f>
        <v>No</v>
      </c>
      <c r="M1215" s="14">
        <f>VLOOKUP(B1215,Customers!$A$1:$E$2501,4,0)</f>
        <v>73</v>
      </c>
    </row>
    <row r="1216" spans="1:13" x14ac:dyDescent="0.3">
      <c r="A1216">
        <v>807901</v>
      </c>
      <c r="B1216">
        <v>768</v>
      </c>
      <c r="C1216" s="1" t="s">
        <v>98</v>
      </c>
      <c r="D1216" s="7">
        <v>44971</v>
      </c>
      <c r="E1216" s="11">
        <v>6.7361111111111108E-2</v>
      </c>
      <c r="F1216" s="15">
        <f t="shared" si="54"/>
        <v>2</v>
      </c>
      <c r="G1216" s="10" t="str">
        <f t="shared" si="55"/>
        <v>Tuesday</v>
      </c>
      <c r="H1216" s="9" t="str">
        <f t="shared" si="56"/>
        <v>February</v>
      </c>
      <c r="I1216" t="s">
        <v>95</v>
      </c>
      <c r="J1216" t="s">
        <v>25</v>
      </c>
      <c r="K1216">
        <v>1538</v>
      </c>
      <c r="L1216" s="5" t="str">
        <f>IF(OR(K1216&lt;Answers!$C$16,Orders!K1216&gt;Answers!$C$17),"Yes","No")</f>
        <v>No</v>
      </c>
      <c r="M1216" s="14">
        <f>VLOOKUP(B1216,Customers!$A$1:$E$2501,4,0)</f>
        <v>38</v>
      </c>
    </row>
    <row r="1217" spans="1:13" x14ac:dyDescent="0.3">
      <c r="A1217">
        <v>808278</v>
      </c>
      <c r="B1217">
        <v>1796</v>
      </c>
      <c r="C1217" s="1" t="s">
        <v>107</v>
      </c>
      <c r="D1217" s="7">
        <v>45194</v>
      </c>
      <c r="E1217" s="11">
        <v>0.48541666666666666</v>
      </c>
      <c r="F1217" s="15">
        <f t="shared" si="54"/>
        <v>9</v>
      </c>
      <c r="G1217" s="10" t="str">
        <f t="shared" si="55"/>
        <v>Monday</v>
      </c>
      <c r="H1217" s="9" t="str">
        <f t="shared" si="56"/>
        <v>September</v>
      </c>
      <c r="I1217" t="s">
        <v>97</v>
      </c>
      <c r="J1217" t="s">
        <v>89</v>
      </c>
      <c r="K1217">
        <v>1968</v>
      </c>
      <c r="L1217" s="5" t="str">
        <f>IF(OR(K1217&lt;Answers!$C$16,Orders!K1217&gt;Answers!$C$17),"Yes","No")</f>
        <v>No</v>
      </c>
      <c r="M1217" s="14">
        <f>VLOOKUP(B1217,Customers!$A$1:$E$2501,4,0)</f>
        <v>86</v>
      </c>
    </row>
    <row r="1218" spans="1:13" x14ac:dyDescent="0.3">
      <c r="A1218">
        <v>808789</v>
      </c>
      <c r="B1218">
        <v>1538</v>
      </c>
      <c r="C1218" s="1" t="s">
        <v>98</v>
      </c>
      <c r="D1218" s="7">
        <v>45123</v>
      </c>
      <c r="E1218" s="11">
        <v>0.47847222222222224</v>
      </c>
      <c r="F1218" s="15">
        <f t="shared" si="54"/>
        <v>7</v>
      </c>
      <c r="G1218" s="10" t="str">
        <f t="shared" si="55"/>
        <v>Sunday</v>
      </c>
      <c r="H1218" s="9" t="str">
        <f t="shared" si="56"/>
        <v>July</v>
      </c>
      <c r="I1218" t="s">
        <v>190</v>
      </c>
      <c r="J1218" t="s">
        <v>22</v>
      </c>
      <c r="K1218">
        <v>5681</v>
      </c>
      <c r="L1218" s="5" t="str">
        <f>IF(OR(K1218&lt;Answers!$C$16,Orders!K1218&gt;Answers!$C$17),"Yes","No")</f>
        <v>No</v>
      </c>
      <c r="M1218" s="14">
        <f>VLOOKUP(B1218,Customers!$A$1:$E$2501,4,0)</f>
        <v>21</v>
      </c>
    </row>
    <row r="1219" spans="1:13" x14ac:dyDescent="0.3">
      <c r="A1219">
        <v>810114</v>
      </c>
      <c r="B1219">
        <v>62</v>
      </c>
      <c r="C1219" s="1" t="s">
        <v>98</v>
      </c>
      <c r="D1219" s="7">
        <v>45081</v>
      </c>
      <c r="E1219" s="11">
        <v>8.2638888888888887E-2</v>
      </c>
      <c r="F1219" s="15">
        <f t="shared" ref="F1219:F1282" si="57">MONTH(D1219)</f>
        <v>6</v>
      </c>
      <c r="G1219" s="10" t="str">
        <f t="shared" ref="G1219:G1282" si="58">TEXT(D1219,"dddd")</f>
        <v>Sunday</v>
      </c>
      <c r="H1219" s="9" t="str">
        <f t="shared" ref="H1219:H1282" si="59">TEXT(D1219,"mmmm")</f>
        <v>June</v>
      </c>
      <c r="I1219" t="s">
        <v>96</v>
      </c>
      <c r="J1219" t="s">
        <v>94</v>
      </c>
      <c r="K1219">
        <v>2084</v>
      </c>
      <c r="L1219" s="5" t="str">
        <f>IF(OR(K1219&lt;Answers!$C$16,Orders!K1219&gt;Answers!$C$17),"Yes","No")</f>
        <v>No</v>
      </c>
      <c r="M1219" s="14">
        <f>VLOOKUP(B1219,Customers!$A$1:$E$2501,4,0)</f>
        <v>42</v>
      </c>
    </row>
    <row r="1220" spans="1:13" x14ac:dyDescent="0.3">
      <c r="A1220">
        <v>812395</v>
      </c>
      <c r="B1220">
        <v>717</v>
      </c>
      <c r="C1220" s="1" t="s">
        <v>100</v>
      </c>
      <c r="D1220" s="7">
        <v>45139</v>
      </c>
      <c r="E1220" s="11">
        <v>0.47499999999999998</v>
      </c>
      <c r="F1220" s="15">
        <f t="shared" si="57"/>
        <v>8</v>
      </c>
      <c r="G1220" s="10" t="str">
        <f t="shared" si="58"/>
        <v>Tuesday</v>
      </c>
      <c r="H1220" s="9" t="str">
        <f t="shared" si="59"/>
        <v>August</v>
      </c>
      <c r="I1220" t="s">
        <v>95</v>
      </c>
      <c r="J1220" t="s">
        <v>53</v>
      </c>
      <c r="K1220">
        <v>9421</v>
      </c>
      <c r="L1220" s="5" t="str">
        <f>IF(OR(K1220&lt;Answers!$C$16,Orders!K1220&gt;Answers!$C$17),"Yes","No")</f>
        <v>No</v>
      </c>
      <c r="M1220" s="14">
        <f>VLOOKUP(B1220,Customers!$A$1:$E$2501,4,0)</f>
        <v>90</v>
      </c>
    </row>
    <row r="1221" spans="1:13" x14ac:dyDescent="0.3">
      <c r="A1221">
        <v>812558</v>
      </c>
      <c r="B1221">
        <v>1160</v>
      </c>
      <c r="C1221" s="1" t="s">
        <v>100</v>
      </c>
      <c r="D1221" s="7">
        <v>45100</v>
      </c>
      <c r="E1221" s="11">
        <v>36586</v>
      </c>
      <c r="F1221" s="15">
        <f t="shared" si="57"/>
        <v>6</v>
      </c>
      <c r="G1221" s="10" t="str">
        <f t="shared" si="58"/>
        <v>Friday</v>
      </c>
      <c r="H1221" s="9" t="str">
        <f t="shared" si="59"/>
        <v>June</v>
      </c>
      <c r="I1221" t="s">
        <v>96</v>
      </c>
      <c r="J1221" t="s">
        <v>19</v>
      </c>
      <c r="K1221">
        <v>4185</v>
      </c>
      <c r="L1221" s="5" t="str">
        <f>IF(OR(K1221&lt;Answers!$C$16,Orders!K1221&gt;Answers!$C$17),"Yes","No")</f>
        <v>No</v>
      </c>
      <c r="M1221" s="14">
        <f>VLOOKUP(B1221,Customers!$A$1:$E$2501,4,0)</f>
        <v>58</v>
      </c>
    </row>
    <row r="1222" spans="1:13" x14ac:dyDescent="0.3">
      <c r="A1222">
        <v>812612</v>
      </c>
      <c r="B1222">
        <v>509</v>
      </c>
      <c r="C1222" s="1" t="s">
        <v>99</v>
      </c>
      <c r="D1222" s="7">
        <v>45256</v>
      </c>
      <c r="E1222" s="11">
        <v>6.1805555555555558E-2</v>
      </c>
      <c r="F1222" s="15">
        <f t="shared" si="57"/>
        <v>11</v>
      </c>
      <c r="G1222" s="10" t="str">
        <f t="shared" si="58"/>
        <v>Sunday</v>
      </c>
      <c r="H1222" s="9" t="str">
        <f t="shared" si="59"/>
        <v>November</v>
      </c>
      <c r="I1222" t="s">
        <v>190</v>
      </c>
      <c r="J1222" t="s">
        <v>40</v>
      </c>
      <c r="K1222">
        <v>3471</v>
      </c>
      <c r="L1222" s="5" t="str">
        <f>IF(OR(K1222&lt;Answers!$C$16,Orders!K1222&gt;Answers!$C$17),"Yes","No")</f>
        <v>No</v>
      </c>
      <c r="M1222" s="14">
        <f>VLOOKUP(B1222,Customers!$A$1:$E$2501,4,0)</f>
        <v>24</v>
      </c>
    </row>
    <row r="1223" spans="1:13" x14ac:dyDescent="0.3">
      <c r="A1223">
        <v>812864</v>
      </c>
      <c r="B1223">
        <v>1007</v>
      </c>
      <c r="C1223" s="1" t="s">
        <v>98</v>
      </c>
      <c r="D1223" s="7">
        <v>45149</v>
      </c>
      <c r="E1223" s="11">
        <v>36842</v>
      </c>
      <c r="F1223" s="15">
        <f t="shared" si="57"/>
        <v>8</v>
      </c>
      <c r="G1223" s="10" t="str">
        <f t="shared" si="58"/>
        <v>Friday</v>
      </c>
      <c r="H1223" s="9" t="str">
        <f t="shared" si="59"/>
        <v>August</v>
      </c>
      <c r="I1223" t="s">
        <v>97</v>
      </c>
      <c r="J1223" t="s">
        <v>54</v>
      </c>
      <c r="K1223">
        <v>9730</v>
      </c>
      <c r="L1223" s="5" t="str">
        <f>IF(OR(K1223&lt;Answers!$C$16,Orders!K1223&gt;Answers!$C$17),"Yes","No")</f>
        <v>No</v>
      </c>
      <c r="M1223" s="14">
        <f>VLOOKUP(B1223,Customers!$A$1:$E$2501,4,0)</f>
        <v>62</v>
      </c>
    </row>
    <row r="1224" spans="1:13" x14ac:dyDescent="0.3">
      <c r="A1224">
        <v>813036</v>
      </c>
      <c r="B1224">
        <v>22</v>
      </c>
      <c r="C1224" s="1" t="s">
        <v>104</v>
      </c>
      <c r="D1224" s="7">
        <v>45248</v>
      </c>
      <c r="E1224" s="11">
        <v>0.44513888888888886</v>
      </c>
      <c r="F1224" s="15">
        <f t="shared" si="57"/>
        <v>11</v>
      </c>
      <c r="G1224" s="10" t="str">
        <f t="shared" si="58"/>
        <v>Saturday</v>
      </c>
      <c r="H1224" s="9" t="str">
        <f t="shared" si="59"/>
        <v>November</v>
      </c>
      <c r="I1224" t="s">
        <v>96</v>
      </c>
      <c r="J1224" t="s">
        <v>55</v>
      </c>
      <c r="K1224">
        <v>5132</v>
      </c>
      <c r="L1224" s="5" t="str">
        <f>IF(OR(K1224&lt;Answers!$C$16,Orders!K1224&gt;Answers!$C$17),"Yes","No")</f>
        <v>No</v>
      </c>
      <c r="M1224" s="14">
        <f>VLOOKUP(B1224,Customers!$A$1:$E$2501,4,0)</f>
        <v>78</v>
      </c>
    </row>
    <row r="1225" spans="1:13" x14ac:dyDescent="0.3">
      <c r="A1225">
        <v>813819</v>
      </c>
      <c r="B1225">
        <v>437</v>
      </c>
      <c r="C1225" s="1" t="s">
        <v>98</v>
      </c>
      <c r="D1225" s="7">
        <v>44981</v>
      </c>
      <c r="E1225" s="11">
        <v>0.47291666666666665</v>
      </c>
      <c r="F1225" s="15">
        <f t="shared" si="57"/>
        <v>2</v>
      </c>
      <c r="G1225" s="10" t="str">
        <f t="shared" si="58"/>
        <v>Friday</v>
      </c>
      <c r="H1225" s="9" t="str">
        <f t="shared" si="59"/>
        <v>February</v>
      </c>
      <c r="I1225" t="s">
        <v>96</v>
      </c>
      <c r="J1225" t="s">
        <v>56</v>
      </c>
      <c r="K1225">
        <v>8001</v>
      </c>
      <c r="L1225" s="5" t="str">
        <f>IF(OR(K1225&lt;Answers!$C$16,Orders!K1225&gt;Answers!$C$17),"Yes","No")</f>
        <v>No</v>
      </c>
      <c r="M1225" s="14">
        <f>VLOOKUP(B1225,Customers!$A$1:$E$2501,4,0)</f>
        <v>22</v>
      </c>
    </row>
    <row r="1226" spans="1:13" x14ac:dyDescent="0.3">
      <c r="A1226">
        <v>813822</v>
      </c>
      <c r="B1226">
        <v>894</v>
      </c>
      <c r="C1226" s="1" t="s">
        <v>100</v>
      </c>
      <c r="D1226" s="7">
        <v>45030</v>
      </c>
      <c r="E1226" s="11">
        <v>0.4513888888888889</v>
      </c>
      <c r="F1226" s="15">
        <f t="shared" si="57"/>
        <v>4</v>
      </c>
      <c r="G1226" s="10" t="str">
        <f t="shared" si="58"/>
        <v>Friday</v>
      </c>
      <c r="H1226" s="9" t="str">
        <f t="shared" si="59"/>
        <v>April</v>
      </c>
      <c r="I1226" t="s">
        <v>190</v>
      </c>
      <c r="J1226" t="s">
        <v>57</v>
      </c>
      <c r="K1226">
        <v>3283</v>
      </c>
      <c r="L1226" s="5" t="str">
        <f>IF(OR(K1226&lt;Answers!$C$16,Orders!K1226&gt;Answers!$C$17),"Yes","No")</f>
        <v>No</v>
      </c>
      <c r="M1226" s="14">
        <f>VLOOKUP(B1226,Customers!$A$1:$E$2501,4,0)</f>
        <v>37</v>
      </c>
    </row>
    <row r="1227" spans="1:13" x14ac:dyDescent="0.3">
      <c r="A1227">
        <v>814175</v>
      </c>
      <c r="B1227">
        <v>836</v>
      </c>
      <c r="C1227" s="1" t="s">
        <v>112</v>
      </c>
      <c r="D1227" s="7">
        <v>45015</v>
      </c>
      <c r="E1227" s="11">
        <v>0.53819444444444442</v>
      </c>
      <c r="F1227" s="15">
        <f t="shared" si="57"/>
        <v>3</v>
      </c>
      <c r="G1227" s="10" t="str">
        <f t="shared" si="58"/>
        <v>Thursday</v>
      </c>
      <c r="H1227" s="9" t="str">
        <f t="shared" si="59"/>
        <v>March</v>
      </c>
      <c r="I1227" t="s">
        <v>97</v>
      </c>
      <c r="J1227" t="s">
        <v>58</v>
      </c>
      <c r="K1227">
        <v>7467</v>
      </c>
      <c r="L1227" s="5" t="str">
        <f>IF(OR(K1227&lt;Answers!$C$16,Orders!K1227&gt;Answers!$C$17),"Yes","No")</f>
        <v>No</v>
      </c>
      <c r="M1227" s="14">
        <f>VLOOKUP(B1227,Customers!$A$1:$E$2501,4,0)</f>
        <v>70</v>
      </c>
    </row>
    <row r="1228" spans="1:13" x14ac:dyDescent="0.3">
      <c r="A1228">
        <v>814705</v>
      </c>
      <c r="B1228">
        <v>1590</v>
      </c>
      <c r="C1228" s="1" t="s">
        <v>105</v>
      </c>
      <c r="D1228" s="7">
        <v>45024</v>
      </c>
      <c r="E1228" s="11">
        <v>0.51875000000000004</v>
      </c>
      <c r="F1228" s="15">
        <f t="shared" si="57"/>
        <v>4</v>
      </c>
      <c r="G1228" s="10" t="str">
        <f t="shared" si="58"/>
        <v>Saturday</v>
      </c>
      <c r="H1228" s="9" t="str">
        <f t="shared" si="59"/>
        <v>April</v>
      </c>
      <c r="I1228" t="s">
        <v>190</v>
      </c>
      <c r="J1228" t="s">
        <v>36</v>
      </c>
      <c r="K1228">
        <v>6227</v>
      </c>
      <c r="L1228" s="5" t="str">
        <f>IF(OR(K1228&lt;Answers!$C$16,Orders!K1228&gt;Answers!$C$17),"Yes","No")</f>
        <v>No</v>
      </c>
      <c r="M1228" s="14">
        <f>VLOOKUP(B1228,Customers!$A$1:$E$2501,4,0)</f>
        <v>69</v>
      </c>
    </row>
    <row r="1229" spans="1:13" x14ac:dyDescent="0.3">
      <c r="A1229">
        <v>816536</v>
      </c>
      <c r="B1229">
        <v>1147</v>
      </c>
      <c r="C1229" s="1" t="s">
        <v>99</v>
      </c>
      <c r="D1229" s="7">
        <v>45180</v>
      </c>
      <c r="E1229" s="11">
        <v>0.4777777777777778</v>
      </c>
      <c r="F1229" s="15">
        <f t="shared" si="57"/>
        <v>9</v>
      </c>
      <c r="G1229" s="10" t="str">
        <f t="shared" si="58"/>
        <v>Monday</v>
      </c>
      <c r="H1229" s="9" t="str">
        <f t="shared" si="59"/>
        <v>September</v>
      </c>
      <c r="I1229" t="s">
        <v>190</v>
      </c>
      <c r="J1229" t="s">
        <v>26</v>
      </c>
      <c r="K1229">
        <v>5485</v>
      </c>
      <c r="L1229" s="5" t="str">
        <f>IF(OR(K1229&lt;Answers!$C$16,Orders!K1229&gt;Answers!$C$17),"Yes","No")</f>
        <v>No</v>
      </c>
      <c r="M1229" s="14">
        <f>VLOOKUP(B1229,Customers!$A$1:$E$2501,4,0)</f>
        <v>53</v>
      </c>
    </row>
    <row r="1230" spans="1:13" x14ac:dyDescent="0.3">
      <c r="A1230">
        <v>817610</v>
      </c>
      <c r="B1230">
        <v>493</v>
      </c>
      <c r="C1230" s="1" t="s">
        <v>98</v>
      </c>
      <c r="D1230" s="7">
        <v>44930</v>
      </c>
      <c r="E1230" s="11">
        <v>0.48333333333333334</v>
      </c>
      <c r="F1230" s="15">
        <f t="shared" si="57"/>
        <v>1</v>
      </c>
      <c r="G1230" s="10" t="str">
        <f t="shared" si="58"/>
        <v>Wednesday</v>
      </c>
      <c r="H1230" s="9" t="str">
        <f t="shared" si="59"/>
        <v>January</v>
      </c>
      <c r="I1230" t="s">
        <v>97</v>
      </c>
      <c r="J1230" t="s">
        <v>59</v>
      </c>
      <c r="K1230">
        <v>4047</v>
      </c>
      <c r="L1230" s="5" t="str">
        <f>IF(OR(K1230&lt;Answers!$C$16,Orders!K1230&gt;Answers!$C$17),"Yes","No")</f>
        <v>No</v>
      </c>
      <c r="M1230" s="14">
        <f>VLOOKUP(B1230,Customers!$A$1:$E$2501,4,0)</f>
        <v>82</v>
      </c>
    </row>
    <row r="1231" spans="1:13" x14ac:dyDescent="0.3">
      <c r="A1231">
        <v>818956</v>
      </c>
      <c r="B1231">
        <v>857</v>
      </c>
      <c r="C1231" s="1" t="s">
        <v>98</v>
      </c>
      <c r="D1231" s="7">
        <v>45112</v>
      </c>
      <c r="E1231" s="11">
        <v>0.52361111111111114</v>
      </c>
      <c r="F1231" s="15">
        <f t="shared" si="57"/>
        <v>7</v>
      </c>
      <c r="G1231" s="10" t="str">
        <f t="shared" si="58"/>
        <v>Wednesday</v>
      </c>
      <c r="H1231" s="9" t="str">
        <f t="shared" si="59"/>
        <v>July</v>
      </c>
      <c r="I1231" t="s">
        <v>190</v>
      </c>
      <c r="J1231" t="s">
        <v>60</v>
      </c>
      <c r="K1231">
        <v>1268</v>
      </c>
      <c r="L1231" s="5" t="str">
        <f>IF(OR(K1231&lt;Answers!$C$16,Orders!K1231&gt;Answers!$C$17),"Yes","No")</f>
        <v>No</v>
      </c>
      <c r="M1231" s="14">
        <f>VLOOKUP(B1231,Customers!$A$1:$E$2501,4,0)</f>
        <v>34</v>
      </c>
    </row>
    <row r="1232" spans="1:13" x14ac:dyDescent="0.3">
      <c r="A1232">
        <v>821575</v>
      </c>
      <c r="B1232">
        <v>1215</v>
      </c>
      <c r="C1232" s="1" t="s">
        <v>98</v>
      </c>
      <c r="D1232" s="7">
        <v>44937</v>
      </c>
      <c r="E1232" s="11">
        <v>0.53749999999999998</v>
      </c>
      <c r="F1232" s="15">
        <f t="shared" si="57"/>
        <v>1</v>
      </c>
      <c r="G1232" s="10" t="str">
        <f t="shared" si="58"/>
        <v>Wednesday</v>
      </c>
      <c r="H1232" s="9" t="str">
        <f t="shared" si="59"/>
        <v>January</v>
      </c>
      <c r="I1232" t="s">
        <v>97</v>
      </c>
      <c r="J1232" t="s">
        <v>92</v>
      </c>
      <c r="K1232">
        <v>4655</v>
      </c>
      <c r="L1232" s="5" t="str">
        <f>IF(OR(K1232&lt;Answers!$C$16,Orders!K1232&gt;Answers!$C$17),"Yes","No")</f>
        <v>No</v>
      </c>
      <c r="M1232" s="14">
        <f>VLOOKUP(B1232,Customers!$A$1:$E$2501,4,0)</f>
        <v>33</v>
      </c>
    </row>
    <row r="1233" spans="1:13" x14ac:dyDescent="0.3">
      <c r="A1233">
        <v>822544</v>
      </c>
      <c r="B1233">
        <v>1930</v>
      </c>
      <c r="C1233" s="1" t="s">
        <v>98</v>
      </c>
      <c r="D1233" s="7">
        <v>45173</v>
      </c>
      <c r="E1233" s="11">
        <v>8.3333333333333329E-2</v>
      </c>
      <c r="F1233" s="15">
        <f t="shared" si="57"/>
        <v>9</v>
      </c>
      <c r="G1233" s="10" t="str">
        <f t="shared" si="58"/>
        <v>Monday</v>
      </c>
      <c r="H1233" s="9" t="str">
        <f t="shared" si="59"/>
        <v>September</v>
      </c>
      <c r="I1233" t="s">
        <v>95</v>
      </c>
      <c r="J1233" t="s">
        <v>32</v>
      </c>
      <c r="K1233">
        <v>708</v>
      </c>
      <c r="L1233" s="5" t="str">
        <f>IF(OR(K1233&lt;Answers!$C$16,Orders!K1233&gt;Answers!$C$17),"Yes","No")</f>
        <v>No</v>
      </c>
      <c r="M1233" s="14">
        <f>VLOOKUP(B1233,Customers!$A$1:$E$2501,4,0)</f>
        <v>40</v>
      </c>
    </row>
    <row r="1234" spans="1:13" x14ac:dyDescent="0.3">
      <c r="A1234">
        <v>822906</v>
      </c>
      <c r="B1234">
        <v>882</v>
      </c>
      <c r="C1234" s="1" t="s">
        <v>105</v>
      </c>
      <c r="D1234" s="7">
        <v>45201</v>
      </c>
      <c r="E1234" s="11">
        <v>0.52013888888888893</v>
      </c>
      <c r="F1234" s="15">
        <f t="shared" si="57"/>
        <v>10</v>
      </c>
      <c r="G1234" s="10" t="str">
        <f t="shared" si="58"/>
        <v>Monday</v>
      </c>
      <c r="H1234" s="9" t="str">
        <f t="shared" si="59"/>
        <v>October</v>
      </c>
      <c r="I1234" t="s">
        <v>96</v>
      </c>
      <c r="J1234" t="s">
        <v>62</v>
      </c>
      <c r="K1234">
        <v>8093</v>
      </c>
      <c r="L1234" s="5" t="str">
        <f>IF(OR(K1234&lt;Answers!$C$16,Orders!K1234&gt;Answers!$C$17),"Yes","No")</f>
        <v>No</v>
      </c>
      <c r="M1234" s="14">
        <f>VLOOKUP(B1234,Customers!$A$1:$E$2501,4,0)</f>
        <v>20</v>
      </c>
    </row>
    <row r="1235" spans="1:13" x14ac:dyDescent="0.3">
      <c r="A1235">
        <v>823294</v>
      </c>
      <c r="B1235">
        <v>1466</v>
      </c>
      <c r="C1235" s="1" t="s">
        <v>110</v>
      </c>
      <c r="D1235" s="7">
        <v>45261</v>
      </c>
      <c r="E1235" s="11">
        <v>0.46875</v>
      </c>
      <c r="F1235" s="15">
        <f t="shared" si="57"/>
        <v>12</v>
      </c>
      <c r="G1235" s="10" t="str">
        <f t="shared" si="58"/>
        <v>Friday</v>
      </c>
      <c r="H1235" s="9" t="str">
        <f t="shared" si="59"/>
        <v>December</v>
      </c>
      <c r="I1235" t="s">
        <v>96</v>
      </c>
      <c r="J1235" t="s">
        <v>89</v>
      </c>
      <c r="K1235">
        <v>255</v>
      </c>
      <c r="L1235" s="5" t="str">
        <f>IF(OR(K1235&lt;Answers!$C$16,Orders!K1235&gt;Answers!$C$17),"Yes","No")</f>
        <v>No</v>
      </c>
      <c r="M1235" s="14">
        <f>VLOOKUP(B1235,Customers!$A$1:$E$2501,4,0)</f>
        <v>39</v>
      </c>
    </row>
    <row r="1236" spans="1:13" x14ac:dyDescent="0.3">
      <c r="A1236">
        <v>823885</v>
      </c>
      <c r="B1236">
        <v>687</v>
      </c>
      <c r="C1236" s="1" t="s">
        <v>99</v>
      </c>
      <c r="D1236" s="7">
        <v>45054</v>
      </c>
      <c r="E1236" s="11">
        <v>36617</v>
      </c>
      <c r="F1236" s="15">
        <f t="shared" si="57"/>
        <v>5</v>
      </c>
      <c r="G1236" s="10" t="str">
        <f t="shared" si="58"/>
        <v>Monday</v>
      </c>
      <c r="H1236" s="9" t="str">
        <f t="shared" si="59"/>
        <v>May</v>
      </c>
      <c r="I1236" t="s">
        <v>190</v>
      </c>
      <c r="J1236" t="s">
        <v>93</v>
      </c>
      <c r="K1236">
        <v>5519</v>
      </c>
      <c r="L1236" s="5" t="str">
        <f>IF(OR(K1236&lt;Answers!$C$16,Orders!K1236&gt;Answers!$C$17),"Yes","No")</f>
        <v>No</v>
      </c>
      <c r="M1236" s="14">
        <f>VLOOKUP(B1236,Customers!$A$1:$E$2501,4,0)</f>
        <v>50</v>
      </c>
    </row>
    <row r="1237" spans="1:13" x14ac:dyDescent="0.3">
      <c r="A1237">
        <v>823894</v>
      </c>
      <c r="B1237">
        <v>700</v>
      </c>
      <c r="C1237" s="1" t="s">
        <v>98</v>
      </c>
      <c r="D1237" s="7">
        <v>45033</v>
      </c>
      <c r="E1237" s="11">
        <v>0.54027777777777775</v>
      </c>
      <c r="F1237" s="15">
        <f t="shared" si="57"/>
        <v>4</v>
      </c>
      <c r="G1237" s="10" t="str">
        <f t="shared" si="58"/>
        <v>Monday</v>
      </c>
      <c r="H1237" s="9" t="str">
        <f t="shared" si="59"/>
        <v>April</v>
      </c>
      <c r="I1237" t="s">
        <v>97</v>
      </c>
      <c r="J1237" t="s">
        <v>52</v>
      </c>
      <c r="K1237">
        <v>1666</v>
      </c>
      <c r="L1237" s="5" t="str">
        <f>IF(OR(K1237&lt;Answers!$C$16,Orders!K1237&gt;Answers!$C$17),"Yes","No")</f>
        <v>No</v>
      </c>
      <c r="M1237" s="14">
        <f>VLOOKUP(B1237,Customers!$A$1:$E$2501,4,0)</f>
        <v>53</v>
      </c>
    </row>
    <row r="1238" spans="1:13" x14ac:dyDescent="0.3">
      <c r="A1238">
        <v>824383</v>
      </c>
      <c r="B1238">
        <v>1728</v>
      </c>
      <c r="C1238" s="1" t="s">
        <v>99</v>
      </c>
      <c r="D1238" s="7">
        <v>44928</v>
      </c>
      <c r="E1238" s="11">
        <v>0.53333333333333333</v>
      </c>
      <c r="F1238" s="15">
        <f t="shared" si="57"/>
        <v>1</v>
      </c>
      <c r="G1238" s="10" t="str">
        <f t="shared" si="58"/>
        <v>Monday</v>
      </c>
      <c r="H1238" s="9" t="str">
        <f t="shared" si="59"/>
        <v>January</v>
      </c>
      <c r="I1238" t="s">
        <v>97</v>
      </c>
      <c r="J1238" t="s">
        <v>63</v>
      </c>
      <c r="K1238">
        <v>66</v>
      </c>
      <c r="L1238" s="5" t="str">
        <f>IF(OR(K1238&lt;Answers!$C$16,Orders!K1238&gt;Answers!$C$17),"Yes","No")</f>
        <v>No</v>
      </c>
      <c r="M1238" s="14">
        <f>VLOOKUP(B1238,Customers!$A$1:$E$2501,4,0)</f>
        <v>27</v>
      </c>
    </row>
    <row r="1239" spans="1:13" x14ac:dyDescent="0.3">
      <c r="A1239">
        <v>824598</v>
      </c>
      <c r="B1239">
        <v>189</v>
      </c>
      <c r="C1239" s="1" t="s">
        <v>98</v>
      </c>
      <c r="D1239" s="7">
        <v>45253</v>
      </c>
      <c r="E1239" s="11">
        <v>0.53402777777777777</v>
      </c>
      <c r="F1239" s="15">
        <f t="shared" si="57"/>
        <v>11</v>
      </c>
      <c r="G1239" s="10" t="str">
        <f t="shared" si="58"/>
        <v>Thursday</v>
      </c>
      <c r="H1239" s="9" t="str">
        <f t="shared" si="59"/>
        <v>November</v>
      </c>
      <c r="I1239" t="s">
        <v>95</v>
      </c>
      <c r="J1239" t="s">
        <v>26</v>
      </c>
      <c r="K1239">
        <v>5989</v>
      </c>
      <c r="L1239" s="5" t="str">
        <f>IF(OR(K1239&lt;Answers!$C$16,Orders!K1239&gt;Answers!$C$17),"Yes","No")</f>
        <v>No</v>
      </c>
      <c r="M1239" s="14">
        <f>VLOOKUP(B1239,Customers!$A$1:$E$2501,4,0)</f>
        <v>59</v>
      </c>
    </row>
    <row r="1240" spans="1:13" x14ac:dyDescent="0.3">
      <c r="A1240">
        <v>825270</v>
      </c>
      <c r="B1240">
        <v>926</v>
      </c>
      <c r="C1240" s="1" t="s">
        <v>98</v>
      </c>
      <c r="D1240" s="7">
        <v>44939</v>
      </c>
      <c r="E1240" s="11">
        <v>0.47361111111111109</v>
      </c>
      <c r="F1240" s="15">
        <f t="shared" si="57"/>
        <v>1</v>
      </c>
      <c r="G1240" s="10" t="str">
        <f t="shared" si="58"/>
        <v>Friday</v>
      </c>
      <c r="H1240" s="9" t="str">
        <f t="shared" si="59"/>
        <v>January</v>
      </c>
      <c r="I1240" t="s">
        <v>96</v>
      </c>
      <c r="J1240" t="s">
        <v>4</v>
      </c>
      <c r="K1240">
        <v>9917</v>
      </c>
      <c r="L1240" s="5" t="str">
        <f>IF(OR(K1240&lt;Answers!$C$16,Orders!K1240&gt;Answers!$C$17),"Yes","No")</f>
        <v>No</v>
      </c>
      <c r="M1240" s="14">
        <f>VLOOKUP(B1240,Customers!$A$1:$E$2501,4,0)</f>
        <v>19</v>
      </c>
    </row>
    <row r="1241" spans="1:13" x14ac:dyDescent="0.3">
      <c r="A1241">
        <v>825424</v>
      </c>
      <c r="B1241">
        <v>916</v>
      </c>
      <c r="C1241" s="1" t="s">
        <v>99</v>
      </c>
      <c r="D1241" s="7">
        <v>45094</v>
      </c>
      <c r="E1241" s="11">
        <v>0.53472222222222221</v>
      </c>
      <c r="F1241" s="15">
        <f t="shared" si="57"/>
        <v>6</v>
      </c>
      <c r="G1241" s="10" t="str">
        <f t="shared" si="58"/>
        <v>Saturday</v>
      </c>
      <c r="H1241" s="9" t="str">
        <f t="shared" si="59"/>
        <v>June</v>
      </c>
      <c r="I1241" t="s">
        <v>190</v>
      </c>
      <c r="J1241" t="s">
        <v>64</v>
      </c>
      <c r="K1241">
        <v>7143</v>
      </c>
      <c r="L1241" s="5" t="str">
        <f>IF(OR(K1241&lt;Answers!$C$16,Orders!K1241&gt;Answers!$C$17),"Yes","No")</f>
        <v>No</v>
      </c>
      <c r="M1241" s="14">
        <f>VLOOKUP(B1241,Customers!$A$1:$E$2501,4,0)</f>
        <v>61</v>
      </c>
    </row>
    <row r="1242" spans="1:13" x14ac:dyDescent="0.3">
      <c r="A1242">
        <v>829148</v>
      </c>
      <c r="B1242">
        <v>1294</v>
      </c>
      <c r="C1242" s="1" t="s">
        <v>99</v>
      </c>
      <c r="D1242" s="7">
        <v>44943</v>
      </c>
      <c r="E1242" s="11">
        <v>0.52361111111111114</v>
      </c>
      <c r="F1242" s="15">
        <f t="shared" si="57"/>
        <v>1</v>
      </c>
      <c r="G1242" s="10" t="str">
        <f t="shared" si="58"/>
        <v>Tuesday</v>
      </c>
      <c r="H1242" s="9" t="str">
        <f t="shared" si="59"/>
        <v>January</v>
      </c>
      <c r="I1242" t="s">
        <v>190</v>
      </c>
      <c r="J1242" t="s">
        <v>90</v>
      </c>
      <c r="K1242">
        <v>2908</v>
      </c>
      <c r="L1242" s="5" t="str">
        <f>IF(OR(K1242&lt;Answers!$C$16,Orders!K1242&gt;Answers!$C$17),"Yes","No")</f>
        <v>No</v>
      </c>
      <c r="M1242" s="14">
        <f>VLOOKUP(B1242,Customers!$A$1:$E$2501,4,0)</f>
        <v>54</v>
      </c>
    </row>
    <row r="1243" spans="1:13" x14ac:dyDescent="0.3">
      <c r="A1243">
        <v>829375</v>
      </c>
      <c r="B1243">
        <v>956</v>
      </c>
      <c r="C1243" s="1" t="s">
        <v>99</v>
      </c>
      <c r="D1243" s="7">
        <v>45183</v>
      </c>
      <c r="E1243" s="11">
        <v>0.51111111111111107</v>
      </c>
      <c r="F1243" s="15">
        <f t="shared" si="57"/>
        <v>9</v>
      </c>
      <c r="G1243" s="10" t="str">
        <f t="shared" si="58"/>
        <v>Thursday</v>
      </c>
      <c r="H1243" s="9" t="str">
        <f t="shared" si="59"/>
        <v>September</v>
      </c>
      <c r="I1243" t="s">
        <v>95</v>
      </c>
      <c r="J1243" t="s">
        <v>26</v>
      </c>
      <c r="K1243">
        <v>1515</v>
      </c>
      <c r="L1243" s="5" t="str">
        <f>IF(OR(K1243&lt;Answers!$C$16,Orders!K1243&gt;Answers!$C$17),"Yes","No")</f>
        <v>No</v>
      </c>
      <c r="M1243" s="14">
        <f>VLOOKUP(B1243,Customers!$A$1:$E$2501,4,0)</f>
        <v>27</v>
      </c>
    </row>
    <row r="1244" spans="1:13" x14ac:dyDescent="0.3">
      <c r="A1244">
        <v>831130</v>
      </c>
      <c r="B1244">
        <v>315</v>
      </c>
      <c r="C1244" s="1" t="s">
        <v>112</v>
      </c>
      <c r="D1244" s="7">
        <v>45180</v>
      </c>
      <c r="E1244" s="11">
        <v>0.52430555555555558</v>
      </c>
      <c r="F1244" s="15">
        <f t="shared" si="57"/>
        <v>9</v>
      </c>
      <c r="G1244" s="10" t="str">
        <f t="shared" si="58"/>
        <v>Monday</v>
      </c>
      <c r="H1244" s="9" t="str">
        <f t="shared" si="59"/>
        <v>September</v>
      </c>
      <c r="I1244" t="s">
        <v>97</v>
      </c>
      <c r="J1244" t="s">
        <v>29</v>
      </c>
      <c r="K1244">
        <v>7205</v>
      </c>
      <c r="L1244" s="5" t="str">
        <f>IF(OR(K1244&lt;Answers!$C$16,Orders!K1244&gt;Answers!$C$17),"Yes","No")</f>
        <v>No</v>
      </c>
      <c r="M1244" s="14">
        <f>VLOOKUP(B1244,Customers!$A$1:$E$2501,4,0)</f>
        <v>85</v>
      </c>
    </row>
    <row r="1245" spans="1:13" x14ac:dyDescent="0.3">
      <c r="A1245">
        <v>831821</v>
      </c>
      <c r="B1245">
        <v>609</v>
      </c>
      <c r="C1245" s="1" t="s">
        <v>98</v>
      </c>
      <c r="D1245" s="7">
        <v>45069</v>
      </c>
      <c r="E1245" s="11">
        <v>0.52430555555555558</v>
      </c>
      <c r="F1245" s="15">
        <f t="shared" si="57"/>
        <v>5</v>
      </c>
      <c r="G1245" s="10" t="str">
        <f t="shared" si="58"/>
        <v>Tuesday</v>
      </c>
      <c r="H1245" s="9" t="str">
        <f t="shared" si="59"/>
        <v>May</v>
      </c>
      <c r="I1245" t="s">
        <v>96</v>
      </c>
      <c r="J1245" t="s">
        <v>77</v>
      </c>
      <c r="K1245">
        <v>1827</v>
      </c>
      <c r="L1245" s="5" t="str">
        <f>IF(OR(K1245&lt;Answers!$C$16,Orders!K1245&gt;Answers!$C$17),"Yes","No")</f>
        <v>No</v>
      </c>
      <c r="M1245" s="14">
        <f>VLOOKUP(B1245,Customers!$A$1:$E$2501,4,0)</f>
        <v>87</v>
      </c>
    </row>
    <row r="1246" spans="1:13" x14ac:dyDescent="0.3">
      <c r="A1246">
        <v>831974</v>
      </c>
      <c r="B1246">
        <v>548</v>
      </c>
      <c r="C1246" s="1" t="s">
        <v>98</v>
      </c>
      <c r="D1246" s="7">
        <v>45286</v>
      </c>
      <c r="E1246" s="11">
        <v>0.53749999999999998</v>
      </c>
      <c r="F1246" s="15">
        <f t="shared" si="57"/>
        <v>12</v>
      </c>
      <c r="G1246" s="10" t="str">
        <f t="shared" si="58"/>
        <v>Tuesday</v>
      </c>
      <c r="H1246" s="9" t="str">
        <f t="shared" si="59"/>
        <v>December</v>
      </c>
      <c r="I1246" t="s">
        <v>97</v>
      </c>
      <c r="J1246" t="s">
        <v>42</v>
      </c>
      <c r="K1246">
        <v>6182</v>
      </c>
      <c r="L1246" s="5" t="str">
        <f>IF(OR(K1246&lt;Answers!$C$16,Orders!K1246&gt;Answers!$C$17),"Yes","No")</f>
        <v>No</v>
      </c>
      <c r="M1246" s="14">
        <f>VLOOKUP(B1246,Customers!$A$1:$E$2501,4,0)</f>
        <v>48</v>
      </c>
    </row>
    <row r="1247" spans="1:13" x14ac:dyDescent="0.3">
      <c r="A1247">
        <v>832154</v>
      </c>
      <c r="B1247">
        <v>1586</v>
      </c>
      <c r="C1247" s="1" t="s">
        <v>99</v>
      </c>
      <c r="D1247" s="7">
        <v>45061</v>
      </c>
      <c r="E1247" s="11">
        <v>0.5395833333333333</v>
      </c>
      <c r="F1247" s="15">
        <f t="shared" si="57"/>
        <v>5</v>
      </c>
      <c r="G1247" s="10" t="str">
        <f t="shared" si="58"/>
        <v>Monday</v>
      </c>
      <c r="H1247" s="9" t="str">
        <f t="shared" si="59"/>
        <v>May</v>
      </c>
      <c r="I1247" t="s">
        <v>95</v>
      </c>
      <c r="J1247" t="s">
        <v>31</v>
      </c>
      <c r="K1247">
        <v>1928</v>
      </c>
      <c r="L1247" s="5" t="str">
        <f>IF(OR(K1247&lt;Answers!$C$16,Orders!K1247&gt;Answers!$C$17),"Yes","No")</f>
        <v>No</v>
      </c>
      <c r="M1247" s="14">
        <f>VLOOKUP(B1247,Customers!$A$1:$E$2501,4,0)</f>
        <v>42</v>
      </c>
    </row>
    <row r="1248" spans="1:13" x14ac:dyDescent="0.3">
      <c r="A1248">
        <v>832361</v>
      </c>
      <c r="B1248">
        <v>1891</v>
      </c>
      <c r="C1248" s="1" t="s">
        <v>105</v>
      </c>
      <c r="D1248" s="7">
        <v>44982</v>
      </c>
      <c r="E1248" s="11">
        <v>0.53472222222222221</v>
      </c>
      <c r="F1248" s="15">
        <f t="shared" si="57"/>
        <v>2</v>
      </c>
      <c r="G1248" s="10" t="str">
        <f t="shared" si="58"/>
        <v>Saturday</v>
      </c>
      <c r="H1248" s="9" t="str">
        <f t="shared" si="59"/>
        <v>February</v>
      </c>
      <c r="I1248" t="s">
        <v>95</v>
      </c>
      <c r="J1248" t="s">
        <v>29</v>
      </c>
      <c r="K1248">
        <v>6245</v>
      </c>
      <c r="L1248" s="5" t="str">
        <f>IF(OR(K1248&lt;Answers!$C$16,Orders!K1248&gt;Answers!$C$17),"Yes","No")</f>
        <v>No</v>
      </c>
      <c r="M1248" s="14">
        <f>VLOOKUP(B1248,Customers!$A$1:$E$2501,4,0)</f>
        <v>54</v>
      </c>
    </row>
    <row r="1249" spans="1:13" x14ac:dyDescent="0.3">
      <c r="A1249">
        <v>832627</v>
      </c>
      <c r="B1249">
        <v>1634</v>
      </c>
      <c r="C1249" s="1" t="s">
        <v>104</v>
      </c>
      <c r="D1249" s="7">
        <v>45095</v>
      </c>
      <c r="E1249" s="11">
        <v>0.49722222222222223</v>
      </c>
      <c r="F1249" s="15">
        <f t="shared" si="57"/>
        <v>6</v>
      </c>
      <c r="G1249" s="10" t="str">
        <f t="shared" si="58"/>
        <v>Sunday</v>
      </c>
      <c r="H1249" s="9" t="str">
        <f t="shared" si="59"/>
        <v>June</v>
      </c>
      <c r="I1249" t="s">
        <v>95</v>
      </c>
      <c r="J1249" t="s">
        <v>73</v>
      </c>
      <c r="K1249">
        <v>1375</v>
      </c>
      <c r="L1249" s="5" t="str">
        <f>IF(OR(K1249&lt;Answers!$C$16,Orders!K1249&gt;Answers!$C$17),"Yes","No")</f>
        <v>No</v>
      </c>
      <c r="M1249" s="14">
        <f>VLOOKUP(B1249,Customers!$A$1:$E$2501,4,0)</f>
        <v>34</v>
      </c>
    </row>
    <row r="1250" spans="1:13" x14ac:dyDescent="0.3">
      <c r="A1250">
        <v>833286</v>
      </c>
      <c r="B1250">
        <v>1797</v>
      </c>
      <c r="C1250" s="1" t="s">
        <v>98</v>
      </c>
      <c r="D1250" s="7">
        <v>45276</v>
      </c>
      <c r="E1250" s="11">
        <v>0.48749999999999999</v>
      </c>
      <c r="F1250" s="15">
        <f t="shared" si="57"/>
        <v>12</v>
      </c>
      <c r="G1250" s="10" t="str">
        <f t="shared" si="58"/>
        <v>Saturday</v>
      </c>
      <c r="H1250" s="9" t="str">
        <f t="shared" si="59"/>
        <v>December</v>
      </c>
      <c r="I1250" t="s">
        <v>190</v>
      </c>
      <c r="J1250" t="s">
        <v>53</v>
      </c>
      <c r="K1250">
        <v>1274</v>
      </c>
      <c r="L1250" s="5" t="str">
        <f>IF(OR(K1250&lt;Answers!$C$16,Orders!K1250&gt;Answers!$C$17),"Yes","No")</f>
        <v>No</v>
      </c>
      <c r="M1250" s="14">
        <f>VLOOKUP(B1250,Customers!$A$1:$E$2501,4,0)</f>
        <v>45</v>
      </c>
    </row>
    <row r="1251" spans="1:13" x14ac:dyDescent="0.3">
      <c r="A1251">
        <v>833957</v>
      </c>
      <c r="B1251">
        <v>1398</v>
      </c>
      <c r="C1251" s="1" t="s">
        <v>107</v>
      </c>
      <c r="D1251" s="7">
        <v>45284</v>
      </c>
      <c r="E1251" s="11">
        <v>0.51249999999999996</v>
      </c>
      <c r="F1251" s="15">
        <f t="shared" si="57"/>
        <v>12</v>
      </c>
      <c r="G1251" s="10" t="str">
        <f t="shared" si="58"/>
        <v>Sunday</v>
      </c>
      <c r="H1251" s="9" t="str">
        <f t="shared" si="59"/>
        <v>December</v>
      </c>
      <c r="I1251" t="s">
        <v>97</v>
      </c>
      <c r="J1251" t="s">
        <v>37</v>
      </c>
      <c r="K1251">
        <v>4953</v>
      </c>
      <c r="L1251" s="5" t="str">
        <f>IF(OR(K1251&lt;Answers!$C$16,Orders!K1251&gt;Answers!$C$17),"Yes","No")</f>
        <v>No</v>
      </c>
      <c r="M1251" s="14">
        <f>VLOOKUP(B1251,Customers!$A$1:$E$2501,4,0)</f>
        <v>44</v>
      </c>
    </row>
    <row r="1252" spans="1:13" x14ac:dyDescent="0.3">
      <c r="A1252">
        <v>834746</v>
      </c>
      <c r="B1252">
        <v>1204</v>
      </c>
      <c r="C1252" s="1" t="s">
        <v>98</v>
      </c>
      <c r="D1252" s="7">
        <v>44999</v>
      </c>
      <c r="E1252" s="11">
        <v>0.53541666666666665</v>
      </c>
      <c r="F1252" s="15">
        <f t="shared" si="57"/>
        <v>3</v>
      </c>
      <c r="G1252" s="10" t="str">
        <f t="shared" si="58"/>
        <v>Tuesday</v>
      </c>
      <c r="H1252" s="9" t="str">
        <f t="shared" si="59"/>
        <v>March</v>
      </c>
      <c r="I1252" t="s">
        <v>190</v>
      </c>
      <c r="J1252" t="s">
        <v>67</v>
      </c>
      <c r="K1252">
        <v>3237</v>
      </c>
      <c r="L1252" s="5" t="str">
        <f>IF(OR(K1252&lt;Answers!$C$16,Orders!K1252&gt;Answers!$C$17),"Yes","No")</f>
        <v>No</v>
      </c>
      <c r="M1252" s="14">
        <f>VLOOKUP(B1252,Customers!$A$1:$E$2501,4,0)</f>
        <v>89</v>
      </c>
    </row>
    <row r="1253" spans="1:13" x14ac:dyDescent="0.3">
      <c r="A1253">
        <v>835376</v>
      </c>
      <c r="B1253">
        <v>1936</v>
      </c>
      <c r="C1253" s="1" t="s">
        <v>100</v>
      </c>
      <c r="D1253" s="7">
        <v>45008</v>
      </c>
      <c r="E1253" s="11">
        <v>0.51527777777777772</v>
      </c>
      <c r="F1253" s="15">
        <f t="shared" si="57"/>
        <v>3</v>
      </c>
      <c r="G1253" s="10" t="str">
        <f t="shared" si="58"/>
        <v>Thursday</v>
      </c>
      <c r="H1253" s="9" t="str">
        <f t="shared" si="59"/>
        <v>March</v>
      </c>
      <c r="I1253" t="s">
        <v>96</v>
      </c>
      <c r="J1253" t="s">
        <v>78</v>
      </c>
      <c r="K1253">
        <v>6418</v>
      </c>
      <c r="L1253" s="5" t="str">
        <f>IF(OR(K1253&lt;Answers!$C$16,Orders!K1253&gt;Answers!$C$17),"Yes","No")</f>
        <v>No</v>
      </c>
      <c r="M1253" s="14">
        <f>VLOOKUP(B1253,Customers!$A$1:$E$2501,4,0)</f>
        <v>78</v>
      </c>
    </row>
    <row r="1254" spans="1:13" x14ac:dyDescent="0.3">
      <c r="A1254">
        <v>837272</v>
      </c>
      <c r="B1254">
        <v>924</v>
      </c>
      <c r="C1254" s="1" t="s">
        <v>112</v>
      </c>
      <c r="D1254" s="7">
        <v>45023</v>
      </c>
      <c r="E1254" s="11">
        <v>0.53819444444444442</v>
      </c>
      <c r="F1254" s="15">
        <f t="shared" si="57"/>
        <v>4</v>
      </c>
      <c r="G1254" s="10" t="str">
        <f t="shared" si="58"/>
        <v>Friday</v>
      </c>
      <c r="H1254" s="9" t="str">
        <f t="shared" si="59"/>
        <v>April</v>
      </c>
      <c r="I1254" t="s">
        <v>96</v>
      </c>
      <c r="J1254" t="s">
        <v>75</v>
      </c>
      <c r="K1254">
        <v>3774</v>
      </c>
      <c r="L1254" s="5" t="str">
        <f>IF(OR(K1254&lt;Answers!$C$16,Orders!K1254&gt;Answers!$C$17),"Yes","No")</f>
        <v>No</v>
      </c>
      <c r="M1254" s="14">
        <f>VLOOKUP(B1254,Customers!$A$1:$E$2501,4,0)</f>
        <v>64</v>
      </c>
    </row>
    <row r="1255" spans="1:13" x14ac:dyDescent="0.3">
      <c r="A1255">
        <v>837273</v>
      </c>
      <c r="B1255">
        <v>226</v>
      </c>
      <c r="C1255" s="1" t="s">
        <v>98</v>
      </c>
      <c r="D1255" s="7">
        <v>45273</v>
      </c>
      <c r="E1255" s="11">
        <v>0.4777777777777778</v>
      </c>
      <c r="F1255" s="15">
        <f t="shared" si="57"/>
        <v>12</v>
      </c>
      <c r="G1255" s="10" t="str">
        <f t="shared" si="58"/>
        <v>Wednesday</v>
      </c>
      <c r="H1255" s="9" t="str">
        <f t="shared" si="59"/>
        <v>December</v>
      </c>
      <c r="I1255" t="s">
        <v>95</v>
      </c>
      <c r="J1255" t="s">
        <v>76</v>
      </c>
      <c r="K1255">
        <v>2647</v>
      </c>
      <c r="L1255" s="5" t="str">
        <f>IF(OR(K1255&lt;Answers!$C$16,Orders!K1255&gt;Answers!$C$17),"Yes","No")</f>
        <v>No</v>
      </c>
      <c r="M1255" s="14">
        <f>VLOOKUP(B1255,Customers!$A$1:$E$2501,4,0)</f>
        <v>31</v>
      </c>
    </row>
    <row r="1256" spans="1:13" x14ac:dyDescent="0.3">
      <c r="A1256">
        <v>837435</v>
      </c>
      <c r="B1256">
        <v>670</v>
      </c>
      <c r="C1256" s="1" t="s">
        <v>100</v>
      </c>
      <c r="D1256" s="7">
        <v>45173</v>
      </c>
      <c r="E1256" s="11">
        <v>0.49444444444444446</v>
      </c>
      <c r="F1256" s="15">
        <f t="shared" si="57"/>
        <v>9</v>
      </c>
      <c r="G1256" s="10" t="str">
        <f t="shared" si="58"/>
        <v>Monday</v>
      </c>
      <c r="H1256" s="9" t="str">
        <f t="shared" si="59"/>
        <v>September</v>
      </c>
      <c r="I1256" t="s">
        <v>190</v>
      </c>
      <c r="J1256" t="s">
        <v>21</v>
      </c>
      <c r="K1256">
        <v>4671</v>
      </c>
      <c r="L1256" s="5" t="str">
        <f>IF(OR(K1256&lt;Answers!$C$16,Orders!K1256&gt;Answers!$C$17),"Yes","No")</f>
        <v>No</v>
      </c>
      <c r="M1256" s="14">
        <f>VLOOKUP(B1256,Customers!$A$1:$E$2501,4,0)</f>
        <v>57</v>
      </c>
    </row>
    <row r="1257" spans="1:13" x14ac:dyDescent="0.3">
      <c r="A1257">
        <v>837592</v>
      </c>
      <c r="B1257">
        <v>1839</v>
      </c>
      <c r="C1257" s="1" t="s">
        <v>108</v>
      </c>
      <c r="D1257" s="7">
        <v>44932</v>
      </c>
      <c r="E1257" s="11">
        <v>7.8472222222222221E-2</v>
      </c>
      <c r="F1257" s="15">
        <f t="shared" si="57"/>
        <v>1</v>
      </c>
      <c r="G1257" s="10" t="str">
        <f t="shared" si="58"/>
        <v>Friday</v>
      </c>
      <c r="H1257" s="9" t="str">
        <f t="shared" si="59"/>
        <v>January</v>
      </c>
      <c r="I1257" t="s">
        <v>96</v>
      </c>
      <c r="J1257" t="s">
        <v>42</v>
      </c>
      <c r="K1257">
        <v>4917</v>
      </c>
      <c r="L1257" s="5" t="str">
        <f>IF(OR(K1257&lt;Answers!$C$16,Orders!K1257&gt;Answers!$C$17),"Yes","No")</f>
        <v>No</v>
      </c>
      <c r="M1257" s="14">
        <f>VLOOKUP(B1257,Customers!$A$1:$E$2501,4,0)</f>
        <v>33</v>
      </c>
    </row>
    <row r="1258" spans="1:13" x14ac:dyDescent="0.3">
      <c r="A1258">
        <v>837731</v>
      </c>
      <c r="B1258">
        <v>783</v>
      </c>
      <c r="C1258" s="1" t="s">
        <v>98</v>
      </c>
      <c r="D1258" s="7">
        <v>45166</v>
      </c>
      <c r="E1258" s="11">
        <v>0.47083333333333333</v>
      </c>
      <c r="F1258" s="15">
        <f t="shared" si="57"/>
        <v>8</v>
      </c>
      <c r="G1258" s="10" t="str">
        <f t="shared" si="58"/>
        <v>Monday</v>
      </c>
      <c r="H1258" s="9" t="str">
        <f t="shared" si="59"/>
        <v>August</v>
      </c>
      <c r="I1258" t="s">
        <v>95</v>
      </c>
      <c r="J1258" t="s">
        <v>3</v>
      </c>
      <c r="K1258">
        <v>3632</v>
      </c>
      <c r="L1258" s="5" t="str">
        <f>IF(OR(K1258&lt;Answers!$C$16,Orders!K1258&gt;Answers!$C$17),"Yes","No")</f>
        <v>No</v>
      </c>
      <c r="M1258" s="14">
        <f>VLOOKUP(B1258,Customers!$A$1:$E$2501,4,0)</f>
        <v>42</v>
      </c>
    </row>
    <row r="1259" spans="1:13" x14ac:dyDescent="0.3">
      <c r="A1259">
        <v>839161</v>
      </c>
      <c r="B1259">
        <v>1055</v>
      </c>
      <c r="C1259" s="1" t="s">
        <v>112</v>
      </c>
      <c r="D1259" s="7">
        <v>45160</v>
      </c>
      <c r="E1259" s="11">
        <v>0.53055555555555556</v>
      </c>
      <c r="F1259" s="15">
        <f t="shared" si="57"/>
        <v>8</v>
      </c>
      <c r="G1259" s="10" t="str">
        <f t="shared" si="58"/>
        <v>Tuesday</v>
      </c>
      <c r="H1259" s="9" t="str">
        <f t="shared" si="59"/>
        <v>August</v>
      </c>
      <c r="I1259" t="s">
        <v>96</v>
      </c>
      <c r="J1259" t="s">
        <v>80</v>
      </c>
      <c r="K1259">
        <v>9736</v>
      </c>
      <c r="L1259" s="5" t="str">
        <f>IF(OR(K1259&lt;Answers!$C$16,Orders!K1259&gt;Answers!$C$17),"Yes","No")</f>
        <v>No</v>
      </c>
      <c r="M1259" s="14">
        <f>VLOOKUP(B1259,Customers!$A$1:$E$2501,4,0)</f>
        <v>21</v>
      </c>
    </row>
    <row r="1260" spans="1:13" x14ac:dyDescent="0.3">
      <c r="A1260">
        <v>840518</v>
      </c>
      <c r="B1260">
        <v>1150</v>
      </c>
      <c r="C1260" s="1" t="s">
        <v>98</v>
      </c>
      <c r="D1260" s="7">
        <v>45194</v>
      </c>
      <c r="E1260" s="11">
        <v>0.47222222222222221</v>
      </c>
      <c r="F1260" s="15">
        <f t="shared" si="57"/>
        <v>9</v>
      </c>
      <c r="G1260" s="10" t="str">
        <f t="shared" si="58"/>
        <v>Monday</v>
      </c>
      <c r="H1260" s="9" t="str">
        <f t="shared" si="59"/>
        <v>September</v>
      </c>
      <c r="I1260" t="s">
        <v>95</v>
      </c>
      <c r="J1260" t="s">
        <v>81</v>
      </c>
      <c r="K1260">
        <v>4427</v>
      </c>
      <c r="L1260" s="5" t="str">
        <f>IF(OR(K1260&lt;Answers!$C$16,Orders!K1260&gt;Answers!$C$17),"Yes","No")</f>
        <v>No</v>
      </c>
      <c r="M1260" s="14">
        <f>VLOOKUP(B1260,Customers!$A$1:$E$2501,4,0)</f>
        <v>77</v>
      </c>
    </row>
    <row r="1261" spans="1:13" x14ac:dyDescent="0.3">
      <c r="A1261">
        <v>840743</v>
      </c>
      <c r="B1261">
        <v>736</v>
      </c>
      <c r="C1261" s="1" t="s">
        <v>98</v>
      </c>
      <c r="D1261" s="7">
        <v>45231</v>
      </c>
      <c r="E1261" s="11">
        <v>0.47569444444444442</v>
      </c>
      <c r="F1261" s="15">
        <f t="shared" si="57"/>
        <v>11</v>
      </c>
      <c r="G1261" s="10" t="str">
        <f t="shared" si="58"/>
        <v>Wednesday</v>
      </c>
      <c r="H1261" s="9" t="str">
        <f t="shared" si="59"/>
        <v>November</v>
      </c>
      <c r="I1261" t="s">
        <v>97</v>
      </c>
      <c r="J1261" t="s">
        <v>14</v>
      </c>
      <c r="K1261">
        <v>3437</v>
      </c>
      <c r="L1261" s="5" t="str">
        <f>IF(OR(K1261&lt;Answers!$C$16,Orders!K1261&gt;Answers!$C$17),"Yes","No")</f>
        <v>No</v>
      </c>
      <c r="M1261" s="14">
        <f>VLOOKUP(B1261,Customers!$A$1:$E$2501,4,0)</f>
        <v>50</v>
      </c>
    </row>
    <row r="1262" spans="1:13" x14ac:dyDescent="0.3">
      <c r="A1262">
        <v>841079</v>
      </c>
      <c r="B1262">
        <v>1350</v>
      </c>
      <c r="C1262" s="1" t="s">
        <v>104</v>
      </c>
      <c r="D1262" s="7">
        <v>45110</v>
      </c>
      <c r="E1262" s="11">
        <v>5.6944444444444443E-2</v>
      </c>
      <c r="F1262" s="15">
        <f t="shared" si="57"/>
        <v>7</v>
      </c>
      <c r="G1262" s="10" t="str">
        <f t="shared" si="58"/>
        <v>Monday</v>
      </c>
      <c r="H1262" s="9" t="str">
        <f t="shared" si="59"/>
        <v>July</v>
      </c>
      <c r="I1262" t="s">
        <v>95</v>
      </c>
      <c r="J1262" t="s">
        <v>30</v>
      </c>
      <c r="K1262">
        <v>9133</v>
      </c>
      <c r="L1262" s="5" t="str">
        <f>IF(OR(K1262&lt;Answers!$C$16,Orders!K1262&gt;Answers!$C$17),"Yes","No")</f>
        <v>No</v>
      </c>
      <c r="M1262" s="14">
        <f>VLOOKUP(B1262,Customers!$A$1:$E$2501,4,0)</f>
        <v>51</v>
      </c>
    </row>
    <row r="1263" spans="1:13" x14ac:dyDescent="0.3">
      <c r="A1263">
        <v>841572</v>
      </c>
      <c r="B1263">
        <v>622</v>
      </c>
      <c r="C1263" s="1" t="s">
        <v>112</v>
      </c>
      <c r="D1263" s="7">
        <v>44985</v>
      </c>
      <c r="E1263" s="11">
        <v>0.44166666666666665</v>
      </c>
      <c r="F1263" s="15">
        <f t="shared" si="57"/>
        <v>2</v>
      </c>
      <c r="G1263" s="10" t="str">
        <f t="shared" si="58"/>
        <v>Tuesday</v>
      </c>
      <c r="H1263" s="9" t="str">
        <f t="shared" si="59"/>
        <v>February</v>
      </c>
      <c r="I1263" t="s">
        <v>96</v>
      </c>
      <c r="J1263" t="s">
        <v>77</v>
      </c>
      <c r="K1263">
        <v>7748</v>
      </c>
      <c r="L1263" s="5" t="str">
        <f>IF(OR(K1263&lt;Answers!$C$16,Orders!K1263&gt;Answers!$C$17),"Yes","No")</f>
        <v>No</v>
      </c>
      <c r="M1263" s="14">
        <f>VLOOKUP(B1263,Customers!$A$1:$E$2501,4,0)</f>
        <v>71</v>
      </c>
    </row>
    <row r="1264" spans="1:13" x14ac:dyDescent="0.3">
      <c r="A1264">
        <v>844238</v>
      </c>
      <c r="B1264">
        <v>16</v>
      </c>
      <c r="C1264" s="1" t="s">
        <v>102</v>
      </c>
      <c r="D1264" s="7">
        <v>45131</v>
      </c>
      <c r="E1264" s="11">
        <v>0.52777777777777779</v>
      </c>
      <c r="F1264" s="15">
        <f t="shared" si="57"/>
        <v>7</v>
      </c>
      <c r="G1264" s="10" t="str">
        <f t="shared" si="58"/>
        <v>Monday</v>
      </c>
      <c r="H1264" s="9" t="str">
        <f t="shared" si="59"/>
        <v>July</v>
      </c>
      <c r="I1264" t="s">
        <v>96</v>
      </c>
      <c r="J1264" t="s">
        <v>26</v>
      </c>
      <c r="K1264">
        <v>4887</v>
      </c>
      <c r="L1264" s="5" t="str">
        <f>IF(OR(K1264&lt;Answers!$C$16,Orders!K1264&gt;Answers!$C$17),"Yes","No")</f>
        <v>No</v>
      </c>
      <c r="M1264" s="14">
        <f>VLOOKUP(B1264,Customers!$A$1:$E$2501,4,0)</f>
        <v>81</v>
      </c>
    </row>
    <row r="1265" spans="1:13" x14ac:dyDescent="0.3">
      <c r="A1265">
        <v>844243</v>
      </c>
      <c r="B1265">
        <v>1897</v>
      </c>
      <c r="C1265" s="1" t="s">
        <v>98</v>
      </c>
      <c r="D1265" s="7">
        <v>45156</v>
      </c>
      <c r="E1265" s="11">
        <v>0.44097222222222221</v>
      </c>
      <c r="F1265" s="15">
        <f t="shared" si="57"/>
        <v>8</v>
      </c>
      <c r="G1265" s="10" t="str">
        <f t="shared" si="58"/>
        <v>Friday</v>
      </c>
      <c r="H1265" s="9" t="str">
        <f t="shared" si="59"/>
        <v>August</v>
      </c>
      <c r="I1265" t="s">
        <v>95</v>
      </c>
      <c r="J1265" t="s">
        <v>38</v>
      </c>
      <c r="K1265">
        <v>911</v>
      </c>
      <c r="L1265" s="5" t="str">
        <f>IF(OR(K1265&lt;Answers!$C$16,Orders!K1265&gt;Answers!$C$17),"Yes","No")</f>
        <v>No</v>
      </c>
      <c r="M1265" s="14">
        <f>VLOOKUP(B1265,Customers!$A$1:$E$2501,4,0)</f>
        <v>28</v>
      </c>
    </row>
    <row r="1266" spans="1:13" x14ac:dyDescent="0.3">
      <c r="A1266">
        <v>844669</v>
      </c>
      <c r="B1266">
        <v>1599</v>
      </c>
      <c r="C1266" s="1" t="s">
        <v>98</v>
      </c>
      <c r="D1266" s="7">
        <v>45202</v>
      </c>
      <c r="E1266" s="11">
        <v>36658</v>
      </c>
      <c r="F1266" s="15">
        <f t="shared" si="57"/>
        <v>10</v>
      </c>
      <c r="G1266" s="10" t="str">
        <f t="shared" si="58"/>
        <v>Tuesday</v>
      </c>
      <c r="H1266" s="9" t="str">
        <f t="shared" si="59"/>
        <v>October</v>
      </c>
      <c r="I1266" t="s">
        <v>97</v>
      </c>
      <c r="J1266" t="s">
        <v>26</v>
      </c>
      <c r="K1266">
        <v>3252</v>
      </c>
      <c r="L1266" s="5" t="str">
        <f>IF(OR(K1266&lt;Answers!$C$16,Orders!K1266&gt;Answers!$C$17),"Yes","No")</f>
        <v>No</v>
      </c>
      <c r="M1266" s="14">
        <f>VLOOKUP(B1266,Customers!$A$1:$E$2501,4,0)</f>
        <v>81</v>
      </c>
    </row>
    <row r="1267" spans="1:13" x14ac:dyDescent="0.3">
      <c r="A1267">
        <v>844797</v>
      </c>
      <c r="B1267">
        <v>1785</v>
      </c>
      <c r="C1267" s="1" t="s">
        <v>105</v>
      </c>
      <c r="D1267" s="7">
        <v>45231</v>
      </c>
      <c r="E1267" s="11">
        <v>7.9166666666666663E-2</v>
      </c>
      <c r="F1267" s="15">
        <f t="shared" si="57"/>
        <v>11</v>
      </c>
      <c r="G1267" s="10" t="str">
        <f t="shared" si="58"/>
        <v>Wednesday</v>
      </c>
      <c r="H1267" s="9" t="str">
        <f t="shared" si="59"/>
        <v>November</v>
      </c>
      <c r="I1267" t="s">
        <v>190</v>
      </c>
      <c r="J1267" t="s">
        <v>26</v>
      </c>
      <c r="K1267">
        <v>4452</v>
      </c>
      <c r="L1267" s="5" t="str">
        <f>IF(OR(K1267&lt;Answers!$C$16,Orders!K1267&gt;Answers!$C$17),"Yes","No")</f>
        <v>No</v>
      </c>
      <c r="M1267" s="14">
        <f>VLOOKUP(B1267,Customers!$A$1:$E$2501,4,0)</f>
        <v>42</v>
      </c>
    </row>
    <row r="1268" spans="1:13" x14ac:dyDescent="0.3">
      <c r="A1268">
        <v>844829</v>
      </c>
      <c r="B1268">
        <v>1597</v>
      </c>
      <c r="C1268" s="1" t="s">
        <v>107</v>
      </c>
      <c r="D1268" s="7">
        <v>44963</v>
      </c>
      <c r="E1268" s="11">
        <v>0.5229166666666667</v>
      </c>
      <c r="F1268" s="15">
        <f t="shared" si="57"/>
        <v>2</v>
      </c>
      <c r="G1268" s="10" t="str">
        <f t="shared" si="58"/>
        <v>Monday</v>
      </c>
      <c r="H1268" s="9" t="str">
        <f t="shared" si="59"/>
        <v>February</v>
      </c>
      <c r="I1268" t="s">
        <v>97</v>
      </c>
      <c r="J1268" t="s">
        <v>16</v>
      </c>
      <c r="K1268">
        <v>6954</v>
      </c>
      <c r="L1268" s="5" t="str">
        <f>IF(OR(K1268&lt;Answers!$C$16,Orders!K1268&gt;Answers!$C$17),"Yes","No")</f>
        <v>No</v>
      </c>
      <c r="M1268" s="14">
        <f>VLOOKUP(B1268,Customers!$A$1:$E$2501,4,0)</f>
        <v>44</v>
      </c>
    </row>
    <row r="1269" spans="1:13" x14ac:dyDescent="0.3">
      <c r="A1269">
        <v>845718</v>
      </c>
      <c r="B1269">
        <v>90</v>
      </c>
      <c r="C1269" s="1" t="s">
        <v>98</v>
      </c>
      <c r="D1269" s="7">
        <v>44972</v>
      </c>
      <c r="E1269" s="11">
        <v>36536</v>
      </c>
      <c r="F1269" s="15">
        <f t="shared" si="57"/>
        <v>2</v>
      </c>
      <c r="G1269" s="10" t="str">
        <f t="shared" si="58"/>
        <v>Wednesday</v>
      </c>
      <c r="H1269" s="9" t="str">
        <f t="shared" si="59"/>
        <v>February</v>
      </c>
      <c r="I1269" t="s">
        <v>95</v>
      </c>
      <c r="J1269" t="s">
        <v>43</v>
      </c>
      <c r="K1269">
        <v>1208</v>
      </c>
      <c r="L1269" s="5" t="str">
        <f>IF(OR(K1269&lt;Answers!$C$16,Orders!K1269&gt;Answers!$C$17),"Yes","No")</f>
        <v>No</v>
      </c>
      <c r="M1269" s="14">
        <f>VLOOKUP(B1269,Customers!$A$1:$E$2501,4,0)</f>
        <v>48</v>
      </c>
    </row>
    <row r="1270" spans="1:13" x14ac:dyDescent="0.3">
      <c r="A1270">
        <v>845773</v>
      </c>
      <c r="B1270">
        <v>509</v>
      </c>
      <c r="C1270" s="1" t="s">
        <v>99</v>
      </c>
      <c r="D1270" s="7">
        <v>45219</v>
      </c>
      <c r="E1270" s="11">
        <v>0.52430555555555558</v>
      </c>
      <c r="F1270" s="15">
        <f t="shared" si="57"/>
        <v>10</v>
      </c>
      <c r="G1270" s="10" t="str">
        <f t="shared" si="58"/>
        <v>Friday</v>
      </c>
      <c r="H1270" s="9" t="str">
        <f t="shared" si="59"/>
        <v>October</v>
      </c>
      <c r="I1270" t="s">
        <v>95</v>
      </c>
      <c r="J1270" t="s">
        <v>80</v>
      </c>
      <c r="K1270">
        <v>1906</v>
      </c>
      <c r="L1270" s="5" t="str">
        <f>IF(OR(K1270&lt;Answers!$C$16,Orders!K1270&gt;Answers!$C$17),"Yes","No")</f>
        <v>No</v>
      </c>
      <c r="M1270" s="14">
        <f>VLOOKUP(B1270,Customers!$A$1:$E$2501,4,0)</f>
        <v>24</v>
      </c>
    </row>
    <row r="1271" spans="1:13" x14ac:dyDescent="0.3">
      <c r="A1271">
        <v>846161</v>
      </c>
      <c r="B1271">
        <v>458</v>
      </c>
      <c r="C1271" s="1" t="s">
        <v>101</v>
      </c>
      <c r="D1271" s="7">
        <v>45124</v>
      </c>
      <c r="E1271" s="11">
        <v>36597</v>
      </c>
      <c r="F1271" s="15">
        <f t="shared" si="57"/>
        <v>7</v>
      </c>
      <c r="G1271" s="10" t="str">
        <f t="shared" si="58"/>
        <v>Monday</v>
      </c>
      <c r="H1271" s="9" t="str">
        <f t="shared" si="59"/>
        <v>July</v>
      </c>
      <c r="I1271" t="s">
        <v>190</v>
      </c>
      <c r="J1271" t="s">
        <v>87</v>
      </c>
      <c r="K1271">
        <v>2523</v>
      </c>
      <c r="L1271" s="5" t="str">
        <f>IF(OR(K1271&lt;Answers!$C$16,Orders!K1271&gt;Answers!$C$17),"Yes","No")</f>
        <v>No</v>
      </c>
      <c r="M1271" s="14">
        <f>VLOOKUP(B1271,Customers!$A$1:$E$2501,4,0)</f>
        <v>60</v>
      </c>
    </row>
    <row r="1272" spans="1:13" x14ac:dyDescent="0.3">
      <c r="A1272">
        <v>846198</v>
      </c>
      <c r="B1272">
        <v>312</v>
      </c>
      <c r="C1272" s="1" t="s">
        <v>106</v>
      </c>
      <c r="D1272" s="7">
        <v>45235</v>
      </c>
      <c r="E1272" s="11">
        <v>36567</v>
      </c>
      <c r="F1272" s="15">
        <f t="shared" si="57"/>
        <v>11</v>
      </c>
      <c r="G1272" s="10" t="str">
        <f t="shared" si="58"/>
        <v>Sunday</v>
      </c>
      <c r="H1272" s="9" t="str">
        <f t="shared" si="59"/>
        <v>November</v>
      </c>
      <c r="I1272" t="s">
        <v>95</v>
      </c>
      <c r="J1272" t="s">
        <v>45</v>
      </c>
      <c r="K1272">
        <v>9762</v>
      </c>
      <c r="L1272" s="5" t="str">
        <f>IF(OR(K1272&lt;Answers!$C$16,Orders!K1272&gt;Answers!$C$17),"Yes","No")</f>
        <v>No</v>
      </c>
      <c r="M1272" s="14">
        <f>VLOOKUP(B1272,Customers!$A$1:$E$2501,4,0)</f>
        <v>38</v>
      </c>
    </row>
    <row r="1273" spans="1:13" x14ac:dyDescent="0.3">
      <c r="A1273">
        <v>846209</v>
      </c>
      <c r="B1273">
        <v>1271</v>
      </c>
      <c r="C1273" s="1" t="s">
        <v>99</v>
      </c>
      <c r="D1273" s="7">
        <v>44977</v>
      </c>
      <c r="E1273" s="11">
        <v>0.54027777777777775</v>
      </c>
      <c r="F1273" s="15">
        <f t="shared" si="57"/>
        <v>2</v>
      </c>
      <c r="G1273" s="10" t="str">
        <f t="shared" si="58"/>
        <v>Monday</v>
      </c>
      <c r="H1273" s="9" t="str">
        <f t="shared" si="59"/>
        <v>February</v>
      </c>
      <c r="I1273" t="s">
        <v>97</v>
      </c>
      <c r="J1273" t="s">
        <v>7</v>
      </c>
      <c r="K1273">
        <v>9945</v>
      </c>
      <c r="L1273" s="5" t="str">
        <f>IF(OR(K1273&lt;Answers!$C$16,Orders!K1273&gt;Answers!$C$17),"Yes","No")</f>
        <v>No</v>
      </c>
      <c r="M1273" s="14">
        <f>VLOOKUP(B1273,Customers!$A$1:$E$2501,4,0)</f>
        <v>43</v>
      </c>
    </row>
    <row r="1274" spans="1:13" x14ac:dyDescent="0.3">
      <c r="A1274">
        <v>846419</v>
      </c>
      <c r="B1274">
        <v>1731</v>
      </c>
      <c r="C1274" s="1" t="s">
        <v>104</v>
      </c>
      <c r="D1274" s="7">
        <v>45080</v>
      </c>
      <c r="E1274" s="11">
        <v>0.44444444444444442</v>
      </c>
      <c r="F1274" s="15">
        <f t="shared" si="57"/>
        <v>6</v>
      </c>
      <c r="G1274" s="10" t="str">
        <f t="shared" si="58"/>
        <v>Saturday</v>
      </c>
      <c r="H1274" s="9" t="str">
        <f t="shared" si="59"/>
        <v>June</v>
      </c>
      <c r="I1274" t="s">
        <v>96</v>
      </c>
      <c r="J1274" t="s">
        <v>89</v>
      </c>
      <c r="K1274">
        <v>3664</v>
      </c>
      <c r="L1274" s="5" t="str">
        <f>IF(OR(K1274&lt;Answers!$C$16,Orders!K1274&gt;Answers!$C$17),"Yes","No")</f>
        <v>No</v>
      </c>
      <c r="M1274" s="14">
        <f>VLOOKUP(B1274,Customers!$A$1:$E$2501,4,0)</f>
        <v>65</v>
      </c>
    </row>
    <row r="1275" spans="1:13" x14ac:dyDescent="0.3">
      <c r="A1275">
        <v>846919</v>
      </c>
      <c r="B1275">
        <v>338</v>
      </c>
      <c r="C1275" s="1" t="s">
        <v>112</v>
      </c>
      <c r="D1275" s="7">
        <v>45158</v>
      </c>
      <c r="E1275" s="11">
        <v>36709</v>
      </c>
      <c r="F1275" s="15">
        <f t="shared" si="57"/>
        <v>8</v>
      </c>
      <c r="G1275" s="10" t="str">
        <f t="shared" si="58"/>
        <v>Sunday</v>
      </c>
      <c r="H1275" s="9" t="str">
        <f t="shared" si="59"/>
        <v>August</v>
      </c>
      <c r="I1275" t="s">
        <v>97</v>
      </c>
      <c r="J1275" t="s">
        <v>42</v>
      </c>
      <c r="K1275">
        <v>2100</v>
      </c>
      <c r="L1275" s="5" t="str">
        <f>IF(OR(K1275&lt;Answers!$C$16,Orders!K1275&gt;Answers!$C$17),"Yes","No")</f>
        <v>No</v>
      </c>
      <c r="M1275" s="14">
        <f>VLOOKUP(B1275,Customers!$A$1:$E$2501,4,0)</f>
        <v>51</v>
      </c>
    </row>
    <row r="1276" spans="1:13" x14ac:dyDescent="0.3">
      <c r="A1276">
        <v>847595</v>
      </c>
      <c r="B1276">
        <v>558</v>
      </c>
      <c r="C1276" s="1" t="s">
        <v>112</v>
      </c>
      <c r="D1276" s="7">
        <v>45115</v>
      </c>
      <c r="E1276" s="11">
        <v>5.6944444444444443E-2</v>
      </c>
      <c r="F1276" s="15">
        <f t="shared" si="57"/>
        <v>7</v>
      </c>
      <c r="G1276" s="10" t="str">
        <f t="shared" si="58"/>
        <v>Saturday</v>
      </c>
      <c r="H1276" s="9" t="str">
        <f t="shared" si="59"/>
        <v>July</v>
      </c>
      <c r="I1276" t="s">
        <v>95</v>
      </c>
      <c r="J1276" t="s">
        <v>90</v>
      </c>
      <c r="K1276">
        <v>7327</v>
      </c>
      <c r="L1276" s="5" t="str">
        <f>IF(OR(K1276&lt;Answers!$C$16,Orders!K1276&gt;Answers!$C$17),"Yes","No")</f>
        <v>No</v>
      </c>
      <c r="M1276" s="14">
        <f>VLOOKUP(B1276,Customers!$A$1:$E$2501,4,0)</f>
        <v>72</v>
      </c>
    </row>
    <row r="1277" spans="1:13" x14ac:dyDescent="0.3">
      <c r="A1277">
        <v>848551</v>
      </c>
      <c r="B1277">
        <v>330</v>
      </c>
      <c r="C1277" s="1" t="s">
        <v>112</v>
      </c>
      <c r="D1277" s="7">
        <v>44951</v>
      </c>
      <c r="E1277" s="11">
        <v>36872</v>
      </c>
      <c r="F1277" s="15">
        <f t="shared" si="57"/>
        <v>1</v>
      </c>
      <c r="G1277" s="10" t="str">
        <f t="shared" si="58"/>
        <v>Wednesday</v>
      </c>
      <c r="H1277" s="9" t="str">
        <f t="shared" si="59"/>
        <v>January</v>
      </c>
      <c r="I1277" t="s">
        <v>190</v>
      </c>
      <c r="J1277" t="s">
        <v>77</v>
      </c>
      <c r="K1277">
        <v>6624</v>
      </c>
      <c r="L1277" s="5" t="str">
        <f>IF(OR(K1277&lt;Answers!$C$16,Orders!K1277&gt;Answers!$C$17),"Yes","No")</f>
        <v>No</v>
      </c>
      <c r="M1277" s="14">
        <f>VLOOKUP(B1277,Customers!$A$1:$E$2501,4,0)</f>
        <v>43</v>
      </c>
    </row>
    <row r="1278" spans="1:13" x14ac:dyDescent="0.3">
      <c r="A1278">
        <v>848868</v>
      </c>
      <c r="B1278">
        <v>1010</v>
      </c>
      <c r="C1278" s="1" t="s">
        <v>104</v>
      </c>
      <c r="D1278" s="7">
        <v>45132</v>
      </c>
      <c r="E1278" s="11">
        <v>0.48888888888888887</v>
      </c>
      <c r="F1278" s="15">
        <f t="shared" si="57"/>
        <v>7</v>
      </c>
      <c r="G1278" s="10" t="str">
        <f t="shared" si="58"/>
        <v>Tuesday</v>
      </c>
      <c r="H1278" s="9" t="str">
        <f t="shared" si="59"/>
        <v>July</v>
      </c>
      <c r="I1278" t="s">
        <v>96</v>
      </c>
      <c r="J1278" t="s">
        <v>55</v>
      </c>
      <c r="K1278">
        <v>7710</v>
      </c>
      <c r="L1278" s="5" t="str">
        <f>IF(OR(K1278&lt;Answers!$C$16,Orders!K1278&gt;Answers!$C$17),"Yes","No")</f>
        <v>No</v>
      </c>
      <c r="M1278" s="14">
        <f>VLOOKUP(B1278,Customers!$A$1:$E$2501,4,0)</f>
        <v>28</v>
      </c>
    </row>
    <row r="1279" spans="1:13" x14ac:dyDescent="0.3">
      <c r="A1279">
        <v>849992</v>
      </c>
      <c r="B1279">
        <v>445</v>
      </c>
      <c r="C1279" s="1" t="s">
        <v>98</v>
      </c>
      <c r="D1279" s="7">
        <v>44940</v>
      </c>
      <c r="E1279" s="11">
        <v>36536</v>
      </c>
      <c r="F1279" s="15">
        <f t="shared" si="57"/>
        <v>1</v>
      </c>
      <c r="G1279" s="10" t="str">
        <f t="shared" si="58"/>
        <v>Saturday</v>
      </c>
      <c r="H1279" s="9" t="str">
        <f t="shared" si="59"/>
        <v>January</v>
      </c>
      <c r="I1279" t="s">
        <v>190</v>
      </c>
      <c r="J1279" t="s">
        <v>33</v>
      </c>
      <c r="K1279">
        <v>4522</v>
      </c>
      <c r="L1279" s="5" t="str">
        <f>IF(OR(K1279&lt;Answers!$C$16,Orders!K1279&gt;Answers!$C$17),"Yes","No")</f>
        <v>No</v>
      </c>
      <c r="M1279" s="14">
        <f>VLOOKUP(B1279,Customers!$A$1:$E$2501,4,0)</f>
        <v>47</v>
      </c>
    </row>
    <row r="1280" spans="1:13" x14ac:dyDescent="0.3">
      <c r="A1280">
        <v>850051</v>
      </c>
      <c r="B1280">
        <v>1914</v>
      </c>
      <c r="C1280" s="1" t="s">
        <v>100</v>
      </c>
      <c r="D1280" s="7">
        <v>45230</v>
      </c>
      <c r="E1280" s="11">
        <v>0.4861111111111111</v>
      </c>
      <c r="F1280" s="15">
        <f t="shared" si="57"/>
        <v>10</v>
      </c>
      <c r="G1280" s="10" t="str">
        <f t="shared" si="58"/>
        <v>Tuesday</v>
      </c>
      <c r="H1280" s="9" t="str">
        <f t="shared" si="59"/>
        <v>October</v>
      </c>
      <c r="I1280" t="s">
        <v>96</v>
      </c>
      <c r="J1280" t="s">
        <v>86</v>
      </c>
      <c r="K1280">
        <v>6638</v>
      </c>
      <c r="L1280" s="5" t="str">
        <f>IF(OR(K1280&lt;Answers!$C$16,Orders!K1280&gt;Answers!$C$17),"Yes","No")</f>
        <v>No</v>
      </c>
      <c r="M1280" s="14">
        <f>VLOOKUP(B1280,Customers!$A$1:$E$2501,4,0)</f>
        <v>34</v>
      </c>
    </row>
    <row r="1281" spans="1:13" x14ac:dyDescent="0.3">
      <c r="A1281">
        <v>850122</v>
      </c>
      <c r="B1281">
        <v>1112</v>
      </c>
      <c r="C1281" s="1" t="s">
        <v>104</v>
      </c>
      <c r="D1281" s="7">
        <v>45096</v>
      </c>
      <c r="E1281" s="11">
        <v>7.1527777777777773E-2</v>
      </c>
      <c r="F1281" s="15">
        <f t="shared" si="57"/>
        <v>6</v>
      </c>
      <c r="G1281" s="10" t="str">
        <f t="shared" si="58"/>
        <v>Monday</v>
      </c>
      <c r="H1281" s="9" t="str">
        <f t="shared" si="59"/>
        <v>June</v>
      </c>
      <c r="I1281" t="s">
        <v>97</v>
      </c>
      <c r="J1281" t="s">
        <v>39</v>
      </c>
      <c r="K1281">
        <v>8887</v>
      </c>
      <c r="L1281" s="5" t="str">
        <f>IF(OR(K1281&lt;Answers!$C$16,Orders!K1281&gt;Answers!$C$17),"Yes","No")</f>
        <v>No</v>
      </c>
      <c r="M1281" s="14">
        <f>VLOOKUP(B1281,Customers!$A$1:$E$2501,4,0)</f>
        <v>30</v>
      </c>
    </row>
    <row r="1282" spans="1:13" x14ac:dyDescent="0.3">
      <c r="A1282">
        <v>850897</v>
      </c>
      <c r="B1282">
        <v>297</v>
      </c>
      <c r="C1282" s="1" t="s">
        <v>112</v>
      </c>
      <c r="D1282" s="7">
        <v>45056</v>
      </c>
      <c r="E1282" s="11">
        <v>0.52777777777777779</v>
      </c>
      <c r="F1282" s="15">
        <f t="shared" si="57"/>
        <v>5</v>
      </c>
      <c r="G1282" s="10" t="str">
        <f t="shared" si="58"/>
        <v>Wednesday</v>
      </c>
      <c r="H1282" s="9" t="str">
        <f t="shared" si="59"/>
        <v>May</v>
      </c>
      <c r="I1282" t="s">
        <v>190</v>
      </c>
      <c r="J1282" t="s">
        <v>68</v>
      </c>
      <c r="K1282">
        <v>975</v>
      </c>
      <c r="L1282" s="5" t="str">
        <f>IF(OR(K1282&lt;Answers!$C$16,Orders!K1282&gt;Answers!$C$17),"Yes","No")</f>
        <v>No</v>
      </c>
      <c r="M1282" s="14">
        <f>VLOOKUP(B1282,Customers!$A$1:$E$2501,4,0)</f>
        <v>25</v>
      </c>
    </row>
    <row r="1283" spans="1:13" x14ac:dyDescent="0.3">
      <c r="A1283">
        <v>854481</v>
      </c>
      <c r="B1283">
        <v>712</v>
      </c>
      <c r="C1283" s="1" t="s">
        <v>98</v>
      </c>
      <c r="D1283" s="7">
        <v>45278</v>
      </c>
      <c r="E1283" s="11">
        <v>0.44722222222222224</v>
      </c>
      <c r="F1283" s="15">
        <f t="shared" ref="F1283:F1346" si="60">MONTH(D1283)</f>
        <v>12</v>
      </c>
      <c r="G1283" s="10" t="str">
        <f t="shared" ref="G1283:G1346" si="61">TEXT(D1283,"dddd")</f>
        <v>Monday</v>
      </c>
      <c r="H1283" s="9" t="str">
        <f t="shared" ref="H1283:H1346" si="62">TEXT(D1283,"mmmm")</f>
        <v>December</v>
      </c>
      <c r="I1283" t="s">
        <v>95</v>
      </c>
      <c r="J1283" t="s">
        <v>25</v>
      </c>
      <c r="K1283">
        <v>1745</v>
      </c>
      <c r="L1283" s="5" t="str">
        <f>IF(OR(K1283&lt;Answers!$C$16,Orders!K1283&gt;Answers!$C$17),"Yes","No")</f>
        <v>No</v>
      </c>
      <c r="M1283" s="14">
        <f>VLOOKUP(B1283,Customers!$A$1:$E$2501,4,0)</f>
        <v>90</v>
      </c>
    </row>
    <row r="1284" spans="1:13" x14ac:dyDescent="0.3">
      <c r="A1284">
        <v>857496</v>
      </c>
      <c r="B1284">
        <v>597</v>
      </c>
      <c r="C1284" s="1" t="s">
        <v>99</v>
      </c>
      <c r="D1284" s="7">
        <v>44997</v>
      </c>
      <c r="E1284" s="11">
        <v>36617</v>
      </c>
      <c r="F1284" s="15">
        <f t="shared" si="60"/>
        <v>3</v>
      </c>
      <c r="G1284" s="10" t="str">
        <f t="shared" si="61"/>
        <v>Sunday</v>
      </c>
      <c r="H1284" s="9" t="str">
        <f t="shared" si="62"/>
        <v>March</v>
      </c>
      <c r="I1284" t="s">
        <v>97</v>
      </c>
      <c r="J1284" t="s">
        <v>26</v>
      </c>
      <c r="K1284">
        <v>4933</v>
      </c>
      <c r="L1284" s="5" t="str">
        <f>IF(OR(K1284&lt;Answers!$C$16,Orders!K1284&gt;Answers!$C$17),"Yes","No")</f>
        <v>No</v>
      </c>
      <c r="M1284" s="14">
        <f>VLOOKUP(B1284,Customers!$A$1:$E$2501,4,0)</f>
        <v>43</v>
      </c>
    </row>
    <row r="1285" spans="1:13" x14ac:dyDescent="0.3">
      <c r="A1285">
        <v>858083</v>
      </c>
      <c r="B1285">
        <v>569</v>
      </c>
      <c r="C1285" s="1" t="s">
        <v>98</v>
      </c>
      <c r="D1285" s="7">
        <v>45004</v>
      </c>
      <c r="E1285" s="11">
        <v>0.51736111111111116</v>
      </c>
      <c r="F1285" s="15">
        <f t="shared" si="60"/>
        <v>3</v>
      </c>
      <c r="G1285" s="10" t="str">
        <f t="shared" si="61"/>
        <v>Sunday</v>
      </c>
      <c r="H1285" s="9" t="str">
        <f t="shared" si="62"/>
        <v>March</v>
      </c>
      <c r="I1285" t="s">
        <v>97</v>
      </c>
      <c r="J1285" t="s">
        <v>80</v>
      </c>
      <c r="K1285">
        <v>5575</v>
      </c>
      <c r="L1285" s="5" t="str">
        <f>IF(OR(K1285&lt;Answers!$C$16,Orders!K1285&gt;Answers!$C$17),"Yes","No")</f>
        <v>No</v>
      </c>
      <c r="M1285" s="14">
        <f>VLOOKUP(B1285,Customers!$A$1:$E$2501,4,0)</f>
        <v>62</v>
      </c>
    </row>
    <row r="1286" spans="1:13" x14ac:dyDescent="0.3">
      <c r="A1286">
        <v>858912</v>
      </c>
      <c r="B1286">
        <v>1105</v>
      </c>
      <c r="C1286" s="1" t="s">
        <v>99</v>
      </c>
      <c r="D1286" s="7">
        <v>45086</v>
      </c>
      <c r="E1286" s="11">
        <v>36750</v>
      </c>
      <c r="F1286" s="15">
        <f t="shared" si="60"/>
        <v>6</v>
      </c>
      <c r="G1286" s="10" t="str">
        <f t="shared" si="61"/>
        <v>Friday</v>
      </c>
      <c r="H1286" s="9" t="str">
        <f t="shared" si="62"/>
        <v>June</v>
      </c>
      <c r="I1286" t="s">
        <v>95</v>
      </c>
      <c r="J1286" t="s">
        <v>70</v>
      </c>
      <c r="K1286">
        <v>4421</v>
      </c>
      <c r="L1286" s="5" t="str">
        <f>IF(OR(K1286&lt;Answers!$C$16,Orders!K1286&gt;Answers!$C$17),"Yes","No")</f>
        <v>No</v>
      </c>
      <c r="M1286" s="14">
        <f>VLOOKUP(B1286,Customers!$A$1:$E$2501,4,0)</f>
        <v>79</v>
      </c>
    </row>
    <row r="1287" spans="1:13" x14ac:dyDescent="0.3">
      <c r="A1287">
        <v>859166</v>
      </c>
      <c r="B1287">
        <v>982</v>
      </c>
      <c r="C1287" s="1" t="s">
        <v>98</v>
      </c>
      <c r="D1287" s="7">
        <v>45103</v>
      </c>
      <c r="E1287" s="11">
        <v>36770</v>
      </c>
      <c r="F1287" s="15">
        <f t="shared" si="60"/>
        <v>6</v>
      </c>
      <c r="G1287" s="10" t="str">
        <f t="shared" si="61"/>
        <v>Monday</v>
      </c>
      <c r="H1287" s="9" t="str">
        <f t="shared" si="62"/>
        <v>June</v>
      </c>
      <c r="I1287" t="s">
        <v>96</v>
      </c>
      <c r="J1287" t="s">
        <v>6</v>
      </c>
      <c r="K1287">
        <v>34</v>
      </c>
      <c r="L1287" s="5" t="str">
        <f>IF(OR(K1287&lt;Answers!$C$16,Orders!K1287&gt;Answers!$C$17),"Yes","No")</f>
        <v>No</v>
      </c>
      <c r="M1287" s="14">
        <f>VLOOKUP(B1287,Customers!$A$1:$E$2501,4,0)</f>
        <v>35</v>
      </c>
    </row>
    <row r="1288" spans="1:13" x14ac:dyDescent="0.3">
      <c r="A1288">
        <v>860417</v>
      </c>
      <c r="B1288">
        <v>1546</v>
      </c>
      <c r="C1288" s="1" t="s">
        <v>103</v>
      </c>
      <c r="D1288" s="7">
        <v>45280</v>
      </c>
      <c r="E1288" s="11">
        <v>5.0694444444444445E-2</v>
      </c>
      <c r="F1288" s="15">
        <f t="shared" si="60"/>
        <v>12</v>
      </c>
      <c r="G1288" s="10" t="str">
        <f t="shared" si="61"/>
        <v>Wednesday</v>
      </c>
      <c r="H1288" s="9" t="str">
        <f t="shared" si="62"/>
        <v>December</v>
      </c>
      <c r="I1288" t="s">
        <v>97</v>
      </c>
      <c r="J1288" t="s">
        <v>26</v>
      </c>
      <c r="K1288">
        <v>2332</v>
      </c>
      <c r="L1288" s="5" t="str">
        <f>IF(OR(K1288&lt;Answers!$C$16,Orders!K1288&gt;Answers!$C$17),"Yes","No")</f>
        <v>No</v>
      </c>
      <c r="M1288" s="14">
        <f>VLOOKUP(B1288,Customers!$A$1:$E$2501,4,0)</f>
        <v>33</v>
      </c>
    </row>
    <row r="1289" spans="1:13" x14ac:dyDescent="0.3">
      <c r="A1289">
        <v>860659</v>
      </c>
      <c r="B1289">
        <v>1635</v>
      </c>
      <c r="C1289" s="1" t="s">
        <v>98</v>
      </c>
      <c r="D1289" s="7">
        <v>45247</v>
      </c>
      <c r="E1289" s="11">
        <v>0.53888888888888886</v>
      </c>
      <c r="F1289" s="15">
        <f t="shared" si="60"/>
        <v>11</v>
      </c>
      <c r="G1289" s="10" t="str">
        <f t="shared" si="61"/>
        <v>Friday</v>
      </c>
      <c r="H1289" s="9" t="str">
        <f t="shared" si="62"/>
        <v>November</v>
      </c>
      <c r="I1289" t="s">
        <v>96</v>
      </c>
      <c r="J1289" t="s">
        <v>64</v>
      </c>
      <c r="K1289">
        <v>9192</v>
      </c>
      <c r="L1289" s="5" t="str">
        <f>IF(OR(K1289&lt;Answers!$C$16,Orders!K1289&gt;Answers!$C$17),"Yes","No")</f>
        <v>No</v>
      </c>
      <c r="M1289" s="14">
        <f>VLOOKUP(B1289,Customers!$A$1:$E$2501,4,0)</f>
        <v>41</v>
      </c>
    </row>
    <row r="1290" spans="1:13" x14ac:dyDescent="0.3">
      <c r="A1290">
        <v>861120</v>
      </c>
      <c r="B1290">
        <v>1274</v>
      </c>
      <c r="C1290" s="1" t="s">
        <v>98</v>
      </c>
      <c r="D1290" s="7">
        <v>45100</v>
      </c>
      <c r="E1290" s="11">
        <v>0.5180555555555556</v>
      </c>
      <c r="F1290" s="15">
        <f t="shared" si="60"/>
        <v>6</v>
      </c>
      <c r="G1290" s="10" t="str">
        <f t="shared" si="61"/>
        <v>Friday</v>
      </c>
      <c r="H1290" s="9" t="str">
        <f t="shared" si="62"/>
        <v>June</v>
      </c>
      <c r="I1290" t="s">
        <v>190</v>
      </c>
      <c r="J1290" t="s">
        <v>23</v>
      </c>
      <c r="K1290">
        <v>6826</v>
      </c>
      <c r="L1290" s="5" t="str">
        <f>IF(OR(K1290&lt;Answers!$C$16,Orders!K1290&gt;Answers!$C$17),"Yes","No")</f>
        <v>No</v>
      </c>
      <c r="M1290" s="14">
        <f>VLOOKUP(B1290,Customers!$A$1:$E$2501,4,0)</f>
        <v>78</v>
      </c>
    </row>
    <row r="1291" spans="1:13" x14ac:dyDescent="0.3">
      <c r="A1291">
        <v>861875</v>
      </c>
      <c r="B1291">
        <v>1398</v>
      </c>
      <c r="C1291" s="1" t="s">
        <v>107</v>
      </c>
      <c r="D1291" s="7">
        <v>45058</v>
      </c>
      <c r="E1291" s="11">
        <v>0.53055555555555556</v>
      </c>
      <c r="F1291" s="15">
        <f t="shared" si="60"/>
        <v>5</v>
      </c>
      <c r="G1291" s="10" t="str">
        <f t="shared" si="61"/>
        <v>Friday</v>
      </c>
      <c r="H1291" s="9" t="str">
        <f t="shared" si="62"/>
        <v>May</v>
      </c>
      <c r="I1291" t="s">
        <v>190</v>
      </c>
      <c r="J1291" t="s">
        <v>51</v>
      </c>
      <c r="K1291">
        <v>3774</v>
      </c>
      <c r="L1291" s="5" t="str">
        <f>IF(OR(K1291&lt;Answers!$C$16,Orders!K1291&gt;Answers!$C$17),"Yes","No")</f>
        <v>No</v>
      </c>
      <c r="M1291" s="14">
        <f>VLOOKUP(B1291,Customers!$A$1:$E$2501,4,0)</f>
        <v>44</v>
      </c>
    </row>
    <row r="1292" spans="1:13" x14ac:dyDescent="0.3">
      <c r="A1292">
        <v>862127</v>
      </c>
      <c r="B1292">
        <v>1388</v>
      </c>
      <c r="C1292" s="1" t="s">
        <v>105</v>
      </c>
      <c r="D1292" s="7">
        <v>45140</v>
      </c>
      <c r="E1292" s="11">
        <v>5.7638888888888892E-2</v>
      </c>
      <c r="F1292" s="15">
        <f t="shared" si="60"/>
        <v>8</v>
      </c>
      <c r="G1292" s="10" t="str">
        <f t="shared" si="61"/>
        <v>Wednesday</v>
      </c>
      <c r="H1292" s="9" t="str">
        <f t="shared" si="62"/>
        <v>August</v>
      </c>
      <c r="I1292" t="s">
        <v>190</v>
      </c>
      <c r="J1292" t="s">
        <v>29</v>
      </c>
      <c r="K1292">
        <v>891</v>
      </c>
      <c r="L1292" s="5" t="str">
        <f>IF(OR(K1292&lt;Answers!$C$16,Orders!K1292&gt;Answers!$C$17),"Yes","No")</f>
        <v>No</v>
      </c>
      <c r="M1292" s="14">
        <f>VLOOKUP(B1292,Customers!$A$1:$E$2501,4,0)</f>
        <v>65</v>
      </c>
    </row>
    <row r="1293" spans="1:13" x14ac:dyDescent="0.3">
      <c r="A1293">
        <v>862595</v>
      </c>
      <c r="B1293">
        <v>1734</v>
      </c>
      <c r="C1293" s="1" t="s">
        <v>98</v>
      </c>
      <c r="D1293" s="7">
        <v>45101</v>
      </c>
      <c r="E1293" s="11">
        <v>0.53194444444444444</v>
      </c>
      <c r="F1293" s="15">
        <f t="shared" si="60"/>
        <v>6</v>
      </c>
      <c r="G1293" s="10" t="str">
        <f t="shared" si="61"/>
        <v>Saturday</v>
      </c>
      <c r="H1293" s="9" t="str">
        <f t="shared" si="62"/>
        <v>June</v>
      </c>
      <c r="I1293" t="s">
        <v>95</v>
      </c>
      <c r="J1293" t="s">
        <v>26</v>
      </c>
      <c r="K1293">
        <v>2309</v>
      </c>
      <c r="L1293" s="5" t="str">
        <f>IF(OR(K1293&lt;Answers!$C$16,Orders!K1293&gt;Answers!$C$17),"Yes","No")</f>
        <v>No</v>
      </c>
      <c r="M1293" s="14">
        <f>VLOOKUP(B1293,Customers!$A$1:$E$2501,4,0)</f>
        <v>62</v>
      </c>
    </row>
    <row r="1294" spans="1:13" x14ac:dyDescent="0.3">
      <c r="A1294">
        <v>862868</v>
      </c>
      <c r="B1294">
        <v>872</v>
      </c>
      <c r="C1294" s="1" t="s">
        <v>99</v>
      </c>
      <c r="D1294" s="7">
        <v>45094</v>
      </c>
      <c r="E1294" s="11">
        <v>0.47222222222222221</v>
      </c>
      <c r="F1294" s="15">
        <f t="shared" si="60"/>
        <v>6</v>
      </c>
      <c r="G1294" s="10" t="str">
        <f t="shared" si="61"/>
        <v>Saturday</v>
      </c>
      <c r="H1294" s="9" t="str">
        <f t="shared" si="62"/>
        <v>June</v>
      </c>
      <c r="I1294" t="s">
        <v>96</v>
      </c>
      <c r="J1294" t="s">
        <v>42</v>
      </c>
      <c r="K1294">
        <v>735</v>
      </c>
      <c r="L1294" s="5" t="str">
        <f>IF(OR(K1294&lt;Answers!$C$16,Orders!K1294&gt;Answers!$C$17),"Yes","No")</f>
        <v>No</v>
      </c>
      <c r="M1294" s="14">
        <f>VLOOKUP(B1294,Customers!$A$1:$E$2501,4,0)</f>
        <v>20</v>
      </c>
    </row>
    <row r="1295" spans="1:13" x14ac:dyDescent="0.3">
      <c r="A1295">
        <v>863202</v>
      </c>
      <c r="B1295">
        <v>1103</v>
      </c>
      <c r="C1295" s="1" t="s">
        <v>112</v>
      </c>
      <c r="D1295" s="7">
        <v>45159</v>
      </c>
      <c r="E1295" s="11">
        <v>5.8333333333333334E-2</v>
      </c>
      <c r="F1295" s="15">
        <f t="shared" si="60"/>
        <v>8</v>
      </c>
      <c r="G1295" s="10" t="str">
        <f t="shared" si="61"/>
        <v>Monday</v>
      </c>
      <c r="H1295" s="9" t="str">
        <f t="shared" si="62"/>
        <v>August</v>
      </c>
      <c r="I1295" t="s">
        <v>190</v>
      </c>
      <c r="J1295" t="s">
        <v>26</v>
      </c>
      <c r="K1295">
        <v>5136</v>
      </c>
      <c r="L1295" s="5" t="str">
        <f>IF(OR(K1295&lt;Answers!$C$16,Orders!K1295&gt;Answers!$C$17),"Yes","No")</f>
        <v>No</v>
      </c>
      <c r="M1295" s="14">
        <f>VLOOKUP(B1295,Customers!$A$1:$E$2501,4,0)</f>
        <v>32</v>
      </c>
    </row>
    <row r="1296" spans="1:13" x14ac:dyDescent="0.3">
      <c r="A1296">
        <v>863877</v>
      </c>
      <c r="B1296">
        <v>1217</v>
      </c>
      <c r="C1296" s="1" t="s">
        <v>98</v>
      </c>
      <c r="D1296" s="7">
        <v>45275</v>
      </c>
      <c r="E1296" s="11">
        <v>0.53819444444444442</v>
      </c>
      <c r="F1296" s="15">
        <f t="shared" si="60"/>
        <v>12</v>
      </c>
      <c r="G1296" s="10" t="str">
        <f t="shared" si="61"/>
        <v>Friday</v>
      </c>
      <c r="H1296" s="9" t="str">
        <f t="shared" si="62"/>
        <v>December</v>
      </c>
      <c r="I1296" t="s">
        <v>97</v>
      </c>
      <c r="J1296" t="s">
        <v>24</v>
      </c>
      <c r="K1296">
        <v>509</v>
      </c>
      <c r="L1296" s="5" t="str">
        <f>IF(OR(K1296&lt;Answers!$C$16,Orders!K1296&gt;Answers!$C$17),"Yes","No")</f>
        <v>No</v>
      </c>
      <c r="M1296" s="14">
        <f>VLOOKUP(B1296,Customers!$A$1:$E$2501,4,0)</f>
        <v>68</v>
      </c>
    </row>
    <row r="1297" spans="1:13" x14ac:dyDescent="0.3">
      <c r="A1297">
        <v>864174</v>
      </c>
      <c r="B1297">
        <v>1442</v>
      </c>
      <c r="C1297" s="1" t="s">
        <v>98</v>
      </c>
      <c r="D1297" s="7">
        <v>45027</v>
      </c>
      <c r="E1297" s="11">
        <v>7.2916666666666671E-2</v>
      </c>
      <c r="F1297" s="15">
        <f t="shared" si="60"/>
        <v>4</v>
      </c>
      <c r="G1297" s="10" t="str">
        <f t="shared" si="61"/>
        <v>Tuesday</v>
      </c>
      <c r="H1297" s="9" t="str">
        <f t="shared" si="62"/>
        <v>April</v>
      </c>
      <c r="I1297" t="s">
        <v>97</v>
      </c>
      <c r="J1297" t="s">
        <v>79</v>
      </c>
      <c r="K1297">
        <v>1523</v>
      </c>
      <c r="L1297" s="5" t="str">
        <f>IF(OR(K1297&lt;Answers!$C$16,Orders!K1297&gt;Answers!$C$17),"Yes","No")</f>
        <v>No</v>
      </c>
      <c r="M1297" s="14">
        <f>VLOOKUP(B1297,Customers!$A$1:$E$2501,4,0)</f>
        <v>82</v>
      </c>
    </row>
    <row r="1298" spans="1:13" x14ac:dyDescent="0.3">
      <c r="A1298">
        <v>864744</v>
      </c>
      <c r="B1298">
        <v>709</v>
      </c>
      <c r="C1298" s="1" t="s">
        <v>99</v>
      </c>
      <c r="D1298" s="7">
        <v>44955</v>
      </c>
      <c r="E1298" s="11">
        <v>0.48541666666666666</v>
      </c>
      <c r="F1298" s="15">
        <f t="shared" si="60"/>
        <v>1</v>
      </c>
      <c r="G1298" s="10" t="str">
        <f t="shared" si="61"/>
        <v>Sunday</v>
      </c>
      <c r="H1298" s="9" t="str">
        <f t="shared" si="62"/>
        <v>January</v>
      </c>
      <c r="I1298" t="s">
        <v>95</v>
      </c>
      <c r="J1298" t="s">
        <v>53</v>
      </c>
      <c r="K1298">
        <v>2914</v>
      </c>
      <c r="L1298" s="5" t="str">
        <f>IF(OR(K1298&lt;Answers!$C$16,Orders!K1298&gt;Answers!$C$17),"Yes","No")</f>
        <v>No</v>
      </c>
      <c r="M1298" s="14">
        <f>VLOOKUP(B1298,Customers!$A$1:$E$2501,4,0)</f>
        <v>58</v>
      </c>
    </row>
    <row r="1299" spans="1:13" x14ac:dyDescent="0.3">
      <c r="A1299">
        <v>864760</v>
      </c>
      <c r="B1299">
        <v>1777</v>
      </c>
      <c r="C1299" s="1" t="s">
        <v>98</v>
      </c>
      <c r="D1299" s="7">
        <v>45195</v>
      </c>
      <c r="E1299" s="11">
        <v>5.0694444444444445E-2</v>
      </c>
      <c r="F1299" s="15">
        <f t="shared" si="60"/>
        <v>9</v>
      </c>
      <c r="G1299" s="10" t="str">
        <f t="shared" si="61"/>
        <v>Tuesday</v>
      </c>
      <c r="H1299" s="9" t="str">
        <f t="shared" si="62"/>
        <v>September</v>
      </c>
      <c r="I1299" t="s">
        <v>96</v>
      </c>
      <c r="J1299" t="s">
        <v>56</v>
      </c>
      <c r="K1299">
        <v>1621</v>
      </c>
      <c r="L1299" s="5" t="str">
        <f>IF(OR(K1299&lt;Answers!$C$16,Orders!K1299&gt;Answers!$C$17),"Yes","No")</f>
        <v>No</v>
      </c>
      <c r="M1299" s="14">
        <f>VLOOKUP(B1299,Customers!$A$1:$E$2501,4,0)</f>
        <v>58</v>
      </c>
    </row>
    <row r="1300" spans="1:13" x14ac:dyDescent="0.3">
      <c r="A1300">
        <v>865712</v>
      </c>
      <c r="B1300">
        <v>599</v>
      </c>
      <c r="C1300" s="1" t="s">
        <v>100</v>
      </c>
      <c r="D1300" s="7">
        <v>45174</v>
      </c>
      <c r="E1300" s="11">
        <v>6.8750000000000006E-2</v>
      </c>
      <c r="F1300" s="15">
        <f t="shared" si="60"/>
        <v>9</v>
      </c>
      <c r="G1300" s="10" t="str">
        <f t="shared" si="61"/>
        <v>Tuesday</v>
      </c>
      <c r="H1300" s="9" t="str">
        <f t="shared" si="62"/>
        <v>September</v>
      </c>
      <c r="I1300" t="s">
        <v>97</v>
      </c>
      <c r="J1300" t="s">
        <v>33</v>
      </c>
      <c r="K1300">
        <v>8680</v>
      </c>
      <c r="L1300" s="5" t="str">
        <f>IF(OR(K1300&lt;Answers!$C$16,Orders!K1300&gt;Answers!$C$17),"Yes","No")</f>
        <v>No</v>
      </c>
      <c r="M1300" s="14">
        <f>VLOOKUP(B1300,Customers!$A$1:$E$2501,4,0)</f>
        <v>32</v>
      </c>
    </row>
    <row r="1301" spans="1:13" x14ac:dyDescent="0.3">
      <c r="A1301">
        <v>866403</v>
      </c>
      <c r="B1301">
        <v>417</v>
      </c>
      <c r="C1301" s="1" t="s">
        <v>99</v>
      </c>
      <c r="D1301" s="7">
        <v>45109</v>
      </c>
      <c r="E1301" s="11">
        <v>0.49166666666666664</v>
      </c>
      <c r="F1301" s="15">
        <f t="shared" si="60"/>
        <v>7</v>
      </c>
      <c r="G1301" s="10" t="str">
        <f t="shared" si="61"/>
        <v>Sunday</v>
      </c>
      <c r="H1301" s="9" t="str">
        <f t="shared" si="62"/>
        <v>July</v>
      </c>
      <c r="I1301" t="s">
        <v>97</v>
      </c>
      <c r="J1301" t="s">
        <v>59</v>
      </c>
      <c r="K1301">
        <v>122</v>
      </c>
      <c r="L1301" s="5" t="str">
        <f>IF(OR(K1301&lt;Answers!$C$16,Orders!K1301&gt;Answers!$C$17),"Yes","No")</f>
        <v>No</v>
      </c>
      <c r="M1301" s="14">
        <f>VLOOKUP(B1301,Customers!$A$1:$E$2501,4,0)</f>
        <v>53</v>
      </c>
    </row>
    <row r="1302" spans="1:13" x14ac:dyDescent="0.3">
      <c r="A1302">
        <v>867012</v>
      </c>
      <c r="B1302">
        <v>557</v>
      </c>
      <c r="C1302" s="1" t="s">
        <v>108</v>
      </c>
      <c r="D1302" s="7">
        <v>44983</v>
      </c>
      <c r="E1302" s="11">
        <v>0.51111111111111107</v>
      </c>
      <c r="F1302" s="15">
        <f t="shared" si="60"/>
        <v>2</v>
      </c>
      <c r="G1302" s="10" t="str">
        <f t="shared" si="61"/>
        <v>Sunday</v>
      </c>
      <c r="H1302" s="9" t="str">
        <f t="shared" si="62"/>
        <v>February</v>
      </c>
      <c r="I1302" t="s">
        <v>96</v>
      </c>
      <c r="J1302" t="s">
        <v>62</v>
      </c>
      <c r="K1302">
        <v>7900</v>
      </c>
      <c r="L1302" s="5" t="str">
        <f>IF(OR(K1302&lt;Answers!$C$16,Orders!K1302&gt;Answers!$C$17),"Yes","No")</f>
        <v>No</v>
      </c>
      <c r="M1302" s="14">
        <f>VLOOKUP(B1302,Customers!$A$1:$E$2501,4,0)</f>
        <v>84</v>
      </c>
    </row>
    <row r="1303" spans="1:13" x14ac:dyDescent="0.3">
      <c r="A1303">
        <v>867108</v>
      </c>
      <c r="B1303">
        <v>1310</v>
      </c>
      <c r="C1303" s="1" t="s">
        <v>104</v>
      </c>
      <c r="D1303" s="7">
        <v>45147</v>
      </c>
      <c r="E1303" s="11">
        <v>5.2777777777777778E-2</v>
      </c>
      <c r="F1303" s="15">
        <f t="shared" si="60"/>
        <v>8</v>
      </c>
      <c r="G1303" s="10" t="str">
        <f t="shared" si="61"/>
        <v>Wednesday</v>
      </c>
      <c r="H1303" s="9" t="str">
        <f t="shared" si="62"/>
        <v>August</v>
      </c>
      <c r="I1303" t="s">
        <v>95</v>
      </c>
      <c r="J1303" t="s">
        <v>3</v>
      </c>
      <c r="K1303">
        <v>9531</v>
      </c>
      <c r="L1303" s="5" t="str">
        <f>IF(OR(K1303&lt;Answers!$C$16,Orders!K1303&gt;Answers!$C$17),"Yes","No")</f>
        <v>No</v>
      </c>
      <c r="M1303" s="14">
        <f>VLOOKUP(B1303,Customers!$A$1:$E$2501,4,0)</f>
        <v>70</v>
      </c>
    </row>
    <row r="1304" spans="1:13" x14ac:dyDescent="0.3">
      <c r="A1304">
        <v>867276</v>
      </c>
      <c r="B1304">
        <v>360</v>
      </c>
      <c r="C1304" s="1" t="s">
        <v>112</v>
      </c>
      <c r="D1304" s="7">
        <v>44938</v>
      </c>
      <c r="E1304" s="11">
        <v>36586</v>
      </c>
      <c r="F1304" s="15">
        <f t="shared" si="60"/>
        <v>1</v>
      </c>
      <c r="G1304" s="10" t="str">
        <f t="shared" si="61"/>
        <v>Thursday</v>
      </c>
      <c r="H1304" s="9" t="str">
        <f t="shared" si="62"/>
        <v>January</v>
      </c>
      <c r="I1304" t="s">
        <v>96</v>
      </c>
      <c r="J1304" t="s">
        <v>46</v>
      </c>
      <c r="K1304">
        <v>6820</v>
      </c>
      <c r="L1304" s="5" t="str">
        <f>IF(OR(K1304&lt;Answers!$C$16,Orders!K1304&gt;Answers!$C$17),"Yes","No")</f>
        <v>No</v>
      </c>
      <c r="M1304" s="14">
        <f>VLOOKUP(B1304,Customers!$A$1:$E$2501,4,0)</f>
        <v>32</v>
      </c>
    </row>
    <row r="1305" spans="1:13" x14ac:dyDescent="0.3">
      <c r="A1305">
        <v>867382</v>
      </c>
      <c r="B1305">
        <v>1007</v>
      </c>
      <c r="C1305" s="1" t="s">
        <v>98</v>
      </c>
      <c r="D1305" s="7">
        <v>44954</v>
      </c>
      <c r="E1305" s="11">
        <v>0.52430555555555558</v>
      </c>
      <c r="F1305" s="15">
        <f t="shared" si="60"/>
        <v>1</v>
      </c>
      <c r="G1305" s="10" t="str">
        <f t="shared" si="61"/>
        <v>Saturday</v>
      </c>
      <c r="H1305" s="9" t="str">
        <f t="shared" si="62"/>
        <v>January</v>
      </c>
      <c r="I1305" t="s">
        <v>97</v>
      </c>
      <c r="J1305" t="s">
        <v>59</v>
      </c>
      <c r="K1305">
        <v>2855</v>
      </c>
      <c r="L1305" s="5" t="str">
        <f>IF(OR(K1305&lt;Answers!$C$16,Orders!K1305&gt;Answers!$C$17),"Yes","No")</f>
        <v>No</v>
      </c>
      <c r="M1305" s="14">
        <f>VLOOKUP(B1305,Customers!$A$1:$E$2501,4,0)</f>
        <v>62</v>
      </c>
    </row>
    <row r="1306" spans="1:13" x14ac:dyDescent="0.3">
      <c r="A1306">
        <v>869884</v>
      </c>
      <c r="B1306">
        <v>1701</v>
      </c>
      <c r="C1306" s="1" t="s">
        <v>98</v>
      </c>
      <c r="D1306" s="7">
        <v>45256</v>
      </c>
      <c r="E1306" s="11">
        <v>0.53402777777777777</v>
      </c>
      <c r="F1306" s="15">
        <f t="shared" si="60"/>
        <v>11</v>
      </c>
      <c r="G1306" s="10" t="str">
        <f t="shared" si="61"/>
        <v>Sunday</v>
      </c>
      <c r="H1306" s="9" t="str">
        <f t="shared" si="62"/>
        <v>November</v>
      </c>
      <c r="I1306" t="s">
        <v>190</v>
      </c>
      <c r="J1306" t="s">
        <v>60</v>
      </c>
      <c r="K1306">
        <v>4256</v>
      </c>
      <c r="L1306" s="5" t="str">
        <f>IF(OR(K1306&lt;Answers!$C$16,Orders!K1306&gt;Answers!$C$17),"Yes","No")</f>
        <v>No</v>
      </c>
      <c r="M1306" s="14">
        <f>VLOOKUP(B1306,Customers!$A$1:$E$2501,4,0)</f>
        <v>41</v>
      </c>
    </row>
    <row r="1307" spans="1:13" x14ac:dyDescent="0.3">
      <c r="A1307">
        <v>869899</v>
      </c>
      <c r="B1307">
        <v>623</v>
      </c>
      <c r="C1307" s="1" t="s">
        <v>112</v>
      </c>
      <c r="D1307" s="7">
        <v>45097</v>
      </c>
      <c r="E1307" s="11">
        <v>6.7361111111111108E-2</v>
      </c>
      <c r="F1307" s="15">
        <f t="shared" si="60"/>
        <v>6</v>
      </c>
      <c r="G1307" s="10" t="str">
        <f t="shared" si="61"/>
        <v>Tuesday</v>
      </c>
      <c r="H1307" s="9" t="str">
        <f t="shared" si="62"/>
        <v>June</v>
      </c>
      <c r="I1307" t="s">
        <v>96</v>
      </c>
      <c r="J1307" t="s">
        <v>39</v>
      </c>
      <c r="K1307">
        <v>7143</v>
      </c>
      <c r="L1307" s="5" t="str">
        <f>IF(OR(K1307&lt;Answers!$C$16,Orders!K1307&gt;Answers!$C$17),"Yes","No")</f>
        <v>No</v>
      </c>
      <c r="M1307" s="14">
        <f>VLOOKUP(B1307,Customers!$A$1:$E$2501,4,0)</f>
        <v>80</v>
      </c>
    </row>
    <row r="1308" spans="1:13" x14ac:dyDescent="0.3">
      <c r="A1308">
        <v>870081</v>
      </c>
      <c r="B1308">
        <v>1667</v>
      </c>
      <c r="C1308" s="1" t="s">
        <v>99</v>
      </c>
      <c r="D1308" s="7">
        <v>45099</v>
      </c>
      <c r="E1308" s="11">
        <v>0.5395833333333333</v>
      </c>
      <c r="F1308" s="15">
        <f t="shared" si="60"/>
        <v>6</v>
      </c>
      <c r="G1308" s="10" t="str">
        <f t="shared" si="61"/>
        <v>Thursday</v>
      </c>
      <c r="H1308" s="9" t="str">
        <f t="shared" si="62"/>
        <v>June</v>
      </c>
      <c r="I1308" t="s">
        <v>97</v>
      </c>
      <c r="J1308" t="s">
        <v>80</v>
      </c>
      <c r="K1308">
        <v>1176</v>
      </c>
      <c r="L1308" s="5" t="str">
        <f>IF(OR(K1308&lt;Answers!$C$16,Orders!K1308&gt;Answers!$C$17),"Yes","No")</f>
        <v>No</v>
      </c>
      <c r="M1308" s="14">
        <f>VLOOKUP(B1308,Customers!$A$1:$E$2501,4,0)</f>
        <v>73</v>
      </c>
    </row>
    <row r="1309" spans="1:13" x14ac:dyDescent="0.3">
      <c r="A1309">
        <v>870973</v>
      </c>
      <c r="B1309">
        <v>429</v>
      </c>
      <c r="C1309" s="1" t="s">
        <v>108</v>
      </c>
      <c r="D1309" s="7">
        <v>45225</v>
      </c>
      <c r="E1309" s="11">
        <v>0.47430555555555554</v>
      </c>
      <c r="F1309" s="15">
        <f t="shared" si="60"/>
        <v>10</v>
      </c>
      <c r="G1309" s="10" t="str">
        <f t="shared" si="61"/>
        <v>Thursday</v>
      </c>
      <c r="H1309" s="9" t="str">
        <f t="shared" si="62"/>
        <v>October</v>
      </c>
      <c r="I1309" t="s">
        <v>96</v>
      </c>
      <c r="J1309" t="s">
        <v>17</v>
      </c>
      <c r="K1309">
        <v>2728</v>
      </c>
      <c r="L1309" s="5" t="str">
        <f>IF(OR(K1309&lt;Answers!$C$16,Orders!K1309&gt;Answers!$C$17),"Yes","No")</f>
        <v>No</v>
      </c>
      <c r="M1309" s="14">
        <f>VLOOKUP(B1309,Customers!$A$1:$E$2501,4,0)</f>
        <v>58</v>
      </c>
    </row>
    <row r="1310" spans="1:13" x14ac:dyDescent="0.3">
      <c r="A1310">
        <v>871057</v>
      </c>
      <c r="B1310">
        <v>52</v>
      </c>
      <c r="C1310" s="1" t="s">
        <v>98</v>
      </c>
      <c r="D1310" s="7">
        <v>45240</v>
      </c>
      <c r="E1310" s="11">
        <v>0.51944444444444449</v>
      </c>
      <c r="F1310" s="15">
        <f t="shared" si="60"/>
        <v>11</v>
      </c>
      <c r="G1310" s="10" t="str">
        <f t="shared" si="61"/>
        <v>Friday</v>
      </c>
      <c r="H1310" s="9" t="str">
        <f t="shared" si="62"/>
        <v>November</v>
      </c>
      <c r="I1310" t="s">
        <v>97</v>
      </c>
      <c r="J1310" t="s">
        <v>27</v>
      </c>
      <c r="K1310">
        <v>6246</v>
      </c>
      <c r="L1310" s="5" t="str">
        <f>IF(OR(K1310&lt;Answers!$C$16,Orders!K1310&gt;Answers!$C$17),"Yes","No")</f>
        <v>No</v>
      </c>
      <c r="M1310" s="14">
        <f>VLOOKUP(B1310,Customers!$A$1:$E$2501,4,0)</f>
        <v>75</v>
      </c>
    </row>
    <row r="1311" spans="1:13" x14ac:dyDescent="0.3">
      <c r="A1311">
        <v>871258</v>
      </c>
      <c r="B1311">
        <v>461</v>
      </c>
      <c r="C1311" s="1" t="s">
        <v>100</v>
      </c>
      <c r="D1311" s="7">
        <v>45072</v>
      </c>
      <c r="E1311" s="11">
        <v>0.52361111111111114</v>
      </c>
      <c r="F1311" s="15">
        <f t="shared" si="60"/>
        <v>5</v>
      </c>
      <c r="G1311" s="10" t="str">
        <f t="shared" si="61"/>
        <v>Friday</v>
      </c>
      <c r="H1311" s="9" t="str">
        <f t="shared" si="62"/>
        <v>May</v>
      </c>
      <c r="I1311" t="s">
        <v>96</v>
      </c>
      <c r="J1311" t="s">
        <v>30</v>
      </c>
      <c r="K1311">
        <v>2564</v>
      </c>
      <c r="L1311" s="5" t="str">
        <f>IF(OR(K1311&lt;Answers!$C$16,Orders!K1311&gt;Answers!$C$17),"Yes","No")</f>
        <v>No</v>
      </c>
      <c r="M1311" s="14">
        <f>VLOOKUP(B1311,Customers!$A$1:$E$2501,4,0)</f>
        <v>77</v>
      </c>
    </row>
    <row r="1312" spans="1:13" x14ac:dyDescent="0.3">
      <c r="A1312">
        <v>872066</v>
      </c>
      <c r="B1312">
        <v>510</v>
      </c>
      <c r="C1312" s="1" t="s">
        <v>98</v>
      </c>
      <c r="D1312" s="7">
        <v>45203</v>
      </c>
      <c r="E1312" s="11">
        <v>0.49236111111111114</v>
      </c>
      <c r="F1312" s="15">
        <f t="shared" si="60"/>
        <v>10</v>
      </c>
      <c r="G1312" s="10" t="str">
        <f t="shared" si="61"/>
        <v>Wednesday</v>
      </c>
      <c r="H1312" s="9" t="str">
        <f t="shared" si="62"/>
        <v>October</v>
      </c>
      <c r="I1312" t="s">
        <v>96</v>
      </c>
      <c r="J1312" t="s">
        <v>26</v>
      </c>
      <c r="K1312">
        <v>7354</v>
      </c>
      <c r="L1312" s="5" t="str">
        <f>IF(OR(K1312&lt;Answers!$C$16,Orders!K1312&gt;Answers!$C$17),"Yes","No")</f>
        <v>No</v>
      </c>
      <c r="M1312" s="14">
        <f>VLOOKUP(B1312,Customers!$A$1:$E$2501,4,0)</f>
        <v>39</v>
      </c>
    </row>
    <row r="1313" spans="1:13" x14ac:dyDescent="0.3">
      <c r="A1313">
        <v>874091</v>
      </c>
      <c r="B1313">
        <v>1236</v>
      </c>
      <c r="C1313" s="1" t="s">
        <v>98</v>
      </c>
      <c r="D1313" s="7">
        <v>45121</v>
      </c>
      <c r="E1313" s="11">
        <v>0.47083333333333333</v>
      </c>
      <c r="F1313" s="15">
        <f t="shared" si="60"/>
        <v>7</v>
      </c>
      <c r="G1313" s="10" t="str">
        <f t="shared" si="61"/>
        <v>Friday</v>
      </c>
      <c r="H1313" s="9" t="str">
        <f t="shared" si="62"/>
        <v>July</v>
      </c>
      <c r="I1313" t="s">
        <v>97</v>
      </c>
      <c r="J1313" t="s">
        <v>38</v>
      </c>
      <c r="K1313">
        <v>54</v>
      </c>
      <c r="L1313" s="5" t="str">
        <f>IF(OR(K1313&lt;Answers!$C$16,Orders!K1313&gt;Answers!$C$17),"Yes","No")</f>
        <v>No</v>
      </c>
      <c r="M1313" s="14">
        <f>VLOOKUP(B1313,Customers!$A$1:$E$2501,4,0)</f>
        <v>47</v>
      </c>
    </row>
    <row r="1314" spans="1:13" x14ac:dyDescent="0.3">
      <c r="A1314">
        <v>875005</v>
      </c>
      <c r="B1314">
        <v>1859</v>
      </c>
      <c r="C1314" s="1" t="s">
        <v>104</v>
      </c>
      <c r="D1314" s="7">
        <v>45100</v>
      </c>
      <c r="E1314" s="11">
        <v>0.48680555555555555</v>
      </c>
      <c r="F1314" s="15">
        <f t="shared" si="60"/>
        <v>6</v>
      </c>
      <c r="G1314" s="10" t="str">
        <f t="shared" si="61"/>
        <v>Friday</v>
      </c>
      <c r="H1314" s="9" t="str">
        <f t="shared" si="62"/>
        <v>June</v>
      </c>
      <c r="I1314" t="s">
        <v>97</v>
      </c>
      <c r="J1314" t="s">
        <v>26</v>
      </c>
      <c r="K1314">
        <v>538</v>
      </c>
      <c r="L1314" s="5" t="str">
        <f>IF(OR(K1314&lt;Answers!$C$16,Orders!K1314&gt;Answers!$C$17),"Yes","No")</f>
        <v>No</v>
      </c>
      <c r="M1314" s="14">
        <f>VLOOKUP(B1314,Customers!$A$1:$E$2501,4,0)</f>
        <v>64</v>
      </c>
    </row>
    <row r="1315" spans="1:13" x14ac:dyDescent="0.3">
      <c r="A1315">
        <v>875015</v>
      </c>
      <c r="B1315">
        <v>849</v>
      </c>
      <c r="C1315" s="1" t="s">
        <v>99</v>
      </c>
      <c r="D1315" s="7">
        <v>45162</v>
      </c>
      <c r="E1315" s="11">
        <v>0.51736111111111116</v>
      </c>
      <c r="F1315" s="15">
        <f t="shared" si="60"/>
        <v>8</v>
      </c>
      <c r="G1315" s="10" t="str">
        <f t="shared" si="61"/>
        <v>Thursday</v>
      </c>
      <c r="H1315" s="9" t="str">
        <f t="shared" si="62"/>
        <v>August</v>
      </c>
      <c r="I1315" t="s">
        <v>190</v>
      </c>
      <c r="J1315" t="s">
        <v>42</v>
      </c>
      <c r="K1315">
        <v>235</v>
      </c>
      <c r="L1315" s="5" t="str">
        <f>IF(OR(K1315&lt;Answers!$C$16,Orders!K1315&gt;Answers!$C$17),"Yes","No")</f>
        <v>No</v>
      </c>
      <c r="M1315" s="14">
        <f>VLOOKUP(B1315,Customers!$A$1:$E$2501,4,0)</f>
        <v>19</v>
      </c>
    </row>
    <row r="1316" spans="1:13" x14ac:dyDescent="0.3">
      <c r="A1316">
        <v>875813</v>
      </c>
      <c r="B1316">
        <v>1088</v>
      </c>
      <c r="C1316" s="1" t="s">
        <v>112</v>
      </c>
      <c r="D1316" s="7">
        <v>45046</v>
      </c>
      <c r="E1316" s="11">
        <v>36842</v>
      </c>
      <c r="F1316" s="15">
        <f t="shared" si="60"/>
        <v>4</v>
      </c>
      <c r="G1316" s="10" t="str">
        <f t="shared" si="61"/>
        <v>Sunday</v>
      </c>
      <c r="H1316" s="9" t="str">
        <f t="shared" si="62"/>
        <v>April</v>
      </c>
      <c r="I1316" t="s">
        <v>190</v>
      </c>
      <c r="J1316" t="s">
        <v>61</v>
      </c>
      <c r="K1316">
        <v>1198</v>
      </c>
      <c r="L1316" s="5" t="str">
        <f>IF(OR(K1316&lt;Answers!$C$16,Orders!K1316&gt;Answers!$C$17),"Yes","No")</f>
        <v>No</v>
      </c>
      <c r="M1316" s="14">
        <f>VLOOKUP(B1316,Customers!$A$1:$E$2501,4,0)</f>
        <v>72</v>
      </c>
    </row>
    <row r="1317" spans="1:13" x14ac:dyDescent="0.3">
      <c r="A1317">
        <v>875981</v>
      </c>
      <c r="B1317">
        <v>991</v>
      </c>
      <c r="C1317" s="1" t="s">
        <v>98</v>
      </c>
      <c r="D1317" s="7">
        <v>45174</v>
      </c>
      <c r="E1317" s="11">
        <v>5.1388888888888887E-2</v>
      </c>
      <c r="F1317" s="15">
        <f t="shared" si="60"/>
        <v>9</v>
      </c>
      <c r="G1317" s="10" t="str">
        <f t="shared" si="61"/>
        <v>Tuesday</v>
      </c>
      <c r="H1317" s="9" t="str">
        <f t="shared" si="62"/>
        <v>September</v>
      </c>
      <c r="I1317" t="s">
        <v>97</v>
      </c>
      <c r="J1317" t="s">
        <v>20</v>
      </c>
      <c r="K1317">
        <v>6567</v>
      </c>
      <c r="L1317" s="5" t="str">
        <f>IF(OR(K1317&lt;Answers!$C$16,Orders!K1317&gt;Answers!$C$17),"Yes","No")</f>
        <v>No</v>
      </c>
      <c r="M1317" s="14">
        <f>VLOOKUP(B1317,Customers!$A$1:$E$2501,4,0)</f>
        <v>55</v>
      </c>
    </row>
    <row r="1318" spans="1:13" x14ac:dyDescent="0.3">
      <c r="A1318">
        <v>876685</v>
      </c>
      <c r="B1318">
        <v>1061</v>
      </c>
      <c r="C1318" s="1" t="s">
        <v>101</v>
      </c>
      <c r="D1318" s="7">
        <v>44950</v>
      </c>
      <c r="E1318" s="11">
        <v>0.48541666666666666</v>
      </c>
      <c r="F1318" s="15">
        <f t="shared" si="60"/>
        <v>1</v>
      </c>
      <c r="G1318" s="10" t="str">
        <f t="shared" si="61"/>
        <v>Tuesday</v>
      </c>
      <c r="H1318" s="9" t="str">
        <f t="shared" si="62"/>
        <v>January</v>
      </c>
      <c r="I1318" t="s">
        <v>97</v>
      </c>
      <c r="J1318" t="s">
        <v>65</v>
      </c>
      <c r="K1318">
        <v>3507</v>
      </c>
      <c r="L1318" s="5" t="str">
        <f>IF(OR(K1318&lt;Answers!$C$16,Orders!K1318&gt;Answers!$C$17),"Yes","No")</f>
        <v>No</v>
      </c>
      <c r="M1318" s="14">
        <f>VLOOKUP(B1318,Customers!$A$1:$E$2501,4,0)</f>
        <v>61</v>
      </c>
    </row>
    <row r="1319" spans="1:13" x14ac:dyDescent="0.3">
      <c r="A1319">
        <v>877616</v>
      </c>
      <c r="B1319">
        <v>1685</v>
      </c>
      <c r="C1319" s="1" t="s">
        <v>98</v>
      </c>
      <c r="D1319" s="7">
        <v>45279</v>
      </c>
      <c r="E1319" s="11">
        <v>0.5</v>
      </c>
      <c r="F1319" s="15">
        <f t="shared" si="60"/>
        <v>12</v>
      </c>
      <c r="G1319" s="10" t="str">
        <f t="shared" si="61"/>
        <v>Tuesday</v>
      </c>
      <c r="H1319" s="9" t="str">
        <f t="shared" si="62"/>
        <v>December</v>
      </c>
      <c r="I1319" t="s">
        <v>96</v>
      </c>
      <c r="J1319" t="s">
        <v>28</v>
      </c>
      <c r="K1319">
        <v>6662</v>
      </c>
      <c r="L1319" s="5" t="str">
        <f>IF(OR(K1319&lt;Answers!$C$16,Orders!K1319&gt;Answers!$C$17),"Yes","No")</f>
        <v>No</v>
      </c>
      <c r="M1319" s="14">
        <f>VLOOKUP(B1319,Customers!$A$1:$E$2501,4,0)</f>
        <v>74</v>
      </c>
    </row>
    <row r="1320" spans="1:13" x14ac:dyDescent="0.3">
      <c r="A1320">
        <v>877681</v>
      </c>
      <c r="B1320">
        <v>166</v>
      </c>
      <c r="C1320" s="1" t="s">
        <v>99</v>
      </c>
      <c r="D1320" s="7">
        <v>45284</v>
      </c>
      <c r="E1320" s="11">
        <v>7.8472222222222221E-2</v>
      </c>
      <c r="F1320" s="15">
        <f t="shared" si="60"/>
        <v>12</v>
      </c>
      <c r="G1320" s="10" t="str">
        <f t="shared" si="61"/>
        <v>Sunday</v>
      </c>
      <c r="H1320" s="9" t="str">
        <f t="shared" si="62"/>
        <v>December</v>
      </c>
      <c r="I1320" t="s">
        <v>95</v>
      </c>
      <c r="J1320" t="s">
        <v>8</v>
      </c>
      <c r="K1320">
        <v>2796</v>
      </c>
      <c r="L1320" s="5" t="str">
        <f>IF(OR(K1320&lt;Answers!$C$16,Orders!K1320&gt;Answers!$C$17),"Yes","No")</f>
        <v>No</v>
      </c>
      <c r="M1320" s="14">
        <f>VLOOKUP(B1320,Customers!$A$1:$E$2501,4,0)</f>
        <v>27</v>
      </c>
    </row>
    <row r="1321" spans="1:13" x14ac:dyDescent="0.3">
      <c r="A1321">
        <v>877784</v>
      </c>
      <c r="B1321">
        <v>422</v>
      </c>
      <c r="C1321" s="1" t="s">
        <v>112</v>
      </c>
      <c r="D1321" s="7">
        <v>44984</v>
      </c>
      <c r="E1321" s="11">
        <v>0.4513888888888889</v>
      </c>
      <c r="F1321" s="15">
        <f t="shared" si="60"/>
        <v>2</v>
      </c>
      <c r="G1321" s="10" t="str">
        <f t="shared" si="61"/>
        <v>Monday</v>
      </c>
      <c r="H1321" s="9" t="str">
        <f t="shared" si="62"/>
        <v>February</v>
      </c>
      <c r="I1321" t="s">
        <v>95</v>
      </c>
      <c r="J1321" t="s">
        <v>29</v>
      </c>
      <c r="K1321">
        <v>9049</v>
      </c>
      <c r="L1321" s="5" t="str">
        <f>IF(OR(K1321&lt;Answers!$C$16,Orders!K1321&gt;Answers!$C$17),"Yes","No")</f>
        <v>No</v>
      </c>
      <c r="M1321" s="14">
        <f>VLOOKUP(B1321,Customers!$A$1:$E$2501,4,0)</f>
        <v>64</v>
      </c>
    </row>
    <row r="1322" spans="1:13" x14ac:dyDescent="0.3">
      <c r="A1322">
        <v>878611</v>
      </c>
      <c r="B1322">
        <v>1668</v>
      </c>
      <c r="C1322" s="1" t="s">
        <v>98</v>
      </c>
      <c r="D1322" s="7">
        <v>45254</v>
      </c>
      <c r="E1322" s="11">
        <v>0.53680555555555554</v>
      </c>
      <c r="F1322" s="15">
        <f t="shared" si="60"/>
        <v>11</v>
      </c>
      <c r="G1322" s="10" t="str">
        <f t="shared" si="61"/>
        <v>Friday</v>
      </c>
      <c r="H1322" s="9" t="str">
        <f t="shared" si="62"/>
        <v>November</v>
      </c>
      <c r="I1322" t="s">
        <v>190</v>
      </c>
      <c r="J1322" t="s">
        <v>66</v>
      </c>
      <c r="K1322">
        <v>3591</v>
      </c>
      <c r="L1322" s="5" t="str">
        <f>IF(OR(K1322&lt;Answers!$C$16,Orders!K1322&gt;Answers!$C$17),"Yes","No")</f>
        <v>No</v>
      </c>
      <c r="M1322" s="14">
        <f>VLOOKUP(B1322,Customers!$A$1:$E$2501,4,0)</f>
        <v>68</v>
      </c>
    </row>
    <row r="1323" spans="1:13" x14ac:dyDescent="0.3">
      <c r="A1323">
        <v>878658</v>
      </c>
      <c r="B1323">
        <v>780</v>
      </c>
      <c r="C1323" s="1" t="s">
        <v>112</v>
      </c>
      <c r="D1323" s="7">
        <v>45217</v>
      </c>
      <c r="E1323" s="11">
        <v>6.1111111111111109E-2</v>
      </c>
      <c r="F1323" s="15">
        <f t="shared" si="60"/>
        <v>10</v>
      </c>
      <c r="G1323" s="10" t="str">
        <f t="shared" si="61"/>
        <v>Wednesday</v>
      </c>
      <c r="H1323" s="9" t="str">
        <f t="shared" si="62"/>
        <v>October</v>
      </c>
      <c r="I1323" t="s">
        <v>95</v>
      </c>
      <c r="J1323" t="s">
        <v>52</v>
      </c>
      <c r="K1323">
        <v>3114</v>
      </c>
      <c r="L1323" s="5" t="str">
        <f>IF(OR(K1323&lt;Answers!$C$16,Orders!K1323&gt;Answers!$C$17),"Yes","No")</f>
        <v>No</v>
      </c>
      <c r="M1323" s="14">
        <f>VLOOKUP(B1323,Customers!$A$1:$E$2501,4,0)</f>
        <v>43</v>
      </c>
    </row>
    <row r="1324" spans="1:13" x14ac:dyDescent="0.3">
      <c r="A1324">
        <v>878771</v>
      </c>
      <c r="B1324">
        <v>194</v>
      </c>
      <c r="C1324" s="1" t="s">
        <v>112</v>
      </c>
      <c r="D1324" s="7">
        <v>45128</v>
      </c>
      <c r="E1324" s="11">
        <v>8.1944444444444445E-2</v>
      </c>
      <c r="F1324" s="15">
        <f t="shared" si="60"/>
        <v>7</v>
      </c>
      <c r="G1324" s="10" t="str">
        <f t="shared" si="61"/>
        <v>Friday</v>
      </c>
      <c r="H1324" s="9" t="str">
        <f t="shared" si="62"/>
        <v>July</v>
      </c>
      <c r="I1324" t="s">
        <v>190</v>
      </c>
      <c r="J1324" t="s">
        <v>32</v>
      </c>
      <c r="K1324">
        <v>7705</v>
      </c>
      <c r="L1324" s="5" t="str">
        <f>IF(OR(K1324&lt;Answers!$C$16,Orders!K1324&gt;Answers!$C$17),"Yes","No")</f>
        <v>No</v>
      </c>
      <c r="M1324" s="14">
        <f>VLOOKUP(B1324,Customers!$A$1:$E$2501,4,0)</f>
        <v>64</v>
      </c>
    </row>
    <row r="1325" spans="1:13" x14ac:dyDescent="0.3">
      <c r="A1325">
        <v>879541</v>
      </c>
      <c r="B1325">
        <v>907</v>
      </c>
      <c r="C1325" s="1" t="s">
        <v>107</v>
      </c>
      <c r="D1325" s="7">
        <v>45164</v>
      </c>
      <c r="E1325" s="11">
        <v>0.45694444444444443</v>
      </c>
      <c r="F1325" s="15">
        <f t="shared" si="60"/>
        <v>8</v>
      </c>
      <c r="G1325" s="10" t="str">
        <f t="shared" si="61"/>
        <v>Saturday</v>
      </c>
      <c r="H1325" s="9" t="str">
        <f t="shared" si="62"/>
        <v>August</v>
      </c>
      <c r="I1325" t="s">
        <v>190</v>
      </c>
      <c r="J1325" t="s">
        <v>33</v>
      </c>
      <c r="K1325">
        <v>1465</v>
      </c>
      <c r="L1325" s="5" t="str">
        <f>IF(OR(K1325&lt;Answers!$C$16,Orders!K1325&gt;Answers!$C$17),"Yes","No")</f>
        <v>No</v>
      </c>
      <c r="M1325" s="14">
        <f>VLOOKUP(B1325,Customers!$A$1:$E$2501,4,0)</f>
        <v>55</v>
      </c>
    </row>
    <row r="1326" spans="1:13" x14ac:dyDescent="0.3">
      <c r="A1326">
        <v>879819</v>
      </c>
      <c r="B1326">
        <v>286</v>
      </c>
      <c r="C1326" s="1" t="s">
        <v>98</v>
      </c>
      <c r="D1326" s="7">
        <v>45085</v>
      </c>
      <c r="E1326" s="11">
        <v>0.53541666666666665</v>
      </c>
      <c r="F1326" s="15">
        <f t="shared" si="60"/>
        <v>6</v>
      </c>
      <c r="G1326" s="10" t="str">
        <f t="shared" si="61"/>
        <v>Thursday</v>
      </c>
      <c r="H1326" s="9" t="str">
        <f t="shared" si="62"/>
        <v>June</v>
      </c>
      <c r="I1326" t="s">
        <v>95</v>
      </c>
      <c r="J1326" t="s">
        <v>67</v>
      </c>
      <c r="K1326">
        <v>6894</v>
      </c>
      <c r="L1326" s="5" t="str">
        <f>IF(OR(K1326&lt;Answers!$C$16,Orders!K1326&gt;Answers!$C$17),"Yes","No")</f>
        <v>No</v>
      </c>
      <c r="M1326" s="14">
        <f>VLOOKUP(B1326,Customers!$A$1:$E$2501,4,0)</f>
        <v>79</v>
      </c>
    </row>
    <row r="1327" spans="1:13" x14ac:dyDescent="0.3">
      <c r="A1327">
        <v>881346</v>
      </c>
      <c r="B1327">
        <v>327</v>
      </c>
      <c r="C1327" s="1" t="s">
        <v>112</v>
      </c>
      <c r="D1327" s="7">
        <v>45279</v>
      </c>
      <c r="E1327" s="11">
        <v>0.4861111111111111</v>
      </c>
      <c r="F1327" s="15">
        <f t="shared" si="60"/>
        <v>12</v>
      </c>
      <c r="G1327" s="10" t="str">
        <f t="shared" si="61"/>
        <v>Tuesday</v>
      </c>
      <c r="H1327" s="9" t="str">
        <f t="shared" si="62"/>
        <v>December</v>
      </c>
      <c r="I1327" t="s">
        <v>95</v>
      </c>
      <c r="J1327" t="s">
        <v>68</v>
      </c>
      <c r="K1327">
        <v>8816</v>
      </c>
      <c r="L1327" s="5" t="str">
        <f>IF(OR(K1327&lt;Answers!$C$16,Orders!K1327&gt;Answers!$C$17),"Yes","No")</f>
        <v>No</v>
      </c>
      <c r="M1327" s="14">
        <f>VLOOKUP(B1327,Customers!$A$1:$E$2501,4,0)</f>
        <v>32</v>
      </c>
    </row>
    <row r="1328" spans="1:13" x14ac:dyDescent="0.3">
      <c r="A1328">
        <v>882347</v>
      </c>
      <c r="B1328">
        <v>1938</v>
      </c>
      <c r="C1328" s="1" t="s">
        <v>98</v>
      </c>
      <c r="D1328" s="7">
        <v>45187</v>
      </c>
      <c r="E1328" s="11">
        <v>0.44097222222222221</v>
      </c>
      <c r="F1328" s="15">
        <f t="shared" si="60"/>
        <v>9</v>
      </c>
      <c r="G1328" s="10" t="str">
        <f t="shared" si="61"/>
        <v>Monday</v>
      </c>
      <c r="H1328" s="9" t="str">
        <f t="shared" si="62"/>
        <v>September</v>
      </c>
      <c r="I1328" t="s">
        <v>96</v>
      </c>
      <c r="J1328" t="s">
        <v>42</v>
      </c>
      <c r="K1328">
        <v>3811</v>
      </c>
      <c r="L1328" s="5" t="str">
        <f>IF(OR(K1328&lt;Answers!$C$16,Orders!K1328&gt;Answers!$C$17),"Yes","No")</f>
        <v>No</v>
      </c>
      <c r="M1328" s="14">
        <f>VLOOKUP(B1328,Customers!$A$1:$E$2501,4,0)</f>
        <v>70</v>
      </c>
    </row>
    <row r="1329" spans="1:13" x14ac:dyDescent="0.3">
      <c r="A1329">
        <v>883228</v>
      </c>
      <c r="B1329">
        <v>1251</v>
      </c>
      <c r="C1329" s="1" t="s">
        <v>98</v>
      </c>
      <c r="D1329" s="7">
        <v>45035</v>
      </c>
      <c r="E1329" s="11">
        <v>5.8333333333333334E-2</v>
      </c>
      <c r="F1329" s="15">
        <f t="shared" si="60"/>
        <v>4</v>
      </c>
      <c r="G1329" s="10" t="str">
        <f t="shared" si="61"/>
        <v>Wednesday</v>
      </c>
      <c r="H1329" s="9" t="str">
        <f t="shared" si="62"/>
        <v>April</v>
      </c>
      <c r="I1329" t="s">
        <v>95</v>
      </c>
      <c r="J1329" t="s">
        <v>37</v>
      </c>
      <c r="K1329">
        <v>381</v>
      </c>
      <c r="L1329" s="5" t="str">
        <f>IF(OR(K1329&lt;Answers!$C$16,Orders!K1329&gt;Answers!$C$17),"Yes","No")</f>
        <v>No</v>
      </c>
      <c r="M1329" s="14">
        <f>VLOOKUP(B1329,Customers!$A$1:$E$2501,4,0)</f>
        <v>31</v>
      </c>
    </row>
    <row r="1330" spans="1:13" x14ac:dyDescent="0.3">
      <c r="A1330">
        <v>883461</v>
      </c>
      <c r="B1330">
        <v>1023</v>
      </c>
      <c r="C1330" s="1" t="s">
        <v>108</v>
      </c>
      <c r="D1330" s="7">
        <v>45235</v>
      </c>
      <c r="E1330" s="11">
        <v>36657</v>
      </c>
      <c r="F1330" s="15">
        <f t="shared" si="60"/>
        <v>11</v>
      </c>
      <c r="G1330" s="10" t="str">
        <f t="shared" si="61"/>
        <v>Sunday</v>
      </c>
      <c r="H1330" s="9" t="str">
        <f t="shared" si="62"/>
        <v>November</v>
      </c>
      <c r="I1330" t="s">
        <v>190</v>
      </c>
      <c r="J1330" t="s">
        <v>68</v>
      </c>
      <c r="K1330">
        <v>7192</v>
      </c>
      <c r="L1330" s="5" t="str">
        <f>IF(OR(K1330&lt;Answers!$C$16,Orders!K1330&gt;Answers!$C$17),"Yes","No")</f>
        <v>No</v>
      </c>
      <c r="M1330" s="14">
        <f>VLOOKUP(B1330,Customers!$A$1:$E$2501,4,0)</f>
        <v>52</v>
      </c>
    </row>
    <row r="1331" spans="1:13" x14ac:dyDescent="0.3">
      <c r="A1331">
        <v>883497</v>
      </c>
      <c r="B1331">
        <v>954</v>
      </c>
      <c r="C1331" s="1" t="s">
        <v>112</v>
      </c>
      <c r="D1331" s="7">
        <v>45141</v>
      </c>
      <c r="E1331" s="11">
        <v>0.54027777777777775</v>
      </c>
      <c r="F1331" s="15">
        <f t="shared" si="60"/>
        <v>8</v>
      </c>
      <c r="G1331" s="10" t="str">
        <f t="shared" si="61"/>
        <v>Thursday</v>
      </c>
      <c r="H1331" s="9" t="str">
        <f t="shared" si="62"/>
        <v>August</v>
      </c>
      <c r="I1331" t="s">
        <v>97</v>
      </c>
      <c r="J1331" t="s">
        <v>23</v>
      </c>
      <c r="K1331">
        <v>1216</v>
      </c>
      <c r="L1331" s="5" t="str">
        <f>IF(OR(K1331&lt;Answers!$C$16,Orders!K1331&gt;Answers!$C$17),"Yes","No")</f>
        <v>No</v>
      </c>
      <c r="M1331" s="14">
        <f>VLOOKUP(B1331,Customers!$A$1:$E$2501,4,0)</f>
        <v>35</v>
      </c>
    </row>
    <row r="1332" spans="1:13" x14ac:dyDescent="0.3">
      <c r="A1332">
        <v>884628</v>
      </c>
      <c r="B1332">
        <v>464</v>
      </c>
      <c r="C1332" s="1" t="s">
        <v>106</v>
      </c>
      <c r="D1332" s="7">
        <v>45266</v>
      </c>
      <c r="E1332" s="11">
        <v>36537</v>
      </c>
      <c r="F1332" s="15">
        <f t="shared" si="60"/>
        <v>12</v>
      </c>
      <c r="G1332" s="10" t="str">
        <f t="shared" si="61"/>
        <v>Wednesday</v>
      </c>
      <c r="H1332" s="9" t="str">
        <f t="shared" si="62"/>
        <v>December</v>
      </c>
      <c r="I1332" t="s">
        <v>97</v>
      </c>
      <c r="J1332" t="s">
        <v>21</v>
      </c>
      <c r="K1332">
        <v>7177</v>
      </c>
      <c r="L1332" s="5" t="str">
        <f>IF(OR(K1332&lt;Answers!$C$16,Orders!K1332&gt;Answers!$C$17),"Yes","No")</f>
        <v>No</v>
      </c>
      <c r="M1332" s="14">
        <f>VLOOKUP(B1332,Customers!$A$1:$E$2501,4,0)</f>
        <v>26</v>
      </c>
    </row>
    <row r="1333" spans="1:13" x14ac:dyDescent="0.3">
      <c r="A1333">
        <v>885377</v>
      </c>
      <c r="B1333">
        <v>1622</v>
      </c>
      <c r="C1333" s="1" t="s">
        <v>99</v>
      </c>
      <c r="D1333" s="7">
        <v>44968</v>
      </c>
      <c r="E1333" s="11">
        <v>0.53749999999999998</v>
      </c>
      <c r="F1333" s="15">
        <f t="shared" si="60"/>
        <v>2</v>
      </c>
      <c r="G1333" s="10" t="str">
        <f t="shared" si="61"/>
        <v>Saturday</v>
      </c>
      <c r="H1333" s="9" t="str">
        <f t="shared" si="62"/>
        <v>February</v>
      </c>
      <c r="I1333" t="s">
        <v>95</v>
      </c>
      <c r="J1333" t="s">
        <v>40</v>
      </c>
      <c r="K1333">
        <v>7139</v>
      </c>
      <c r="L1333" s="5" t="str">
        <f>IF(OR(K1333&lt;Answers!$C$16,Orders!K1333&gt;Answers!$C$17),"Yes","No")</f>
        <v>No</v>
      </c>
      <c r="M1333" s="14">
        <f>VLOOKUP(B1333,Customers!$A$1:$E$2501,4,0)</f>
        <v>87</v>
      </c>
    </row>
    <row r="1334" spans="1:13" x14ac:dyDescent="0.3">
      <c r="A1334">
        <v>885750</v>
      </c>
      <c r="B1334">
        <v>1837</v>
      </c>
      <c r="C1334" s="1" t="s">
        <v>109</v>
      </c>
      <c r="D1334" s="7">
        <v>45267</v>
      </c>
      <c r="E1334" s="11">
        <v>0.5395833333333333</v>
      </c>
      <c r="F1334" s="15">
        <f t="shared" si="60"/>
        <v>12</v>
      </c>
      <c r="G1334" s="10" t="str">
        <f t="shared" si="61"/>
        <v>Thursday</v>
      </c>
      <c r="H1334" s="9" t="str">
        <f t="shared" si="62"/>
        <v>December</v>
      </c>
      <c r="I1334" t="s">
        <v>96</v>
      </c>
      <c r="J1334" t="s">
        <v>18</v>
      </c>
      <c r="K1334">
        <v>1520</v>
      </c>
      <c r="L1334" s="5" t="str">
        <f>IF(OR(K1334&lt;Answers!$C$16,Orders!K1334&gt;Answers!$C$17),"Yes","No")</f>
        <v>No</v>
      </c>
      <c r="M1334" s="14">
        <f>VLOOKUP(B1334,Customers!$A$1:$E$2501,4,0)</f>
        <v>87</v>
      </c>
    </row>
    <row r="1335" spans="1:13" x14ac:dyDescent="0.3">
      <c r="A1335">
        <v>885987</v>
      </c>
      <c r="B1335">
        <v>1601</v>
      </c>
      <c r="C1335" s="1" t="s">
        <v>99</v>
      </c>
      <c r="D1335" s="7">
        <v>45226</v>
      </c>
      <c r="E1335" s="11">
        <v>0.51597222222222228</v>
      </c>
      <c r="F1335" s="15">
        <f t="shared" si="60"/>
        <v>10</v>
      </c>
      <c r="G1335" s="10" t="str">
        <f t="shared" si="61"/>
        <v>Friday</v>
      </c>
      <c r="H1335" s="9" t="str">
        <f t="shared" si="62"/>
        <v>October</v>
      </c>
      <c r="I1335" t="s">
        <v>96</v>
      </c>
      <c r="J1335" t="s">
        <v>34</v>
      </c>
      <c r="K1335">
        <v>8973</v>
      </c>
      <c r="L1335" s="5" t="str">
        <f>IF(OR(K1335&lt;Answers!$C$16,Orders!K1335&gt;Answers!$C$17),"Yes","No")</f>
        <v>No</v>
      </c>
      <c r="M1335" s="14">
        <f>VLOOKUP(B1335,Customers!$A$1:$E$2501,4,0)</f>
        <v>22</v>
      </c>
    </row>
    <row r="1336" spans="1:13" x14ac:dyDescent="0.3">
      <c r="A1336">
        <v>886188</v>
      </c>
      <c r="B1336">
        <v>581</v>
      </c>
      <c r="C1336" s="1" t="s">
        <v>98</v>
      </c>
      <c r="D1336" s="7">
        <v>45202</v>
      </c>
      <c r="E1336" s="11">
        <v>36861</v>
      </c>
      <c r="F1336" s="15">
        <f t="shared" si="60"/>
        <v>10</v>
      </c>
      <c r="G1336" s="10" t="str">
        <f t="shared" si="61"/>
        <v>Tuesday</v>
      </c>
      <c r="H1336" s="9" t="str">
        <f t="shared" si="62"/>
        <v>October</v>
      </c>
      <c r="I1336" t="s">
        <v>97</v>
      </c>
      <c r="J1336" t="s">
        <v>75</v>
      </c>
      <c r="K1336">
        <v>5000</v>
      </c>
      <c r="L1336" s="5" t="str">
        <f>IF(OR(K1336&lt;Answers!$C$16,Orders!K1336&gt;Answers!$C$17),"Yes","No")</f>
        <v>No</v>
      </c>
      <c r="M1336" s="14">
        <f>VLOOKUP(B1336,Customers!$A$1:$E$2501,4,0)</f>
        <v>53</v>
      </c>
    </row>
    <row r="1337" spans="1:13" x14ac:dyDescent="0.3">
      <c r="A1337">
        <v>887239</v>
      </c>
      <c r="B1337">
        <v>1157</v>
      </c>
      <c r="C1337" s="1" t="s">
        <v>105</v>
      </c>
      <c r="D1337" s="7">
        <v>45101</v>
      </c>
      <c r="E1337" s="11">
        <v>36648</v>
      </c>
      <c r="F1337" s="15">
        <f t="shared" si="60"/>
        <v>6</v>
      </c>
      <c r="G1337" s="10" t="str">
        <f t="shared" si="61"/>
        <v>Saturday</v>
      </c>
      <c r="H1337" s="9" t="str">
        <f t="shared" si="62"/>
        <v>June</v>
      </c>
      <c r="I1337" t="s">
        <v>97</v>
      </c>
      <c r="J1337" t="s">
        <v>27</v>
      </c>
      <c r="K1337">
        <v>9005</v>
      </c>
      <c r="L1337" s="5" t="str">
        <f>IF(OR(K1337&lt;Answers!$C$16,Orders!K1337&gt;Answers!$C$17),"Yes","No")</f>
        <v>No</v>
      </c>
      <c r="M1337" s="14">
        <f>VLOOKUP(B1337,Customers!$A$1:$E$2501,4,0)</f>
        <v>70</v>
      </c>
    </row>
    <row r="1338" spans="1:13" x14ac:dyDescent="0.3">
      <c r="A1338">
        <v>888702</v>
      </c>
      <c r="B1338">
        <v>746</v>
      </c>
      <c r="C1338" s="1" t="s">
        <v>98</v>
      </c>
      <c r="D1338" s="7">
        <v>45188</v>
      </c>
      <c r="E1338" s="11">
        <v>0.53611111111111109</v>
      </c>
      <c r="F1338" s="15">
        <f t="shared" si="60"/>
        <v>9</v>
      </c>
      <c r="G1338" s="10" t="str">
        <f t="shared" si="61"/>
        <v>Tuesday</v>
      </c>
      <c r="H1338" s="9" t="str">
        <f t="shared" si="62"/>
        <v>September</v>
      </c>
      <c r="I1338" t="s">
        <v>96</v>
      </c>
      <c r="J1338" t="s">
        <v>13</v>
      </c>
      <c r="K1338">
        <v>98</v>
      </c>
      <c r="L1338" s="5" t="str">
        <f>IF(OR(K1338&lt;Answers!$C$16,Orders!K1338&gt;Answers!$C$17),"Yes","No")</f>
        <v>No</v>
      </c>
      <c r="M1338" s="14">
        <f>VLOOKUP(B1338,Customers!$A$1:$E$2501,4,0)</f>
        <v>75</v>
      </c>
    </row>
    <row r="1339" spans="1:13" x14ac:dyDescent="0.3">
      <c r="A1339">
        <v>888938</v>
      </c>
      <c r="B1339">
        <v>1606</v>
      </c>
      <c r="C1339" s="1" t="s">
        <v>99</v>
      </c>
      <c r="D1339" s="7">
        <v>45170</v>
      </c>
      <c r="E1339" s="11">
        <v>6.5277777777777782E-2</v>
      </c>
      <c r="F1339" s="15">
        <f t="shared" si="60"/>
        <v>9</v>
      </c>
      <c r="G1339" s="10" t="str">
        <f t="shared" si="61"/>
        <v>Friday</v>
      </c>
      <c r="H1339" s="9" t="str">
        <f t="shared" si="62"/>
        <v>September</v>
      </c>
      <c r="I1339" t="s">
        <v>95</v>
      </c>
      <c r="J1339" t="s">
        <v>42</v>
      </c>
      <c r="K1339">
        <v>1061</v>
      </c>
      <c r="L1339" s="5" t="str">
        <f>IF(OR(K1339&lt;Answers!$C$16,Orders!K1339&gt;Answers!$C$17),"Yes","No")</f>
        <v>No</v>
      </c>
      <c r="M1339" s="14">
        <f>VLOOKUP(B1339,Customers!$A$1:$E$2501,4,0)</f>
        <v>23</v>
      </c>
    </row>
    <row r="1340" spans="1:13" x14ac:dyDescent="0.3">
      <c r="A1340">
        <v>889356</v>
      </c>
      <c r="B1340">
        <v>1246</v>
      </c>
      <c r="C1340" s="1" t="s">
        <v>99</v>
      </c>
      <c r="D1340" s="7">
        <v>45002</v>
      </c>
      <c r="E1340" s="11">
        <v>0.52708333333333335</v>
      </c>
      <c r="F1340" s="15">
        <f t="shared" si="60"/>
        <v>3</v>
      </c>
      <c r="G1340" s="10" t="str">
        <f t="shared" si="61"/>
        <v>Friday</v>
      </c>
      <c r="H1340" s="9" t="str">
        <f t="shared" si="62"/>
        <v>March</v>
      </c>
      <c r="I1340" t="s">
        <v>95</v>
      </c>
      <c r="J1340" t="s">
        <v>45</v>
      </c>
      <c r="K1340">
        <v>2670</v>
      </c>
      <c r="L1340" s="5" t="str">
        <f>IF(OR(K1340&lt;Answers!$C$16,Orders!K1340&gt;Answers!$C$17),"Yes","No")</f>
        <v>No</v>
      </c>
      <c r="M1340" s="14">
        <f>VLOOKUP(B1340,Customers!$A$1:$E$2501,4,0)</f>
        <v>85</v>
      </c>
    </row>
    <row r="1341" spans="1:13" x14ac:dyDescent="0.3">
      <c r="A1341">
        <v>890131</v>
      </c>
      <c r="B1341">
        <v>879</v>
      </c>
      <c r="C1341" s="1" t="s">
        <v>98</v>
      </c>
      <c r="D1341" s="7">
        <v>45197</v>
      </c>
      <c r="E1341" s="11">
        <v>7.7083333333333337E-2</v>
      </c>
      <c r="F1341" s="15">
        <f t="shared" si="60"/>
        <v>9</v>
      </c>
      <c r="G1341" s="10" t="str">
        <f t="shared" si="61"/>
        <v>Thursday</v>
      </c>
      <c r="H1341" s="9" t="str">
        <f t="shared" si="62"/>
        <v>September</v>
      </c>
      <c r="I1341" t="s">
        <v>97</v>
      </c>
      <c r="J1341" t="s">
        <v>42</v>
      </c>
      <c r="K1341">
        <v>3832</v>
      </c>
      <c r="L1341" s="5" t="str">
        <f>IF(OR(K1341&lt;Answers!$C$16,Orders!K1341&gt;Answers!$C$17),"Yes","No")</f>
        <v>No</v>
      </c>
      <c r="M1341" s="14">
        <f>VLOOKUP(B1341,Customers!$A$1:$E$2501,4,0)</f>
        <v>70</v>
      </c>
    </row>
    <row r="1342" spans="1:13" x14ac:dyDescent="0.3">
      <c r="A1342">
        <v>890922</v>
      </c>
      <c r="B1342">
        <v>1077</v>
      </c>
      <c r="C1342" s="1" t="s">
        <v>112</v>
      </c>
      <c r="D1342" s="7">
        <v>45139</v>
      </c>
      <c r="E1342" s="11">
        <v>0.47361111111111109</v>
      </c>
      <c r="F1342" s="15">
        <f t="shared" si="60"/>
        <v>8</v>
      </c>
      <c r="G1342" s="10" t="str">
        <f t="shared" si="61"/>
        <v>Tuesday</v>
      </c>
      <c r="H1342" s="9" t="str">
        <f t="shared" si="62"/>
        <v>August</v>
      </c>
      <c r="I1342" t="s">
        <v>190</v>
      </c>
      <c r="J1342" t="s">
        <v>46</v>
      </c>
      <c r="K1342">
        <v>2256</v>
      </c>
      <c r="L1342" s="5" t="str">
        <f>IF(OR(K1342&lt;Answers!$C$16,Orders!K1342&gt;Answers!$C$17),"Yes","No")</f>
        <v>No</v>
      </c>
      <c r="M1342" s="14">
        <f>VLOOKUP(B1342,Customers!$A$1:$E$2501,4,0)</f>
        <v>24</v>
      </c>
    </row>
    <row r="1343" spans="1:13" x14ac:dyDescent="0.3">
      <c r="A1343">
        <v>892608</v>
      </c>
      <c r="B1343">
        <v>417</v>
      </c>
      <c r="C1343" s="1" t="s">
        <v>99</v>
      </c>
      <c r="D1343" s="7">
        <v>45270</v>
      </c>
      <c r="E1343" s="11">
        <v>0.51111111111111107</v>
      </c>
      <c r="F1343" s="15">
        <f t="shared" si="60"/>
        <v>12</v>
      </c>
      <c r="G1343" s="10" t="str">
        <f t="shared" si="61"/>
        <v>Sunday</v>
      </c>
      <c r="H1343" s="9" t="str">
        <f t="shared" si="62"/>
        <v>December</v>
      </c>
      <c r="I1343" t="s">
        <v>95</v>
      </c>
      <c r="J1343" t="s">
        <v>17</v>
      </c>
      <c r="K1343">
        <v>9919</v>
      </c>
      <c r="L1343" s="5" t="str">
        <f>IF(OR(K1343&lt;Answers!$C$16,Orders!K1343&gt;Answers!$C$17),"Yes","No")</f>
        <v>No</v>
      </c>
      <c r="M1343" s="14">
        <f>VLOOKUP(B1343,Customers!$A$1:$E$2501,4,0)</f>
        <v>53</v>
      </c>
    </row>
    <row r="1344" spans="1:13" x14ac:dyDescent="0.3">
      <c r="A1344">
        <v>892773</v>
      </c>
      <c r="B1344">
        <v>1804</v>
      </c>
      <c r="C1344" s="1" t="s">
        <v>100</v>
      </c>
      <c r="D1344" s="7">
        <v>45275</v>
      </c>
      <c r="E1344" s="11">
        <v>0.46736111111111112</v>
      </c>
      <c r="F1344" s="15">
        <f t="shared" si="60"/>
        <v>12</v>
      </c>
      <c r="G1344" s="10" t="str">
        <f t="shared" si="61"/>
        <v>Friday</v>
      </c>
      <c r="H1344" s="9" t="str">
        <f t="shared" si="62"/>
        <v>December</v>
      </c>
      <c r="I1344" t="s">
        <v>95</v>
      </c>
      <c r="J1344" t="s">
        <v>20</v>
      </c>
      <c r="K1344">
        <v>999</v>
      </c>
      <c r="L1344" s="5" t="str">
        <f>IF(OR(K1344&lt;Answers!$C$16,Orders!K1344&gt;Answers!$C$17),"Yes","No")</f>
        <v>No</v>
      </c>
      <c r="M1344" s="14">
        <f>VLOOKUP(B1344,Customers!$A$1:$E$2501,4,0)</f>
        <v>81</v>
      </c>
    </row>
    <row r="1345" spans="1:13" x14ac:dyDescent="0.3">
      <c r="A1345">
        <v>893103</v>
      </c>
      <c r="B1345">
        <v>1877</v>
      </c>
      <c r="C1345" s="1" t="s">
        <v>104</v>
      </c>
      <c r="D1345" s="7">
        <v>44965</v>
      </c>
      <c r="E1345" s="11">
        <v>0.48125000000000001</v>
      </c>
      <c r="F1345" s="15">
        <f t="shared" si="60"/>
        <v>2</v>
      </c>
      <c r="G1345" s="10" t="str">
        <f t="shared" si="61"/>
        <v>Wednesday</v>
      </c>
      <c r="H1345" s="9" t="str">
        <f t="shared" si="62"/>
        <v>February</v>
      </c>
      <c r="I1345" t="s">
        <v>95</v>
      </c>
      <c r="J1345" t="s">
        <v>42</v>
      </c>
      <c r="K1345">
        <v>1604</v>
      </c>
      <c r="L1345" s="5" t="str">
        <f>IF(OR(K1345&lt;Answers!$C$16,Orders!K1345&gt;Answers!$C$17),"Yes","No")</f>
        <v>No</v>
      </c>
      <c r="M1345" s="14">
        <f>VLOOKUP(B1345,Customers!$A$1:$E$2501,4,0)</f>
        <v>22</v>
      </c>
    </row>
    <row r="1346" spans="1:13" x14ac:dyDescent="0.3">
      <c r="A1346">
        <v>893771</v>
      </c>
      <c r="B1346">
        <v>416</v>
      </c>
      <c r="C1346" s="1" t="s">
        <v>112</v>
      </c>
      <c r="D1346" s="7">
        <v>45170</v>
      </c>
      <c r="E1346" s="11">
        <v>0.52361111111111114</v>
      </c>
      <c r="F1346" s="15">
        <f t="shared" si="60"/>
        <v>9</v>
      </c>
      <c r="G1346" s="10" t="str">
        <f t="shared" si="61"/>
        <v>Friday</v>
      </c>
      <c r="H1346" s="9" t="str">
        <f t="shared" si="62"/>
        <v>September</v>
      </c>
      <c r="I1346" t="s">
        <v>190</v>
      </c>
      <c r="J1346" t="s">
        <v>28</v>
      </c>
      <c r="K1346">
        <v>1398</v>
      </c>
      <c r="L1346" s="5" t="str">
        <f>IF(OR(K1346&lt;Answers!$C$16,Orders!K1346&gt;Answers!$C$17),"Yes","No")</f>
        <v>No</v>
      </c>
      <c r="M1346" s="14">
        <f>VLOOKUP(B1346,Customers!$A$1:$E$2501,4,0)</f>
        <v>64</v>
      </c>
    </row>
    <row r="1347" spans="1:13" x14ac:dyDescent="0.3">
      <c r="A1347">
        <v>894762</v>
      </c>
      <c r="B1347">
        <v>393</v>
      </c>
      <c r="C1347" s="1" t="s">
        <v>112</v>
      </c>
      <c r="D1347" s="7">
        <v>45141</v>
      </c>
      <c r="E1347" s="11">
        <v>0.52777777777777779</v>
      </c>
      <c r="F1347" s="15">
        <f t="shared" ref="F1347:F1410" si="63">MONTH(D1347)</f>
        <v>8</v>
      </c>
      <c r="G1347" s="10" t="str">
        <f t="shared" ref="G1347:G1410" si="64">TEXT(D1347,"dddd")</f>
        <v>Thursday</v>
      </c>
      <c r="H1347" s="9" t="str">
        <f t="shared" ref="H1347:H1410" si="65">TEXT(D1347,"mmmm")</f>
        <v>August</v>
      </c>
      <c r="I1347" t="s">
        <v>96</v>
      </c>
      <c r="J1347" t="s">
        <v>8</v>
      </c>
      <c r="K1347">
        <v>4907</v>
      </c>
      <c r="L1347" s="5" t="str">
        <f>IF(OR(K1347&lt;Answers!$C$16,Orders!K1347&gt;Answers!$C$17),"Yes","No")</f>
        <v>No</v>
      </c>
      <c r="M1347" s="14">
        <f>VLOOKUP(B1347,Customers!$A$1:$E$2501,4,0)</f>
        <v>19</v>
      </c>
    </row>
    <row r="1348" spans="1:13" x14ac:dyDescent="0.3">
      <c r="A1348">
        <v>894938</v>
      </c>
      <c r="B1348">
        <v>1376</v>
      </c>
      <c r="C1348" s="1" t="s">
        <v>98</v>
      </c>
      <c r="D1348" s="7">
        <v>44945</v>
      </c>
      <c r="E1348" s="11">
        <v>0.47847222222222224</v>
      </c>
      <c r="F1348" s="15">
        <f t="shared" si="63"/>
        <v>1</v>
      </c>
      <c r="G1348" s="10" t="str">
        <f t="shared" si="64"/>
        <v>Thursday</v>
      </c>
      <c r="H1348" s="9" t="str">
        <f t="shared" si="65"/>
        <v>January</v>
      </c>
      <c r="I1348" t="s">
        <v>96</v>
      </c>
      <c r="J1348" t="s">
        <v>29</v>
      </c>
      <c r="K1348">
        <v>7358</v>
      </c>
      <c r="L1348" s="5" t="str">
        <f>IF(OR(K1348&lt;Answers!$C$16,Orders!K1348&gt;Answers!$C$17),"Yes","No")</f>
        <v>No</v>
      </c>
      <c r="M1348" s="14">
        <f>VLOOKUP(B1348,Customers!$A$1:$E$2501,4,0)</f>
        <v>74</v>
      </c>
    </row>
    <row r="1349" spans="1:13" x14ac:dyDescent="0.3">
      <c r="A1349">
        <v>895383</v>
      </c>
      <c r="B1349">
        <v>854</v>
      </c>
      <c r="C1349" s="1" t="s">
        <v>98</v>
      </c>
      <c r="D1349" s="7">
        <v>45090</v>
      </c>
      <c r="E1349" s="11">
        <v>7.0833333333333331E-2</v>
      </c>
      <c r="F1349" s="15">
        <f t="shared" si="63"/>
        <v>6</v>
      </c>
      <c r="G1349" s="10" t="str">
        <f t="shared" si="64"/>
        <v>Tuesday</v>
      </c>
      <c r="H1349" s="9" t="str">
        <f t="shared" si="65"/>
        <v>June</v>
      </c>
      <c r="I1349" t="s">
        <v>95</v>
      </c>
      <c r="J1349" t="s">
        <v>66</v>
      </c>
      <c r="K1349">
        <v>7452</v>
      </c>
      <c r="L1349" s="5" t="str">
        <f>IF(OR(K1349&lt;Answers!$C$16,Orders!K1349&gt;Answers!$C$17),"Yes","No")</f>
        <v>No</v>
      </c>
      <c r="M1349" s="14">
        <f>VLOOKUP(B1349,Customers!$A$1:$E$2501,4,0)</f>
        <v>61</v>
      </c>
    </row>
    <row r="1350" spans="1:13" x14ac:dyDescent="0.3">
      <c r="A1350">
        <v>895436</v>
      </c>
      <c r="B1350">
        <v>346</v>
      </c>
      <c r="C1350" s="1" t="s">
        <v>104</v>
      </c>
      <c r="D1350" s="7">
        <v>45177</v>
      </c>
      <c r="E1350" s="11">
        <v>0.52638888888888891</v>
      </c>
      <c r="F1350" s="15">
        <f t="shared" si="63"/>
        <v>9</v>
      </c>
      <c r="G1350" s="10" t="str">
        <f t="shared" si="64"/>
        <v>Friday</v>
      </c>
      <c r="H1350" s="9" t="str">
        <f t="shared" si="65"/>
        <v>September</v>
      </c>
      <c r="I1350" t="s">
        <v>95</v>
      </c>
      <c r="J1350" t="s">
        <v>31</v>
      </c>
      <c r="K1350">
        <v>6750</v>
      </c>
      <c r="L1350" s="5" t="str">
        <f>IF(OR(K1350&lt;Answers!$C$16,Orders!K1350&gt;Answers!$C$17),"Yes","No")</f>
        <v>No</v>
      </c>
      <c r="M1350" s="14">
        <f>VLOOKUP(B1350,Customers!$A$1:$E$2501,4,0)</f>
        <v>27</v>
      </c>
    </row>
    <row r="1351" spans="1:13" x14ac:dyDescent="0.3">
      <c r="A1351">
        <v>896228</v>
      </c>
      <c r="B1351">
        <v>741</v>
      </c>
      <c r="C1351" s="1" t="s">
        <v>98</v>
      </c>
      <c r="D1351" s="7">
        <v>45235</v>
      </c>
      <c r="E1351" s="11">
        <v>36872</v>
      </c>
      <c r="F1351" s="15">
        <f t="shared" si="63"/>
        <v>11</v>
      </c>
      <c r="G1351" s="10" t="str">
        <f t="shared" si="64"/>
        <v>Sunday</v>
      </c>
      <c r="H1351" s="9" t="str">
        <f t="shared" si="65"/>
        <v>November</v>
      </c>
      <c r="I1351" t="s">
        <v>190</v>
      </c>
      <c r="J1351" t="s">
        <v>32</v>
      </c>
      <c r="K1351">
        <v>3208</v>
      </c>
      <c r="L1351" s="5" t="str">
        <f>IF(OR(K1351&lt;Answers!$C$16,Orders!K1351&gt;Answers!$C$17),"Yes","No")</f>
        <v>No</v>
      </c>
      <c r="M1351" s="14">
        <f>VLOOKUP(B1351,Customers!$A$1:$E$2501,4,0)</f>
        <v>25</v>
      </c>
    </row>
    <row r="1352" spans="1:13" x14ac:dyDescent="0.3">
      <c r="A1352">
        <v>897460</v>
      </c>
      <c r="B1352">
        <v>711</v>
      </c>
      <c r="C1352" s="1" t="s">
        <v>98</v>
      </c>
      <c r="D1352" s="7">
        <v>45193</v>
      </c>
      <c r="E1352" s="11">
        <v>36657</v>
      </c>
      <c r="F1352" s="15">
        <f t="shared" si="63"/>
        <v>9</v>
      </c>
      <c r="G1352" s="10" t="str">
        <f t="shared" si="64"/>
        <v>Sunday</v>
      </c>
      <c r="H1352" s="9" t="str">
        <f t="shared" si="65"/>
        <v>September</v>
      </c>
      <c r="I1352" t="s">
        <v>96</v>
      </c>
      <c r="J1352" t="s">
        <v>33</v>
      </c>
      <c r="K1352">
        <v>3851</v>
      </c>
      <c r="L1352" s="5" t="str">
        <f>IF(OR(K1352&lt;Answers!$C$16,Orders!K1352&gt;Answers!$C$17),"Yes","No")</f>
        <v>No</v>
      </c>
      <c r="M1352" s="14">
        <f>VLOOKUP(B1352,Customers!$A$1:$E$2501,4,0)</f>
        <v>56</v>
      </c>
    </row>
    <row r="1353" spans="1:13" x14ac:dyDescent="0.3">
      <c r="A1353">
        <v>897997</v>
      </c>
      <c r="B1353">
        <v>1884</v>
      </c>
      <c r="C1353" s="1" t="s">
        <v>98</v>
      </c>
      <c r="D1353" s="7">
        <v>45024</v>
      </c>
      <c r="E1353" s="11">
        <v>36688</v>
      </c>
      <c r="F1353" s="15">
        <f t="shared" si="63"/>
        <v>4</v>
      </c>
      <c r="G1353" s="10" t="str">
        <f t="shared" si="64"/>
        <v>Saturday</v>
      </c>
      <c r="H1353" s="9" t="str">
        <f t="shared" si="65"/>
        <v>April</v>
      </c>
      <c r="I1353" t="s">
        <v>96</v>
      </c>
      <c r="J1353" t="s">
        <v>34</v>
      </c>
      <c r="K1353">
        <v>1149</v>
      </c>
      <c r="L1353" s="5" t="str">
        <f>IF(OR(K1353&lt;Answers!$C$16,Orders!K1353&gt;Answers!$C$17),"Yes","No")</f>
        <v>No</v>
      </c>
      <c r="M1353" s="14">
        <f>VLOOKUP(B1353,Customers!$A$1:$E$2501,4,0)</f>
        <v>31</v>
      </c>
    </row>
    <row r="1354" spans="1:13" x14ac:dyDescent="0.3">
      <c r="A1354">
        <v>899461</v>
      </c>
      <c r="B1354">
        <v>1382</v>
      </c>
      <c r="C1354" s="1" t="s">
        <v>104</v>
      </c>
      <c r="D1354" s="7">
        <v>45006</v>
      </c>
      <c r="E1354" s="11">
        <v>0.51249999999999996</v>
      </c>
      <c r="F1354" s="15">
        <f t="shared" si="63"/>
        <v>3</v>
      </c>
      <c r="G1354" s="10" t="str">
        <f t="shared" si="64"/>
        <v>Tuesday</v>
      </c>
      <c r="H1354" s="9" t="str">
        <f t="shared" si="65"/>
        <v>March</v>
      </c>
      <c r="I1354" t="s">
        <v>96</v>
      </c>
      <c r="J1354" t="s">
        <v>35</v>
      </c>
      <c r="K1354">
        <v>6071</v>
      </c>
      <c r="L1354" s="5" t="str">
        <f>IF(OR(K1354&lt;Answers!$C$16,Orders!K1354&gt;Answers!$C$17),"Yes","No")</f>
        <v>No</v>
      </c>
      <c r="M1354" s="14">
        <f>VLOOKUP(B1354,Customers!$A$1:$E$2501,4,0)</f>
        <v>69</v>
      </c>
    </row>
    <row r="1355" spans="1:13" x14ac:dyDescent="0.3">
      <c r="A1355">
        <v>899739</v>
      </c>
      <c r="B1355">
        <v>842</v>
      </c>
      <c r="C1355" s="1" t="s">
        <v>99</v>
      </c>
      <c r="D1355" s="7">
        <v>44932</v>
      </c>
      <c r="E1355" s="11">
        <v>0.53333333333333333</v>
      </c>
      <c r="F1355" s="15">
        <f t="shared" si="63"/>
        <v>1</v>
      </c>
      <c r="G1355" s="10" t="str">
        <f t="shared" si="64"/>
        <v>Friday</v>
      </c>
      <c r="H1355" s="9" t="str">
        <f t="shared" si="65"/>
        <v>January</v>
      </c>
      <c r="I1355" t="s">
        <v>96</v>
      </c>
      <c r="J1355" t="s">
        <v>42</v>
      </c>
      <c r="K1355">
        <v>3937</v>
      </c>
      <c r="L1355" s="5" t="str">
        <f>IF(OR(K1355&lt;Answers!$C$16,Orders!K1355&gt;Answers!$C$17),"Yes","No")</f>
        <v>No</v>
      </c>
      <c r="M1355" s="14">
        <f>VLOOKUP(B1355,Customers!$A$1:$E$2501,4,0)</f>
        <v>41</v>
      </c>
    </row>
    <row r="1356" spans="1:13" x14ac:dyDescent="0.3">
      <c r="A1356">
        <v>899991</v>
      </c>
      <c r="B1356">
        <v>980</v>
      </c>
      <c r="C1356" s="1" t="s">
        <v>98</v>
      </c>
      <c r="D1356" s="7">
        <v>44935</v>
      </c>
      <c r="E1356" s="11">
        <v>0.48958333333333331</v>
      </c>
      <c r="F1356" s="15">
        <f t="shared" si="63"/>
        <v>1</v>
      </c>
      <c r="G1356" s="10" t="str">
        <f t="shared" si="64"/>
        <v>Monday</v>
      </c>
      <c r="H1356" s="9" t="str">
        <f t="shared" si="65"/>
        <v>January</v>
      </c>
      <c r="I1356" t="s">
        <v>96</v>
      </c>
      <c r="J1356" t="s">
        <v>37</v>
      </c>
      <c r="K1356">
        <v>4447</v>
      </c>
      <c r="L1356" s="5" t="str">
        <f>IF(OR(K1356&lt;Answers!$C$16,Orders!K1356&gt;Answers!$C$17),"Yes","No")</f>
        <v>No</v>
      </c>
      <c r="M1356" s="14">
        <f>VLOOKUP(B1356,Customers!$A$1:$E$2501,4,0)</f>
        <v>31</v>
      </c>
    </row>
    <row r="1357" spans="1:13" x14ac:dyDescent="0.3">
      <c r="A1357">
        <v>901917</v>
      </c>
      <c r="B1357">
        <v>195</v>
      </c>
      <c r="C1357" s="1" t="s">
        <v>98</v>
      </c>
      <c r="D1357" s="7">
        <v>45124</v>
      </c>
      <c r="E1357" s="11">
        <v>6.8750000000000006E-2</v>
      </c>
      <c r="F1357" s="15">
        <f t="shared" si="63"/>
        <v>7</v>
      </c>
      <c r="G1357" s="10" t="str">
        <f t="shared" si="64"/>
        <v>Monday</v>
      </c>
      <c r="H1357" s="9" t="str">
        <f t="shared" si="65"/>
        <v>July</v>
      </c>
      <c r="I1357" t="s">
        <v>95</v>
      </c>
      <c r="J1357" t="s">
        <v>38</v>
      </c>
      <c r="K1357">
        <v>1318</v>
      </c>
      <c r="L1357" s="5" t="str">
        <f>IF(OR(K1357&lt;Answers!$C$16,Orders!K1357&gt;Answers!$C$17),"Yes","No")</f>
        <v>No</v>
      </c>
      <c r="M1357" s="14">
        <f>VLOOKUP(B1357,Customers!$A$1:$E$2501,4,0)</f>
        <v>51</v>
      </c>
    </row>
    <row r="1358" spans="1:13" x14ac:dyDescent="0.3">
      <c r="A1358">
        <v>903650</v>
      </c>
      <c r="B1358">
        <v>1971</v>
      </c>
      <c r="C1358" s="1" t="s">
        <v>104</v>
      </c>
      <c r="D1358" s="7">
        <v>44999</v>
      </c>
      <c r="E1358" s="11">
        <v>0.49027777777777776</v>
      </c>
      <c r="F1358" s="15">
        <f t="shared" si="63"/>
        <v>3</v>
      </c>
      <c r="G1358" s="10" t="str">
        <f t="shared" si="64"/>
        <v>Tuesday</v>
      </c>
      <c r="H1358" s="9" t="str">
        <f t="shared" si="65"/>
        <v>March</v>
      </c>
      <c r="I1358" t="s">
        <v>190</v>
      </c>
      <c r="J1358" t="s">
        <v>23</v>
      </c>
      <c r="K1358">
        <v>8993</v>
      </c>
      <c r="L1358" s="5" t="str">
        <f>IF(OR(K1358&lt;Answers!$C$16,Orders!K1358&gt;Answers!$C$17),"Yes","No")</f>
        <v>No</v>
      </c>
      <c r="M1358" s="14">
        <f>VLOOKUP(B1358,Customers!$A$1:$E$2501,4,0)</f>
        <v>44</v>
      </c>
    </row>
    <row r="1359" spans="1:13" x14ac:dyDescent="0.3">
      <c r="A1359">
        <v>904533</v>
      </c>
      <c r="B1359">
        <v>223</v>
      </c>
      <c r="C1359" s="1" t="s">
        <v>112</v>
      </c>
      <c r="D1359" s="7">
        <v>45083</v>
      </c>
      <c r="E1359" s="11">
        <v>5.7638888888888892E-2</v>
      </c>
      <c r="F1359" s="15">
        <f t="shared" si="63"/>
        <v>6</v>
      </c>
      <c r="G1359" s="10" t="str">
        <f t="shared" si="64"/>
        <v>Tuesday</v>
      </c>
      <c r="H1359" s="9" t="str">
        <f t="shared" si="65"/>
        <v>June</v>
      </c>
      <c r="I1359" t="s">
        <v>96</v>
      </c>
      <c r="J1359" t="s">
        <v>21</v>
      </c>
      <c r="K1359">
        <v>6781</v>
      </c>
      <c r="L1359" s="5" t="str">
        <f>IF(OR(K1359&lt;Answers!$C$16,Orders!K1359&gt;Answers!$C$17),"Yes","No")</f>
        <v>No</v>
      </c>
      <c r="M1359" s="14">
        <f>VLOOKUP(B1359,Customers!$A$1:$E$2501,4,0)</f>
        <v>41</v>
      </c>
    </row>
    <row r="1360" spans="1:13" x14ac:dyDescent="0.3">
      <c r="A1360">
        <v>904997</v>
      </c>
      <c r="B1360">
        <v>909</v>
      </c>
      <c r="C1360" s="1" t="s">
        <v>112</v>
      </c>
      <c r="D1360" s="7">
        <v>45237</v>
      </c>
      <c r="E1360" s="11">
        <v>0.44930555555555557</v>
      </c>
      <c r="F1360" s="15">
        <f t="shared" si="63"/>
        <v>11</v>
      </c>
      <c r="G1360" s="10" t="str">
        <f t="shared" si="64"/>
        <v>Tuesday</v>
      </c>
      <c r="H1360" s="9" t="str">
        <f t="shared" si="65"/>
        <v>November</v>
      </c>
      <c r="I1360" t="s">
        <v>97</v>
      </c>
      <c r="J1360" t="s">
        <v>40</v>
      </c>
      <c r="K1360">
        <v>9811</v>
      </c>
      <c r="L1360" s="5" t="str">
        <f>IF(OR(K1360&lt;Answers!$C$16,Orders!K1360&gt;Answers!$C$17),"Yes","No")</f>
        <v>No</v>
      </c>
      <c r="M1360" s="14">
        <f>VLOOKUP(B1360,Customers!$A$1:$E$2501,4,0)</f>
        <v>71</v>
      </c>
    </row>
    <row r="1361" spans="1:13" x14ac:dyDescent="0.3">
      <c r="A1361">
        <v>906886</v>
      </c>
      <c r="B1361">
        <v>373</v>
      </c>
      <c r="C1361" s="1" t="s">
        <v>112</v>
      </c>
      <c r="D1361" s="7">
        <v>44994</v>
      </c>
      <c r="E1361" s="11">
        <v>0.53263888888888888</v>
      </c>
      <c r="F1361" s="15">
        <f t="shared" si="63"/>
        <v>3</v>
      </c>
      <c r="G1361" s="10" t="str">
        <f t="shared" si="64"/>
        <v>Thursday</v>
      </c>
      <c r="H1361" s="9" t="str">
        <f t="shared" si="65"/>
        <v>March</v>
      </c>
      <c r="I1361" t="s">
        <v>95</v>
      </c>
      <c r="J1361" t="s">
        <v>41</v>
      </c>
      <c r="K1361">
        <v>7915</v>
      </c>
      <c r="L1361" s="5" t="str">
        <f>IF(OR(K1361&lt;Answers!$C$16,Orders!K1361&gt;Answers!$C$17),"Yes","No")</f>
        <v>No</v>
      </c>
      <c r="M1361" s="14">
        <f>VLOOKUP(B1361,Customers!$A$1:$E$2501,4,0)</f>
        <v>89</v>
      </c>
    </row>
    <row r="1362" spans="1:13" x14ac:dyDescent="0.3">
      <c r="A1362">
        <v>908364</v>
      </c>
      <c r="B1362">
        <v>617</v>
      </c>
      <c r="C1362" s="1" t="s">
        <v>98</v>
      </c>
      <c r="D1362" s="7">
        <v>45078</v>
      </c>
      <c r="E1362" s="11">
        <v>0.49652777777777779</v>
      </c>
      <c r="F1362" s="15">
        <f t="shared" si="63"/>
        <v>6</v>
      </c>
      <c r="G1362" s="10" t="str">
        <f t="shared" si="64"/>
        <v>Thursday</v>
      </c>
      <c r="H1362" s="9" t="str">
        <f t="shared" si="65"/>
        <v>June</v>
      </c>
      <c r="I1362" t="s">
        <v>95</v>
      </c>
      <c r="J1362" t="s">
        <v>42</v>
      </c>
      <c r="K1362">
        <v>5116</v>
      </c>
      <c r="L1362" s="5" t="str">
        <f>IF(OR(K1362&lt;Answers!$C$16,Orders!K1362&gt;Answers!$C$17),"Yes","No")</f>
        <v>No</v>
      </c>
      <c r="M1362" s="14">
        <f>VLOOKUP(B1362,Customers!$A$1:$E$2501,4,0)</f>
        <v>45</v>
      </c>
    </row>
    <row r="1363" spans="1:13" x14ac:dyDescent="0.3">
      <c r="A1363">
        <v>908702</v>
      </c>
      <c r="B1363">
        <v>1392</v>
      </c>
      <c r="C1363" s="1" t="s">
        <v>110</v>
      </c>
      <c r="D1363" s="7">
        <v>45183</v>
      </c>
      <c r="E1363" s="11">
        <v>0.47083333333333333</v>
      </c>
      <c r="F1363" s="15">
        <f t="shared" si="63"/>
        <v>9</v>
      </c>
      <c r="G1363" s="10" t="str">
        <f t="shared" si="64"/>
        <v>Thursday</v>
      </c>
      <c r="H1363" s="9" t="str">
        <f t="shared" si="65"/>
        <v>September</v>
      </c>
      <c r="I1363" t="s">
        <v>97</v>
      </c>
      <c r="J1363" t="s">
        <v>14</v>
      </c>
      <c r="K1363">
        <v>8379</v>
      </c>
      <c r="L1363" s="5" t="str">
        <f>IF(OR(K1363&lt;Answers!$C$16,Orders!K1363&gt;Answers!$C$17),"Yes","No")</f>
        <v>No</v>
      </c>
      <c r="M1363" s="14">
        <f>VLOOKUP(B1363,Customers!$A$1:$E$2501,4,0)</f>
        <v>81</v>
      </c>
    </row>
    <row r="1364" spans="1:13" x14ac:dyDescent="0.3">
      <c r="A1364">
        <v>909180</v>
      </c>
      <c r="B1364">
        <v>667</v>
      </c>
      <c r="C1364" s="1" t="s">
        <v>99</v>
      </c>
      <c r="D1364" s="7">
        <v>45078</v>
      </c>
      <c r="E1364" s="11">
        <v>0.53333333333333333</v>
      </c>
      <c r="F1364" s="15">
        <f t="shared" si="63"/>
        <v>6</v>
      </c>
      <c r="G1364" s="10" t="str">
        <f t="shared" si="64"/>
        <v>Thursday</v>
      </c>
      <c r="H1364" s="9" t="str">
        <f t="shared" si="65"/>
        <v>June</v>
      </c>
      <c r="I1364" t="s">
        <v>190</v>
      </c>
      <c r="J1364" t="s">
        <v>11</v>
      </c>
      <c r="K1364">
        <v>1650</v>
      </c>
      <c r="L1364" s="5" t="str">
        <f>IF(OR(K1364&lt;Answers!$C$16,Orders!K1364&gt;Answers!$C$17),"Yes","No")</f>
        <v>No</v>
      </c>
      <c r="M1364" s="14">
        <f>VLOOKUP(B1364,Customers!$A$1:$E$2501,4,0)</f>
        <v>64</v>
      </c>
    </row>
    <row r="1365" spans="1:13" x14ac:dyDescent="0.3">
      <c r="A1365">
        <v>910034</v>
      </c>
      <c r="B1365">
        <v>1798</v>
      </c>
      <c r="C1365" s="1" t="s">
        <v>98</v>
      </c>
      <c r="D1365" s="7">
        <v>45177</v>
      </c>
      <c r="E1365" s="11">
        <v>0.47986111111111113</v>
      </c>
      <c r="F1365" s="15">
        <f t="shared" si="63"/>
        <v>9</v>
      </c>
      <c r="G1365" s="10" t="str">
        <f t="shared" si="64"/>
        <v>Friday</v>
      </c>
      <c r="H1365" s="9" t="str">
        <f t="shared" si="65"/>
        <v>September</v>
      </c>
      <c r="I1365" t="s">
        <v>97</v>
      </c>
      <c r="J1365" t="s">
        <v>28</v>
      </c>
      <c r="K1365">
        <v>3805</v>
      </c>
      <c r="L1365" s="5" t="str">
        <f>IF(OR(K1365&lt;Answers!$C$16,Orders!K1365&gt;Answers!$C$17),"Yes","No")</f>
        <v>No</v>
      </c>
      <c r="M1365" s="14">
        <f>VLOOKUP(B1365,Customers!$A$1:$E$2501,4,0)</f>
        <v>31</v>
      </c>
    </row>
    <row r="1366" spans="1:13" x14ac:dyDescent="0.3">
      <c r="A1366">
        <v>910121</v>
      </c>
      <c r="B1366">
        <v>549</v>
      </c>
      <c r="C1366" s="1" t="s">
        <v>98</v>
      </c>
      <c r="D1366" s="7">
        <v>45154</v>
      </c>
      <c r="E1366" s="11">
        <v>0.5131944444444444</v>
      </c>
      <c r="F1366" s="15">
        <f t="shared" si="63"/>
        <v>8</v>
      </c>
      <c r="G1366" s="10" t="str">
        <f t="shared" si="64"/>
        <v>Wednesday</v>
      </c>
      <c r="H1366" s="9" t="str">
        <f t="shared" si="65"/>
        <v>August</v>
      </c>
      <c r="I1366" t="s">
        <v>96</v>
      </c>
      <c r="J1366" t="s">
        <v>26</v>
      </c>
      <c r="K1366">
        <v>767</v>
      </c>
      <c r="L1366" s="5" t="str">
        <f>IF(OR(K1366&lt;Answers!$C$16,Orders!K1366&gt;Answers!$C$17),"Yes","No")</f>
        <v>No</v>
      </c>
      <c r="M1366" s="14">
        <f>VLOOKUP(B1366,Customers!$A$1:$E$2501,4,0)</f>
        <v>70</v>
      </c>
    </row>
    <row r="1367" spans="1:13" x14ac:dyDescent="0.3">
      <c r="A1367">
        <v>911307</v>
      </c>
      <c r="B1367">
        <v>1606</v>
      </c>
      <c r="C1367" s="1" t="s">
        <v>99</v>
      </c>
      <c r="D1367" s="7">
        <v>45165</v>
      </c>
      <c r="E1367" s="11">
        <v>0.48055555555555557</v>
      </c>
      <c r="F1367" s="15">
        <f t="shared" si="63"/>
        <v>8</v>
      </c>
      <c r="G1367" s="10" t="str">
        <f t="shared" si="64"/>
        <v>Sunday</v>
      </c>
      <c r="H1367" s="9" t="str">
        <f t="shared" si="65"/>
        <v>August</v>
      </c>
      <c r="I1367" t="s">
        <v>190</v>
      </c>
      <c r="J1367" t="s">
        <v>45</v>
      </c>
      <c r="K1367">
        <v>8205</v>
      </c>
      <c r="L1367" s="5" t="str">
        <f>IF(OR(K1367&lt;Answers!$C$16,Orders!K1367&gt;Answers!$C$17),"Yes","No")</f>
        <v>No</v>
      </c>
      <c r="M1367" s="14">
        <f>VLOOKUP(B1367,Customers!$A$1:$E$2501,4,0)</f>
        <v>23</v>
      </c>
    </row>
    <row r="1368" spans="1:13" x14ac:dyDescent="0.3">
      <c r="A1368">
        <v>911597</v>
      </c>
      <c r="B1368">
        <v>844</v>
      </c>
      <c r="C1368" s="1" t="s">
        <v>106</v>
      </c>
      <c r="D1368" s="7">
        <v>44941</v>
      </c>
      <c r="E1368" s="11">
        <v>0.45416666666666666</v>
      </c>
      <c r="F1368" s="15">
        <f t="shared" si="63"/>
        <v>1</v>
      </c>
      <c r="G1368" s="10" t="str">
        <f t="shared" si="64"/>
        <v>Sunday</v>
      </c>
      <c r="H1368" s="9" t="str">
        <f t="shared" si="65"/>
        <v>January</v>
      </c>
      <c r="I1368" t="s">
        <v>97</v>
      </c>
      <c r="J1368" t="s">
        <v>42</v>
      </c>
      <c r="K1368">
        <v>5409</v>
      </c>
      <c r="L1368" s="5" t="str">
        <f>IF(OR(K1368&lt;Answers!$C$16,Orders!K1368&gt;Answers!$C$17),"Yes","No")</f>
        <v>No</v>
      </c>
      <c r="M1368" s="14">
        <f>VLOOKUP(B1368,Customers!$A$1:$E$2501,4,0)</f>
        <v>90</v>
      </c>
    </row>
    <row r="1369" spans="1:13" x14ac:dyDescent="0.3">
      <c r="A1369">
        <v>912904</v>
      </c>
      <c r="B1369">
        <v>349</v>
      </c>
      <c r="C1369" s="1" t="s">
        <v>107</v>
      </c>
      <c r="D1369" s="7">
        <v>45266</v>
      </c>
      <c r="E1369" s="11">
        <v>0.49375000000000002</v>
      </c>
      <c r="F1369" s="15">
        <f t="shared" si="63"/>
        <v>12</v>
      </c>
      <c r="G1369" s="10" t="str">
        <f t="shared" si="64"/>
        <v>Wednesday</v>
      </c>
      <c r="H1369" s="9" t="str">
        <f t="shared" si="65"/>
        <v>December</v>
      </c>
      <c r="I1369" t="s">
        <v>95</v>
      </c>
      <c r="J1369" t="s">
        <v>46</v>
      </c>
      <c r="K1369">
        <v>2520</v>
      </c>
      <c r="L1369" s="5" t="str">
        <f>IF(OR(K1369&lt;Answers!$C$16,Orders!K1369&gt;Answers!$C$17),"Yes","No")</f>
        <v>No</v>
      </c>
      <c r="M1369" s="14">
        <f>VLOOKUP(B1369,Customers!$A$1:$E$2501,4,0)</f>
        <v>55</v>
      </c>
    </row>
    <row r="1370" spans="1:13" x14ac:dyDescent="0.3">
      <c r="A1370">
        <v>912973</v>
      </c>
      <c r="B1370">
        <v>646</v>
      </c>
      <c r="C1370" s="1" t="s">
        <v>105</v>
      </c>
      <c r="D1370" s="7">
        <v>45280</v>
      </c>
      <c r="E1370" s="11">
        <v>0.47569444444444442</v>
      </c>
      <c r="F1370" s="15">
        <f t="shared" si="63"/>
        <v>12</v>
      </c>
      <c r="G1370" s="10" t="str">
        <f t="shared" si="64"/>
        <v>Wednesday</v>
      </c>
      <c r="H1370" s="9" t="str">
        <f t="shared" si="65"/>
        <v>December</v>
      </c>
      <c r="I1370" t="s">
        <v>190</v>
      </c>
      <c r="J1370" t="s">
        <v>26</v>
      </c>
      <c r="K1370">
        <v>816</v>
      </c>
      <c r="L1370" s="5" t="str">
        <f>IF(OR(K1370&lt;Answers!$C$16,Orders!K1370&gt;Answers!$C$17),"Yes","No")</f>
        <v>No</v>
      </c>
      <c r="M1370" s="14">
        <f>VLOOKUP(B1370,Customers!$A$1:$E$2501,4,0)</f>
        <v>69</v>
      </c>
    </row>
    <row r="1371" spans="1:13" x14ac:dyDescent="0.3">
      <c r="A1371">
        <v>914101</v>
      </c>
      <c r="B1371">
        <v>1839</v>
      </c>
      <c r="C1371" s="1" t="s">
        <v>108</v>
      </c>
      <c r="D1371" s="7">
        <v>45152</v>
      </c>
      <c r="E1371" s="11">
        <v>0.51041666666666663</v>
      </c>
      <c r="F1371" s="15">
        <f t="shared" si="63"/>
        <v>8</v>
      </c>
      <c r="G1371" s="10" t="str">
        <f t="shared" si="64"/>
        <v>Monday</v>
      </c>
      <c r="H1371" s="9" t="str">
        <f t="shared" si="65"/>
        <v>August</v>
      </c>
      <c r="I1371" t="s">
        <v>97</v>
      </c>
      <c r="J1371" t="s">
        <v>69</v>
      </c>
      <c r="K1371">
        <v>8372</v>
      </c>
      <c r="L1371" s="5" t="str">
        <f>IF(OR(K1371&lt;Answers!$C$16,Orders!K1371&gt;Answers!$C$17),"Yes","No")</f>
        <v>No</v>
      </c>
      <c r="M1371" s="14">
        <f>VLOOKUP(B1371,Customers!$A$1:$E$2501,4,0)</f>
        <v>33</v>
      </c>
    </row>
    <row r="1372" spans="1:13" x14ac:dyDescent="0.3">
      <c r="A1372">
        <v>914288</v>
      </c>
      <c r="B1372">
        <v>1090</v>
      </c>
      <c r="C1372" s="1" t="s">
        <v>99</v>
      </c>
      <c r="D1372" s="7">
        <v>45075</v>
      </c>
      <c r="E1372" s="11">
        <v>0.53611111111111109</v>
      </c>
      <c r="F1372" s="15">
        <f t="shared" si="63"/>
        <v>5</v>
      </c>
      <c r="G1372" s="10" t="str">
        <f t="shared" si="64"/>
        <v>Monday</v>
      </c>
      <c r="H1372" s="9" t="str">
        <f t="shared" si="65"/>
        <v>May</v>
      </c>
      <c r="I1372" t="s">
        <v>96</v>
      </c>
      <c r="J1372" t="s">
        <v>70</v>
      </c>
      <c r="K1372">
        <v>1968</v>
      </c>
      <c r="L1372" s="5" t="str">
        <f>IF(OR(K1372&lt;Answers!$C$16,Orders!K1372&gt;Answers!$C$17),"Yes","No")</f>
        <v>No</v>
      </c>
      <c r="M1372" s="14">
        <f>VLOOKUP(B1372,Customers!$A$1:$E$2501,4,0)</f>
        <v>19</v>
      </c>
    </row>
    <row r="1373" spans="1:13" x14ac:dyDescent="0.3">
      <c r="A1373">
        <v>914311</v>
      </c>
      <c r="B1373">
        <v>1127</v>
      </c>
      <c r="C1373" s="1" t="s">
        <v>102</v>
      </c>
      <c r="D1373" s="7">
        <v>45021</v>
      </c>
      <c r="E1373" s="11">
        <v>0.51180555555555551</v>
      </c>
      <c r="F1373" s="15">
        <f t="shared" si="63"/>
        <v>4</v>
      </c>
      <c r="G1373" s="10" t="str">
        <f t="shared" si="64"/>
        <v>Wednesday</v>
      </c>
      <c r="H1373" s="9" t="str">
        <f t="shared" si="65"/>
        <v>April</v>
      </c>
      <c r="I1373" t="s">
        <v>190</v>
      </c>
      <c r="J1373" t="s">
        <v>42</v>
      </c>
      <c r="K1373">
        <v>6090</v>
      </c>
      <c r="L1373" s="5" t="str">
        <f>IF(OR(K1373&lt;Answers!$C$16,Orders!K1373&gt;Answers!$C$17),"Yes","No")</f>
        <v>No</v>
      </c>
      <c r="M1373" s="14">
        <f>VLOOKUP(B1373,Customers!$A$1:$E$2501,4,0)</f>
        <v>83</v>
      </c>
    </row>
    <row r="1374" spans="1:13" x14ac:dyDescent="0.3">
      <c r="A1374">
        <v>914647</v>
      </c>
      <c r="B1374">
        <v>1671</v>
      </c>
      <c r="C1374" s="1" t="s">
        <v>98</v>
      </c>
      <c r="D1374" s="7">
        <v>45010</v>
      </c>
      <c r="E1374" s="11">
        <v>8.1944444444444445E-2</v>
      </c>
      <c r="F1374" s="15">
        <f t="shared" si="63"/>
        <v>3</v>
      </c>
      <c r="G1374" s="10" t="str">
        <f t="shared" si="64"/>
        <v>Saturday</v>
      </c>
      <c r="H1374" s="9" t="str">
        <f t="shared" si="65"/>
        <v>March</v>
      </c>
      <c r="I1374" t="s">
        <v>97</v>
      </c>
      <c r="J1374" t="s">
        <v>91</v>
      </c>
      <c r="K1374">
        <v>7025</v>
      </c>
      <c r="L1374" s="5" t="str">
        <f>IF(OR(K1374&lt;Answers!$C$16,Orders!K1374&gt;Answers!$C$17),"Yes","No")</f>
        <v>No</v>
      </c>
      <c r="M1374" s="14">
        <f>VLOOKUP(B1374,Customers!$A$1:$E$2501,4,0)</f>
        <v>56</v>
      </c>
    </row>
    <row r="1375" spans="1:13" x14ac:dyDescent="0.3">
      <c r="A1375">
        <v>914814</v>
      </c>
      <c r="B1375">
        <v>1729</v>
      </c>
      <c r="C1375" s="1" t="s">
        <v>100</v>
      </c>
      <c r="D1375" s="7">
        <v>45235</v>
      </c>
      <c r="E1375" s="11">
        <v>0.48055555555555557</v>
      </c>
      <c r="F1375" s="15">
        <f t="shared" si="63"/>
        <v>11</v>
      </c>
      <c r="G1375" s="10" t="str">
        <f t="shared" si="64"/>
        <v>Sunday</v>
      </c>
      <c r="H1375" s="9" t="str">
        <f t="shared" si="65"/>
        <v>November</v>
      </c>
      <c r="I1375" t="s">
        <v>190</v>
      </c>
      <c r="J1375" t="s">
        <v>7</v>
      </c>
      <c r="K1375">
        <v>6744</v>
      </c>
      <c r="L1375" s="5" t="str">
        <f>IF(OR(K1375&lt;Answers!$C$16,Orders!K1375&gt;Answers!$C$17),"Yes","No")</f>
        <v>No</v>
      </c>
      <c r="M1375" s="14">
        <f>VLOOKUP(B1375,Customers!$A$1:$E$2501,4,0)</f>
        <v>72</v>
      </c>
    </row>
    <row r="1376" spans="1:13" x14ac:dyDescent="0.3">
      <c r="A1376">
        <v>915353</v>
      </c>
      <c r="B1376">
        <v>48</v>
      </c>
      <c r="C1376" s="1" t="s">
        <v>98</v>
      </c>
      <c r="D1376" s="7">
        <v>45131</v>
      </c>
      <c r="E1376" s="11">
        <v>6.458333333333334E-2</v>
      </c>
      <c r="F1376" s="15">
        <f t="shared" si="63"/>
        <v>7</v>
      </c>
      <c r="G1376" s="10" t="str">
        <f t="shared" si="64"/>
        <v>Monday</v>
      </c>
      <c r="H1376" s="9" t="str">
        <f t="shared" si="65"/>
        <v>July</v>
      </c>
      <c r="I1376" t="s">
        <v>190</v>
      </c>
      <c r="J1376" t="s">
        <v>45</v>
      </c>
      <c r="K1376">
        <v>2128</v>
      </c>
      <c r="L1376" s="5" t="str">
        <f>IF(OR(K1376&lt;Answers!$C$16,Orders!K1376&gt;Answers!$C$17),"Yes","No")</f>
        <v>No</v>
      </c>
      <c r="M1376" s="14">
        <f>VLOOKUP(B1376,Customers!$A$1:$E$2501,4,0)</f>
        <v>66</v>
      </c>
    </row>
    <row r="1377" spans="1:13" x14ac:dyDescent="0.3">
      <c r="A1377">
        <v>916383</v>
      </c>
      <c r="B1377">
        <v>1746</v>
      </c>
      <c r="C1377" s="1" t="s">
        <v>106</v>
      </c>
      <c r="D1377" s="7">
        <v>45287</v>
      </c>
      <c r="E1377" s="11">
        <v>4.1666666666666664E-2</v>
      </c>
      <c r="F1377" s="15">
        <f t="shared" si="63"/>
        <v>12</v>
      </c>
      <c r="G1377" s="10" t="str">
        <f t="shared" si="64"/>
        <v>Wednesday</v>
      </c>
      <c r="H1377" s="9" t="str">
        <f t="shared" si="65"/>
        <v>December</v>
      </c>
      <c r="I1377" t="s">
        <v>190</v>
      </c>
      <c r="J1377" t="s">
        <v>9</v>
      </c>
      <c r="K1377">
        <v>3491</v>
      </c>
      <c r="L1377" s="5" t="str">
        <f>IF(OR(K1377&lt;Answers!$C$16,Orders!K1377&gt;Answers!$C$17),"Yes","No")</f>
        <v>No</v>
      </c>
      <c r="M1377" s="14">
        <f>VLOOKUP(B1377,Customers!$A$1:$E$2501,4,0)</f>
        <v>66</v>
      </c>
    </row>
    <row r="1378" spans="1:13" x14ac:dyDescent="0.3">
      <c r="A1378">
        <v>917785</v>
      </c>
      <c r="B1378">
        <v>789</v>
      </c>
      <c r="C1378" s="1" t="s">
        <v>99</v>
      </c>
      <c r="D1378" s="7">
        <v>45053</v>
      </c>
      <c r="E1378" s="11">
        <v>36568</v>
      </c>
      <c r="F1378" s="15">
        <f t="shared" si="63"/>
        <v>5</v>
      </c>
      <c r="G1378" s="10" t="str">
        <f t="shared" si="64"/>
        <v>Sunday</v>
      </c>
      <c r="H1378" s="9" t="str">
        <f t="shared" si="65"/>
        <v>May</v>
      </c>
      <c r="I1378" t="s">
        <v>190</v>
      </c>
      <c r="J1378" t="s">
        <v>71</v>
      </c>
      <c r="K1378">
        <v>9379</v>
      </c>
      <c r="L1378" s="5" t="str">
        <f>IF(OR(K1378&lt;Answers!$C$16,Orders!K1378&gt;Answers!$C$17),"Yes","No")</f>
        <v>No</v>
      </c>
      <c r="M1378" s="14">
        <f>VLOOKUP(B1378,Customers!$A$1:$E$2501,4,0)</f>
        <v>62</v>
      </c>
    </row>
    <row r="1379" spans="1:13" x14ac:dyDescent="0.3">
      <c r="A1379">
        <v>918151</v>
      </c>
      <c r="B1379">
        <v>981</v>
      </c>
      <c r="C1379" s="1" t="s">
        <v>98</v>
      </c>
      <c r="D1379" s="7">
        <v>45043</v>
      </c>
      <c r="E1379" s="11">
        <v>5.2777777777777778E-2</v>
      </c>
      <c r="F1379" s="15">
        <f t="shared" si="63"/>
        <v>4</v>
      </c>
      <c r="G1379" s="10" t="str">
        <f t="shared" si="64"/>
        <v>Thursday</v>
      </c>
      <c r="H1379" s="9" t="str">
        <f t="shared" si="65"/>
        <v>April</v>
      </c>
      <c r="I1379" t="s">
        <v>96</v>
      </c>
      <c r="J1379" t="s">
        <v>12</v>
      </c>
      <c r="K1379">
        <v>1322</v>
      </c>
      <c r="L1379" s="5" t="str">
        <f>IF(OR(K1379&lt;Answers!$C$16,Orders!K1379&gt;Answers!$C$17),"Yes","No")</f>
        <v>No</v>
      </c>
      <c r="M1379" s="14">
        <f>VLOOKUP(B1379,Customers!$A$1:$E$2501,4,0)</f>
        <v>78</v>
      </c>
    </row>
    <row r="1380" spans="1:13" x14ac:dyDescent="0.3">
      <c r="A1380">
        <v>918183</v>
      </c>
      <c r="B1380">
        <v>1795</v>
      </c>
      <c r="C1380" s="1" t="s">
        <v>99</v>
      </c>
      <c r="D1380" s="7">
        <v>45196</v>
      </c>
      <c r="E1380" s="11">
        <v>36739</v>
      </c>
      <c r="F1380" s="15">
        <f t="shared" si="63"/>
        <v>9</v>
      </c>
      <c r="G1380" s="10" t="str">
        <f t="shared" si="64"/>
        <v>Wednesday</v>
      </c>
      <c r="H1380" s="9" t="str">
        <f t="shared" si="65"/>
        <v>September</v>
      </c>
      <c r="I1380" t="s">
        <v>97</v>
      </c>
      <c r="J1380" t="s">
        <v>72</v>
      </c>
      <c r="K1380">
        <v>4196</v>
      </c>
      <c r="L1380" s="5" t="str">
        <f>IF(OR(K1380&lt;Answers!$C$16,Orders!K1380&gt;Answers!$C$17),"Yes","No")</f>
        <v>No</v>
      </c>
      <c r="M1380" s="14">
        <f>VLOOKUP(B1380,Customers!$A$1:$E$2501,4,0)</f>
        <v>53</v>
      </c>
    </row>
    <row r="1381" spans="1:13" x14ac:dyDescent="0.3">
      <c r="A1381">
        <v>918347</v>
      </c>
      <c r="B1381">
        <v>449</v>
      </c>
      <c r="C1381" s="1" t="s">
        <v>98</v>
      </c>
      <c r="D1381" s="7">
        <v>45140</v>
      </c>
      <c r="E1381" s="11">
        <v>0.4909722222222222</v>
      </c>
      <c r="F1381" s="15">
        <f t="shared" si="63"/>
        <v>8</v>
      </c>
      <c r="G1381" s="10" t="str">
        <f t="shared" si="64"/>
        <v>Wednesday</v>
      </c>
      <c r="H1381" s="9" t="str">
        <f t="shared" si="65"/>
        <v>August</v>
      </c>
      <c r="I1381" t="s">
        <v>97</v>
      </c>
      <c r="J1381" t="s">
        <v>51</v>
      </c>
      <c r="K1381">
        <v>1241</v>
      </c>
      <c r="L1381" s="5" t="str">
        <f>IF(OR(K1381&lt;Answers!$C$16,Orders!K1381&gt;Answers!$C$17),"Yes","No")</f>
        <v>No</v>
      </c>
      <c r="M1381" s="14">
        <f>VLOOKUP(B1381,Customers!$A$1:$E$2501,4,0)</f>
        <v>53</v>
      </c>
    </row>
    <row r="1382" spans="1:13" x14ac:dyDescent="0.3">
      <c r="A1382">
        <v>919424</v>
      </c>
      <c r="B1382">
        <v>1079</v>
      </c>
      <c r="C1382" s="1" t="s">
        <v>112</v>
      </c>
      <c r="D1382" s="7">
        <v>45089</v>
      </c>
      <c r="E1382" s="11">
        <v>0.48819444444444443</v>
      </c>
      <c r="F1382" s="15">
        <f t="shared" si="63"/>
        <v>6</v>
      </c>
      <c r="G1382" s="10" t="str">
        <f t="shared" si="64"/>
        <v>Monday</v>
      </c>
      <c r="H1382" s="9" t="str">
        <f t="shared" si="65"/>
        <v>June</v>
      </c>
      <c r="I1382" t="s">
        <v>96</v>
      </c>
      <c r="J1382" t="s">
        <v>12</v>
      </c>
      <c r="K1382">
        <v>9932</v>
      </c>
      <c r="L1382" s="5" t="str">
        <f>IF(OR(K1382&lt;Answers!$C$16,Orders!K1382&gt;Answers!$C$17),"Yes","No")</f>
        <v>No</v>
      </c>
      <c r="M1382" s="14">
        <f>VLOOKUP(B1382,Customers!$A$1:$E$2501,4,0)</f>
        <v>29</v>
      </c>
    </row>
    <row r="1383" spans="1:13" x14ac:dyDescent="0.3">
      <c r="A1383">
        <v>920294</v>
      </c>
      <c r="B1383">
        <v>474</v>
      </c>
      <c r="C1383" s="1" t="s">
        <v>101</v>
      </c>
      <c r="D1383" s="7">
        <v>45204</v>
      </c>
      <c r="E1383" s="11">
        <v>5.6250000000000001E-2</v>
      </c>
      <c r="F1383" s="15">
        <f t="shared" si="63"/>
        <v>10</v>
      </c>
      <c r="G1383" s="10" t="str">
        <f t="shared" si="64"/>
        <v>Thursday</v>
      </c>
      <c r="H1383" s="9" t="str">
        <f t="shared" si="65"/>
        <v>October</v>
      </c>
      <c r="I1383" t="s">
        <v>190</v>
      </c>
      <c r="J1383" t="s">
        <v>61</v>
      </c>
      <c r="K1383">
        <v>6177</v>
      </c>
      <c r="L1383" s="5" t="str">
        <f>IF(OR(K1383&lt;Answers!$C$16,Orders!K1383&gt;Answers!$C$17),"Yes","No")</f>
        <v>No</v>
      </c>
      <c r="M1383" s="14">
        <f>VLOOKUP(B1383,Customers!$A$1:$E$2501,4,0)</f>
        <v>74</v>
      </c>
    </row>
    <row r="1384" spans="1:13" x14ac:dyDescent="0.3">
      <c r="A1384">
        <v>920645</v>
      </c>
      <c r="B1384">
        <v>1851</v>
      </c>
      <c r="C1384" s="1" t="s">
        <v>104</v>
      </c>
      <c r="D1384" s="7">
        <v>44990</v>
      </c>
      <c r="E1384" s="11">
        <v>0.54027777777777775</v>
      </c>
      <c r="F1384" s="15">
        <f t="shared" si="63"/>
        <v>3</v>
      </c>
      <c r="G1384" s="10" t="str">
        <f t="shared" si="64"/>
        <v>Sunday</v>
      </c>
      <c r="H1384" s="9" t="str">
        <f t="shared" si="65"/>
        <v>March</v>
      </c>
      <c r="I1384" t="s">
        <v>97</v>
      </c>
      <c r="J1384" t="s">
        <v>74</v>
      </c>
      <c r="K1384">
        <v>620</v>
      </c>
      <c r="L1384" s="5" t="str">
        <f>IF(OR(K1384&lt;Answers!$C$16,Orders!K1384&gt;Answers!$C$17),"Yes","No")</f>
        <v>No</v>
      </c>
      <c r="M1384" s="14">
        <f>VLOOKUP(B1384,Customers!$A$1:$E$2501,4,0)</f>
        <v>76</v>
      </c>
    </row>
    <row r="1385" spans="1:13" x14ac:dyDescent="0.3">
      <c r="A1385">
        <v>921540</v>
      </c>
      <c r="B1385">
        <v>499</v>
      </c>
      <c r="C1385" s="1" t="s">
        <v>100</v>
      </c>
      <c r="D1385" s="7">
        <v>45280</v>
      </c>
      <c r="E1385" s="11">
        <v>0.49375000000000002</v>
      </c>
      <c r="F1385" s="15">
        <f t="shared" si="63"/>
        <v>12</v>
      </c>
      <c r="G1385" s="10" t="str">
        <f t="shared" si="64"/>
        <v>Wednesday</v>
      </c>
      <c r="H1385" s="9" t="str">
        <f t="shared" si="65"/>
        <v>December</v>
      </c>
      <c r="I1385" t="s">
        <v>96</v>
      </c>
      <c r="J1385" t="s">
        <v>72</v>
      </c>
      <c r="K1385">
        <v>2164</v>
      </c>
      <c r="L1385" s="5" t="str">
        <f>IF(OR(K1385&lt;Answers!$C$16,Orders!K1385&gt;Answers!$C$17),"Yes","No")</f>
        <v>No</v>
      </c>
      <c r="M1385" s="14">
        <f>VLOOKUP(B1385,Customers!$A$1:$E$2501,4,0)</f>
        <v>89</v>
      </c>
    </row>
    <row r="1386" spans="1:13" x14ac:dyDescent="0.3">
      <c r="A1386">
        <v>921826</v>
      </c>
      <c r="B1386">
        <v>1677</v>
      </c>
      <c r="C1386" s="1" t="s">
        <v>106</v>
      </c>
      <c r="D1386" s="7">
        <v>45027</v>
      </c>
      <c r="E1386" s="11">
        <v>0.49861111111111112</v>
      </c>
      <c r="F1386" s="15">
        <f t="shared" si="63"/>
        <v>4</v>
      </c>
      <c r="G1386" s="10" t="str">
        <f t="shared" si="64"/>
        <v>Tuesday</v>
      </c>
      <c r="H1386" s="9" t="str">
        <f t="shared" si="65"/>
        <v>April</v>
      </c>
      <c r="I1386" t="s">
        <v>95</v>
      </c>
      <c r="J1386" t="s">
        <v>19</v>
      </c>
      <c r="K1386">
        <v>1726</v>
      </c>
      <c r="L1386" s="5" t="str">
        <f>IF(OR(K1386&lt;Answers!$C$16,Orders!K1386&gt;Answers!$C$17),"Yes","No")</f>
        <v>No</v>
      </c>
      <c r="M1386" s="14">
        <f>VLOOKUP(B1386,Customers!$A$1:$E$2501,4,0)</f>
        <v>51</v>
      </c>
    </row>
    <row r="1387" spans="1:13" x14ac:dyDescent="0.3">
      <c r="A1387">
        <v>922883</v>
      </c>
      <c r="B1387">
        <v>243</v>
      </c>
      <c r="C1387" s="1" t="s">
        <v>98</v>
      </c>
      <c r="D1387" s="7">
        <v>45278</v>
      </c>
      <c r="E1387" s="11">
        <v>6.1805555555555558E-2</v>
      </c>
      <c r="F1387" s="15">
        <f t="shared" si="63"/>
        <v>12</v>
      </c>
      <c r="G1387" s="10" t="str">
        <f t="shared" si="64"/>
        <v>Monday</v>
      </c>
      <c r="H1387" s="9" t="str">
        <f t="shared" si="65"/>
        <v>December</v>
      </c>
      <c r="I1387" t="s">
        <v>190</v>
      </c>
      <c r="J1387" t="s">
        <v>71</v>
      </c>
      <c r="K1387">
        <v>4141</v>
      </c>
      <c r="L1387" s="5" t="str">
        <f>IF(OR(K1387&lt;Answers!$C$16,Orders!K1387&gt;Answers!$C$17),"Yes","No")</f>
        <v>No</v>
      </c>
      <c r="M1387" s="14">
        <f>VLOOKUP(B1387,Customers!$A$1:$E$2501,4,0)</f>
        <v>18</v>
      </c>
    </row>
    <row r="1388" spans="1:13" x14ac:dyDescent="0.3">
      <c r="A1388">
        <v>923178</v>
      </c>
      <c r="B1388">
        <v>1561</v>
      </c>
      <c r="C1388" s="1" t="s">
        <v>109</v>
      </c>
      <c r="D1388" s="7">
        <v>45225</v>
      </c>
      <c r="E1388" s="11">
        <v>0.49861111111111112</v>
      </c>
      <c r="F1388" s="15">
        <f t="shared" si="63"/>
        <v>10</v>
      </c>
      <c r="G1388" s="10" t="str">
        <f t="shared" si="64"/>
        <v>Thursday</v>
      </c>
      <c r="H1388" s="9" t="str">
        <f t="shared" si="65"/>
        <v>October</v>
      </c>
      <c r="I1388" t="s">
        <v>95</v>
      </c>
      <c r="J1388" t="s">
        <v>82</v>
      </c>
      <c r="K1388">
        <v>6590</v>
      </c>
      <c r="L1388" s="5" t="str">
        <f>IF(OR(K1388&lt;Answers!$C$16,Orders!K1388&gt;Answers!$C$17),"Yes","No")</f>
        <v>No</v>
      </c>
      <c r="M1388" s="14">
        <f>VLOOKUP(B1388,Customers!$A$1:$E$2501,4,0)</f>
        <v>28</v>
      </c>
    </row>
    <row r="1389" spans="1:13" x14ac:dyDescent="0.3">
      <c r="A1389">
        <v>924191</v>
      </c>
      <c r="B1389">
        <v>1970</v>
      </c>
      <c r="C1389" s="1" t="s">
        <v>99</v>
      </c>
      <c r="D1389" s="7">
        <v>45214</v>
      </c>
      <c r="E1389" s="11">
        <v>36647</v>
      </c>
      <c r="F1389" s="15">
        <f t="shared" si="63"/>
        <v>10</v>
      </c>
      <c r="G1389" s="10" t="str">
        <f t="shared" si="64"/>
        <v>Sunday</v>
      </c>
      <c r="H1389" s="9" t="str">
        <f t="shared" si="65"/>
        <v>October</v>
      </c>
      <c r="I1389" t="s">
        <v>95</v>
      </c>
      <c r="J1389" t="s">
        <v>69</v>
      </c>
      <c r="K1389">
        <v>925</v>
      </c>
      <c r="L1389" s="5" t="str">
        <f>IF(OR(K1389&lt;Answers!$C$16,Orders!K1389&gt;Answers!$C$17),"Yes","No")</f>
        <v>No</v>
      </c>
      <c r="M1389" s="14">
        <f>VLOOKUP(B1389,Customers!$A$1:$E$2501,4,0)</f>
        <v>79</v>
      </c>
    </row>
    <row r="1390" spans="1:13" x14ac:dyDescent="0.3">
      <c r="A1390">
        <v>924407</v>
      </c>
      <c r="B1390">
        <v>1824</v>
      </c>
      <c r="C1390" s="1" t="s">
        <v>98</v>
      </c>
      <c r="D1390" s="7">
        <v>45177</v>
      </c>
      <c r="E1390" s="11">
        <v>0.43888888888888888</v>
      </c>
      <c r="F1390" s="15">
        <f t="shared" si="63"/>
        <v>9</v>
      </c>
      <c r="G1390" s="10" t="str">
        <f t="shared" si="64"/>
        <v>Friday</v>
      </c>
      <c r="H1390" s="9" t="str">
        <f t="shared" si="65"/>
        <v>September</v>
      </c>
      <c r="I1390" t="s">
        <v>97</v>
      </c>
      <c r="J1390" t="s">
        <v>13</v>
      </c>
      <c r="K1390">
        <v>2760</v>
      </c>
      <c r="L1390" s="5" t="str">
        <f>IF(OR(K1390&lt;Answers!$C$16,Orders!K1390&gt;Answers!$C$17),"Yes","No")</f>
        <v>No</v>
      </c>
      <c r="M1390" s="14">
        <f>VLOOKUP(B1390,Customers!$A$1:$E$2501,4,0)</f>
        <v>35</v>
      </c>
    </row>
    <row r="1391" spans="1:13" x14ac:dyDescent="0.3">
      <c r="A1391">
        <v>924612</v>
      </c>
      <c r="B1391">
        <v>549</v>
      </c>
      <c r="C1391" s="1" t="s">
        <v>98</v>
      </c>
      <c r="D1391" s="7">
        <v>45001</v>
      </c>
      <c r="E1391" s="11">
        <v>0.53749999999999998</v>
      </c>
      <c r="F1391" s="15">
        <f t="shared" si="63"/>
        <v>3</v>
      </c>
      <c r="G1391" s="10" t="str">
        <f t="shared" si="64"/>
        <v>Thursday</v>
      </c>
      <c r="H1391" s="9" t="str">
        <f t="shared" si="65"/>
        <v>March</v>
      </c>
      <c r="I1391" t="s">
        <v>96</v>
      </c>
      <c r="J1391" t="s">
        <v>26</v>
      </c>
      <c r="K1391">
        <v>7323</v>
      </c>
      <c r="L1391" s="5" t="str">
        <f>IF(OR(K1391&lt;Answers!$C$16,Orders!K1391&gt;Answers!$C$17),"Yes","No")</f>
        <v>No</v>
      </c>
      <c r="M1391" s="14">
        <f>VLOOKUP(B1391,Customers!$A$1:$E$2501,4,0)</f>
        <v>70</v>
      </c>
    </row>
    <row r="1392" spans="1:13" x14ac:dyDescent="0.3">
      <c r="A1392">
        <v>926206</v>
      </c>
      <c r="B1392">
        <v>41</v>
      </c>
      <c r="C1392" s="1" t="s">
        <v>100</v>
      </c>
      <c r="D1392" s="7">
        <v>44982</v>
      </c>
      <c r="E1392" s="11">
        <v>0.45833333333333331</v>
      </c>
      <c r="F1392" s="15">
        <f t="shared" si="63"/>
        <v>2</v>
      </c>
      <c r="G1392" s="10" t="str">
        <f t="shared" si="64"/>
        <v>Saturday</v>
      </c>
      <c r="H1392" s="9" t="str">
        <f t="shared" si="65"/>
        <v>February</v>
      </c>
      <c r="I1392" t="s">
        <v>96</v>
      </c>
      <c r="J1392" t="s">
        <v>76</v>
      </c>
      <c r="K1392">
        <v>3952</v>
      </c>
      <c r="L1392" s="5" t="str">
        <f>IF(OR(K1392&lt;Answers!$C$16,Orders!K1392&gt;Answers!$C$17),"Yes","No")</f>
        <v>No</v>
      </c>
      <c r="M1392" s="14">
        <f>VLOOKUP(B1392,Customers!$A$1:$E$2501,4,0)</f>
        <v>42</v>
      </c>
    </row>
    <row r="1393" spans="1:13" x14ac:dyDescent="0.3">
      <c r="A1393">
        <v>926690</v>
      </c>
      <c r="B1393">
        <v>1286</v>
      </c>
      <c r="C1393" s="1" t="s">
        <v>98</v>
      </c>
      <c r="D1393" s="7">
        <v>45058</v>
      </c>
      <c r="E1393" s="11">
        <v>36628</v>
      </c>
      <c r="F1393" s="15">
        <f t="shared" si="63"/>
        <v>5</v>
      </c>
      <c r="G1393" s="10" t="str">
        <f t="shared" si="64"/>
        <v>Friday</v>
      </c>
      <c r="H1393" s="9" t="str">
        <f t="shared" si="65"/>
        <v>May</v>
      </c>
      <c r="I1393" t="s">
        <v>97</v>
      </c>
      <c r="J1393" t="s">
        <v>26</v>
      </c>
      <c r="K1393">
        <v>197</v>
      </c>
      <c r="L1393" s="5" t="str">
        <f>IF(OR(K1393&lt;Answers!$C$16,Orders!K1393&gt;Answers!$C$17),"Yes","No")</f>
        <v>No</v>
      </c>
      <c r="M1393" s="14">
        <f>VLOOKUP(B1393,Customers!$A$1:$E$2501,4,0)</f>
        <v>61</v>
      </c>
    </row>
    <row r="1394" spans="1:13" x14ac:dyDescent="0.3">
      <c r="A1394">
        <v>929955</v>
      </c>
      <c r="B1394">
        <v>349</v>
      </c>
      <c r="C1394" s="1" t="s">
        <v>107</v>
      </c>
      <c r="D1394" s="7">
        <v>44947</v>
      </c>
      <c r="E1394" s="11">
        <v>0.48749999999999999</v>
      </c>
      <c r="F1394" s="15">
        <f t="shared" si="63"/>
        <v>1</v>
      </c>
      <c r="G1394" s="10" t="str">
        <f t="shared" si="64"/>
        <v>Saturday</v>
      </c>
      <c r="H1394" s="9" t="str">
        <f t="shared" si="65"/>
        <v>January</v>
      </c>
      <c r="I1394" t="s">
        <v>97</v>
      </c>
      <c r="J1394" t="s">
        <v>42</v>
      </c>
      <c r="K1394">
        <v>3242</v>
      </c>
      <c r="L1394" s="5" t="str">
        <f>IF(OR(K1394&lt;Answers!$C$16,Orders!K1394&gt;Answers!$C$17),"Yes","No")</f>
        <v>No</v>
      </c>
      <c r="M1394" s="14">
        <f>VLOOKUP(B1394,Customers!$A$1:$E$2501,4,0)</f>
        <v>55</v>
      </c>
    </row>
    <row r="1395" spans="1:13" x14ac:dyDescent="0.3">
      <c r="A1395">
        <v>930116</v>
      </c>
      <c r="B1395">
        <v>918</v>
      </c>
      <c r="C1395" s="1" t="s">
        <v>100</v>
      </c>
      <c r="D1395" s="7">
        <v>45156</v>
      </c>
      <c r="E1395" s="11">
        <v>0.48402777777777778</v>
      </c>
      <c r="F1395" s="15">
        <f t="shared" si="63"/>
        <v>8</v>
      </c>
      <c r="G1395" s="10" t="str">
        <f t="shared" si="64"/>
        <v>Friday</v>
      </c>
      <c r="H1395" s="9" t="str">
        <f t="shared" si="65"/>
        <v>August</v>
      </c>
      <c r="I1395" t="s">
        <v>96</v>
      </c>
      <c r="J1395" t="s">
        <v>80</v>
      </c>
      <c r="K1395">
        <v>4873</v>
      </c>
      <c r="L1395" s="5" t="str">
        <f>IF(OR(K1395&lt;Answers!$C$16,Orders!K1395&gt;Answers!$C$17),"Yes","No")</f>
        <v>No</v>
      </c>
      <c r="M1395" s="14">
        <f>VLOOKUP(B1395,Customers!$A$1:$E$2501,4,0)</f>
        <v>75</v>
      </c>
    </row>
    <row r="1396" spans="1:13" x14ac:dyDescent="0.3">
      <c r="A1396">
        <v>930552</v>
      </c>
      <c r="B1396">
        <v>1605</v>
      </c>
      <c r="C1396" s="1" t="s">
        <v>104</v>
      </c>
      <c r="D1396" s="7">
        <v>45021</v>
      </c>
      <c r="E1396" s="11">
        <v>0.50972222222222219</v>
      </c>
      <c r="F1396" s="15">
        <f t="shared" si="63"/>
        <v>4</v>
      </c>
      <c r="G1396" s="10" t="str">
        <f t="shared" si="64"/>
        <v>Wednesday</v>
      </c>
      <c r="H1396" s="9" t="str">
        <f t="shared" si="65"/>
        <v>April</v>
      </c>
      <c r="I1396" t="s">
        <v>95</v>
      </c>
      <c r="J1396" t="s">
        <v>87</v>
      </c>
      <c r="K1396">
        <v>6840</v>
      </c>
      <c r="L1396" s="5" t="str">
        <f>IF(OR(K1396&lt;Answers!$C$16,Orders!K1396&gt;Answers!$C$17),"Yes","No")</f>
        <v>No</v>
      </c>
      <c r="M1396" s="14">
        <f>VLOOKUP(B1396,Customers!$A$1:$E$2501,4,0)</f>
        <v>45</v>
      </c>
    </row>
    <row r="1397" spans="1:13" x14ac:dyDescent="0.3">
      <c r="A1397">
        <v>930811</v>
      </c>
      <c r="B1397">
        <v>1778</v>
      </c>
      <c r="C1397" s="1" t="s">
        <v>98</v>
      </c>
      <c r="D1397" s="7">
        <v>44935</v>
      </c>
      <c r="E1397" s="11">
        <v>0.49375000000000002</v>
      </c>
      <c r="F1397" s="15">
        <f t="shared" si="63"/>
        <v>1</v>
      </c>
      <c r="G1397" s="10" t="str">
        <f t="shared" si="64"/>
        <v>Monday</v>
      </c>
      <c r="H1397" s="9" t="str">
        <f t="shared" si="65"/>
        <v>January</v>
      </c>
      <c r="I1397" t="s">
        <v>95</v>
      </c>
      <c r="J1397" t="s">
        <v>45</v>
      </c>
      <c r="K1397">
        <v>3666</v>
      </c>
      <c r="L1397" s="5" t="str">
        <f>IF(OR(K1397&lt;Answers!$C$16,Orders!K1397&gt;Answers!$C$17),"Yes","No")</f>
        <v>No</v>
      </c>
      <c r="M1397" s="14">
        <f>VLOOKUP(B1397,Customers!$A$1:$E$2501,4,0)</f>
        <v>20</v>
      </c>
    </row>
    <row r="1398" spans="1:13" x14ac:dyDescent="0.3">
      <c r="A1398">
        <v>930878</v>
      </c>
      <c r="B1398">
        <v>1606</v>
      </c>
      <c r="C1398" s="1" t="s">
        <v>99</v>
      </c>
      <c r="D1398" s="7">
        <v>45113</v>
      </c>
      <c r="E1398" s="11">
        <v>8.1944444444444445E-2</v>
      </c>
      <c r="F1398" s="15">
        <f t="shared" si="63"/>
        <v>7</v>
      </c>
      <c r="G1398" s="10" t="str">
        <f t="shared" si="64"/>
        <v>Thursday</v>
      </c>
      <c r="H1398" s="9" t="str">
        <f t="shared" si="65"/>
        <v>July</v>
      </c>
      <c r="I1398" t="s">
        <v>97</v>
      </c>
      <c r="J1398" t="s">
        <v>81</v>
      </c>
      <c r="K1398">
        <v>3069</v>
      </c>
      <c r="L1398" s="5" t="str">
        <f>IF(OR(K1398&lt;Answers!$C$16,Orders!K1398&gt;Answers!$C$17),"Yes","No")</f>
        <v>No</v>
      </c>
      <c r="M1398" s="14">
        <f>VLOOKUP(B1398,Customers!$A$1:$E$2501,4,0)</f>
        <v>23</v>
      </c>
    </row>
    <row r="1399" spans="1:13" x14ac:dyDescent="0.3">
      <c r="A1399">
        <v>931367</v>
      </c>
      <c r="B1399">
        <v>981</v>
      </c>
      <c r="C1399" s="1" t="s">
        <v>98</v>
      </c>
      <c r="D1399" s="7">
        <v>45089</v>
      </c>
      <c r="E1399" s="11">
        <v>7.8472222222222221E-2</v>
      </c>
      <c r="F1399" s="15">
        <f t="shared" si="63"/>
        <v>6</v>
      </c>
      <c r="G1399" s="10" t="str">
        <f t="shared" si="64"/>
        <v>Monday</v>
      </c>
      <c r="H1399" s="9" t="str">
        <f t="shared" si="65"/>
        <v>June</v>
      </c>
      <c r="I1399" t="s">
        <v>97</v>
      </c>
      <c r="J1399" t="s">
        <v>89</v>
      </c>
      <c r="K1399">
        <v>2393</v>
      </c>
      <c r="L1399" s="5" t="str">
        <f>IF(OR(K1399&lt;Answers!$C$16,Orders!K1399&gt;Answers!$C$17),"Yes","No")</f>
        <v>No</v>
      </c>
      <c r="M1399" s="14">
        <f>VLOOKUP(B1399,Customers!$A$1:$E$2501,4,0)</f>
        <v>78</v>
      </c>
    </row>
    <row r="1400" spans="1:13" x14ac:dyDescent="0.3">
      <c r="A1400">
        <v>931763</v>
      </c>
      <c r="B1400">
        <v>1355</v>
      </c>
      <c r="C1400" s="1" t="s">
        <v>104</v>
      </c>
      <c r="D1400" s="7">
        <v>45072</v>
      </c>
      <c r="E1400" s="11">
        <v>36872</v>
      </c>
      <c r="F1400" s="15">
        <f t="shared" si="63"/>
        <v>5</v>
      </c>
      <c r="G1400" s="10" t="str">
        <f t="shared" si="64"/>
        <v>Friday</v>
      </c>
      <c r="H1400" s="9" t="str">
        <f t="shared" si="65"/>
        <v>May</v>
      </c>
      <c r="I1400" t="s">
        <v>95</v>
      </c>
      <c r="J1400" t="s">
        <v>42</v>
      </c>
      <c r="K1400">
        <v>2372</v>
      </c>
      <c r="L1400" s="5" t="str">
        <f>IF(OR(K1400&lt;Answers!$C$16,Orders!K1400&gt;Answers!$C$17),"Yes","No")</f>
        <v>No</v>
      </c>
      <c r="M1400" s="14">
        <f>VLOOKUP(B1400,Customers!$A$1:$E$2501,4,0)</f>
        <v>83</v>
      </c>
    </row>
    <row r="1401" spans="1:13" x14ac:dyDescent="0.3">
      <c r="A1401">
        <v>933463</v>
      </c>
      <c r="B1401">
        <v>1401</v>
      </c>
      <c r="C1401" s="1" t="s">
        <v>101</v>
      </c>
      <c r="D1401" s="7">
        <v>45115</v>
      </c>
      <c r="E1401" s="11">
        <v>0.49444444444444446</v>
      </c>
      <c r="F1401" s="15">
        <f t="shared" si="63"/>
        <v>7</v>
      </c>
      <c r="G1401" s="10" t="str">
        <f t="shared" si="64"/>
        <v>Saturday</v>
      </c>
      <c r="H1401" s="9" t="str">
        <f t="shared" si="65"/>
        <v>July</v>
      </c>
      <c r="I1401" t="s">
        <v>97</v>
      </c>
      <c r="J1401" t="s">
        <v>90</v>
      </c>
      <c r="K1401">
        <v>7754</v>
      </c>
      <c r="L1401" s="5" t="str">
        <f>IF(OR(K1401&lt;Answers!$C$16,Orders!K1401&gt;Answers!$C$17),"Yes","No")</f>
        <v>No</v>
      </c>
      <c r="M1401" s="14">
        <f>VLOOKUP(B1401,Customers!$A$1:$E$2501,4,0)</f>
        <v>53</v>
      </c>
    </row>
    <row r="1402" spans="1:13" x14ac:dyDescent="0.3">
      <c r="A1402">
        <v>935343</v>
      </c>
      <c r="B1402">
        <v>1143</v>
      </c>
      <c r="C1402" s="1" t="s">
        <v>106</v>
      </c>
      <c r="D1402" s="7">
        <v>45196</v>
      </c>
      <c r="E1402" s="11">
        <v>0.4777777777777778</v>
      </c>
      <c r="F1402" s="15">
        <f t="shared" si="63"/>
        <v>9</v>
      </c>
      <c r="G1402" s="10" t="str">
        <f t="shared" si="64"/>
        <v>Wednesday</v>
      </c>
      <c r="H1402" s="9" t="str">
        <f t="shared" si="65"/>
        <v>September</v>
      </c>
      <c r="I1402" t="s">
        <v>97</v>
      </c>
      <c r="J1402" t="s">
        <v>77</v>
      </c>
      <c r="K1402">
        <v>1325</v>
      </c>
      <c r="L1402" s="5" t="str">
        <f>IF(OR(K1402&lt;Answers!$C$16,Orders!K1402&gt;Answers!$C$17),"Yes","No")</f>
        <v>No</v>
      </c>
      <c r="M1402" s="14">
        <f>VLOOKUP(B1402,Customers!$A$1:$E$2501,4,0)</f>
        <v>59</v>
      </c>
    </row>
    <row r="1403" spans="1:13" x14ac:dyDescent="0.3">
      <c r="A1403">
        <v>935551</v>
      </c>
      <c r="B1403">
        <v>712</v>
      </c>
      <c r="C1403" s="1" t="s">
        <v>98</v>
      </c>
      <c r="D1403" s="7">
        <v>45274</v>
      </c>
      <c r="E1403" s="11">
        <v>6.6666666666666666E-2</v>
      </c>
      <c r="F1403" s="15">
        <f t="shared" si="63"/>
        <v>12</v>
      </c>
      <c r="G1403" s="10" t="str">
        <f t="shared" si="64"/>
        <v>Thursday</v>
      </c>
      <c r="H1403" s="9" t="str">
        <f t="shared" si="65"/>
        <v>December</v>
      </c>
      <c r="I1403" t="s">
        <v>190</v>
      </c>
      <c r="J1403" t="s">
        <v>55</v>
      </c>
      <c r="K1403">
        <v>6779</v>
      </c>
      <c r="L1403" s="5" t="str">
        <f>IF(OR(K1403&lt;Answers!$C$16,Orders!K1403&gt;Answers!$C$17),"Yes","No")</f>
        <v>No</v>
      </c>
      <c r="M1403" s="14">
        <f>VLOOKUP(B1403,Customers!$A$1:$E$2501,4,0)</f>
        <v>90</v>
      </c>
    </row>
    <row r="1404" spans="1:13" x14ac:dyDescent="0.3">
      <c r="A1404">
        <v>935674</v>
      </c>
      <c r="B1404">
        <v>442</v>
      </c>
      <c r="C1404" s="1" t="s">
        <v>98</v>
      </c>
      <c r="D1404" s="7">
        <v>45142</v>
      </c>
      <c r="E1404" s="11">
        <v>0.53749999999999998</v>
      </c>
      <c r="F1404" s="15">
        <f t="shared" si="63"/>
        <v>8</v>
      </c>
      <c r="G1404" s="10" t="str">
        <f t="shared" si="64"/>
        <v>Friday</v>
      </c>
      <c r="H1404" s="9" t="str">
        <f t="shared" si="65"/>
        <v>August</v>
      </c>
      <c r="I1404" t="s">
        <v>95</v>
      </c>
      <c r="J1404" t="s">
        <v>33</v>
      </c>
      <c r="K1404">
        <v>5395</v>
      </c>
      <c r="L1404" s="5" t="str">
        <f>IF(OR(K1404&lt;Answers!$C$16,Orders!K1404&gt;Answers!$C$17),"Yes","No")</f>
        <v>No</v>
      </c>
      <c r="M1404" s="14">
        <f>VLOOKUP(B1404,Customers!$A$1:$E$2501,4,0)</f>
        <v>62</v>
      </c>
    </row>
    <row r="1405" spans="1:13" x14ac:dyDescent="0.3">
      <c r="A1405">
        <v>935947</v>
      </c>
      <c r="B1405">
        <v>1267</v>
      </c>
      <c r="C1405" s="1" t="s">
        <v>106</v>
      </c>
      <c r="D1405" s="7">
        <v>45116</v>
      </c>
      <c r="E1405" s="11">
        <v>5.486111111111111E-2</v>
      </c>
      <c r="F1405" s="15">
        <f t="shared" si="63"/>
        <v>7</v>
      </c>
      <c r="G1405" s="10" t="str">
        <f t="shared" si="64"/>
        <v>Sunday</v>
      </c>
      <c r="H1405" s="9" t="str">
        <f t="shared" si="65"/>
        <v>July</v>
      </c>
      <c r="I1405" t="s">
        <v>96</v>
      </c>
      <c r="J1405" t="s">
        <v>86</v>
      </c>
      <c r="K1405">
        <v>5054</v>
      </c>
      <c r="L1405" s="5" t="str">
        <f>IF(OR(K1405&lt;Answers!$C$16,Orders!K1405&gt;Answers!$C$17),"Yes","No")</f>
        <v>No</v>
      </c>
      <c r="M1405" s="14">
        <f>VLOOKUP(B1405,Customers!$A$1:$E$2501,4,0)</f>
        <v>62</v>
      </c>
    </row>
    <row r="1406" spans="1:13" x14ac:dyDescent="0.3">
      <c r="A1406">
        <v>935965</v>
      </c>
      <c r="B1406">
        <v>1578</v>
      </c>
      <c r="C1406" s="1" t="s">
        <v>106</v>
      </c>
      <c r="D1406" s="7">
        <v>45137</v>
      </c>
      <c r="E1406" s="11">
        <v>0.49791666666666667</v>
      </c>
      <c r="F1406" s="15">
        <f t="shared" si="63"/>
        <v>7</v>
      </c>
      <c r="G1406" s="10" t="str">
        <f t="shared" si="64"/>
        <v>Sunday</v>
      </c>
      <c r="H1406" s="9" t="str">
        <f t="shared" si="65"/>
        <v>July</v>
      </c>
      <c r="I1406" t="s">
        <v>96</v>
      </c>
      <c r="J1406" t="s">
        <v>77</v>
      </c>
      <c r="K1406">
        <v>4078</v>
      </c>
      <c r="L1406" s="5" t="str">
        <f>IF(OR(K1406&lt;Answers!$C$16,Orders!K1406&gt;Answers!$C$17),"Yes","No")</f>
        <v>No</v>
      </c>
      <c r="M1406" s="14">
        <f>VLOOKUP(B1406,Customers!$A$1:$E$2501,4,0)</f>
        <v>24</v>
      </c>
    </row>
    <row r="1407" spans="1:13" x14ac:dyDescent="0.3">
      <c r="A1407">
        <v>936199</v>
      </c>
      <c r="B1407">
        <v>734</v>
      </c>
      <c r="C1407" s="1" t="s">
        <v>106</v>
      </c>
      <c r="D1407" s="7">
        <v>45084</v>
      </c>
      <c r="E1407" s="11">
        <v>0.51597222222222228</v>
      </c>
      <c r="F1407" s="15">
        <f t="shared" si="63"/>
        <v>6</v>
      </c>
      <c r="G1407" s="10" t="str">
        <f t="shared" si="64"/>
        <v>Wednesday</v>
      </c>
      <c r="H1407" s="9" t="str">
        <f t="shared" si="65"/>
        <v>June</v>
      </c>
      <c r="I1407" t="s">
        <v>97</v>
      </c>
      <c r="J1407" t="s">
        <v>26</v>
      </c>
      <c r="K1407">
        <v>6734</v>
      </c>
      <c r="L1407" s="5" t="str">
        <f>IF(OR(K1407&lt;Answers!$C$16,Orders!K1407&gt;Answers!$C$17),"Yes","No")</f>
        <v>No</v>
      </c>
      <c r="M1407" s="14">
        <f>VLOOKUP(B1407,Customers!$A$1:$E$2501,4,0)</f>
        <v>75</v>
      </c>
    </row>
    <row r="1408" spans="1:13" x14ac:dyDescent="0.3">
      <c r="A1408">
        <v>936455</v>
      </c>
      <c r="B1408">
        <v>452</v>
      </c>
      <c r="C1408" s="1" t="s">
        <v>104</v>
      </c>
      <c r="D1408" s="7">
        <v>44940</v>
      </c>
      <c r="E1408" s="11">
        <v>0.53194444444444444</v>
      </c>
      <c r="F1408" s="15">
        <f t="shared" si="63"/>
        <v>1</v>
      </c>
      <c r="G1408" s="10" t="str">
        <f t="shared" si="64"/>
        <v>Saturday</v>
      </c>
      <c r="H1408" s="9" t="str">
        <f t="shared" si="65"/>
        <v>January</v>
      </c>
      <c r="I1408" t="s">
        <v>190</v>
      </c>
      <c r="J1408" t="s">
        <v>68</v>
      </c>
      <c r="K1408">
        <v>9527</v>
      </c>
      <c r="L1408" s="5" t="str">
        <f>IF(OR(K1408&lt;Answers!$C$16,Orders!K1408&gt;Answers!$C$17),"Yes","No")</f>
        <v>No</v>
      </c>
      <c r="M1408" s="14">
        <f>VLOOKUP(B1408,Customers!$A$1:$E$2501,4,0)</f>
        <v>75</v>
      </c>
    </row>
    <row r="1409" spans="1:13" x14ac:dyDescent="0.3">
      <c r="A1409">
        <v>937222</v>
      </c>
      <c r="B1409">
        <v>1095</v>
      </c>
      <c r="C1409" s="1" t="s">
        <v>112</v>
      </c>
      <c r="D1409" s="7">
        <v>44953</v>
      </c>
      <c r="E1409" s="11">
        <v>36617</v>
      </c>
      <c r="F1409" s="15">
        <f t="shared" si="63"/>
        <v>1</v>
      </c>
      <c r="G1409" s="10" t="str">
        <f t="shared" si="64"/>
        <v>Friday</v>
      </c>
      <c r="H1409" s="9" t="str">
        <f t="shared" si="65"/>
        <v>January</v>
      </c>
      <c r="I1409" t="s">
        <v>95</v>
      </c>
      <c r="J1409" t="s">
        <v>25</v>
      </c>
      <c r="K1409">
        <v>2890</v>
      </c>
      <c r="L1409" s="5" t="str">
        <f>IF(OR(K1409&lt;Answers!$C$16,Orders!K1409&gt;Answers!$C$17),"Yes","No")</f>
        <v>No</v>
      </c>
      <c r="M1409" s="14">
        <f>VLOOKUP(B1409,Customers!$A$1:$E$2501,4,0)</f>
        <v>58</v>
      </c>
    </row>
    <row r="1410" spans="1:13" x14ac:dyDescent="0.3">
      <c r="A1410">
        <v>937462</v>
      </c>
      <c r="B1410">
        <v>1858</v>
      </c>
      <c r="C1410" s="1" t="s">
        <v>98</v>
      </c>
      <c r="D1410" s="7">
        <v>45219</v>
      </c>
      <c r="E1410" s="11">
        <v>0.49583333333333335</v>
      </c>
      <c r="F1410" s="15">
        <f t="shared" si="63"/>
        <v>10</v>
      </c>
      <c r="G1410" s="10" t="str">
        <f t="shared" si="64"/>
        <v>Friday</v>
      </c>
      <c r="H1410" s="9" t="str">
        <f t="shared" si="65"/>
        <v>October</v>
      </c>
      <c r="I1410" t="s">
        <v>96</v>
      </c>
      <c r="J1410" t="s">
        <v>26</v>
      </c>
      <c r="K1410">
        <v>2327</v>
      </c>
      <c r="L1410" s="5" t="str">
        <f>IF(OR(K1410&lt;Answers!$C$16,Orders!K1410&gt;Answers!$C$17),"Yes","No")</f>
        <v>No</v>
      </c>
      <c r="M1410" s="14">
        <f>VLOOKUP(B1410,Customers!$A$1:$E$2501,4,0)</f>
        <v>59</v>
      </c>
    </row>
    <row r="1411" spans="1:13" x14ac:dyDescent="0.3">
      <c r="A1411">
        <v>938620</v>
      </c>
      <c r="B1411">
        <v>1556</v>
      </c>
      <c r="C1411" s="1" t="s">
        <v>100</v>
      </c>
      <c r="D1411" s="7">
        <v>45020</v>
      </c>
      <c r="E1411" s="11">
        <v>7.9166666666666663E-2</v>
      </c>
      <c r="F1411" s="15">
        <f t="shared" ref="F1411:F1474" si="66">MONTH(D1411)</f>
        <v>4</v>
      </c>
      <c r="G1411" s="10" t="str">
        <f t="shared" ref="G1411:G1474" si="67">TEXT(D1411,"dddd")</f>
        <v>Tuesday</v>
      </c>
      <c r="H1411" s="9" t="str">
        <f t="shared" ref="H1411:H1474" si="68">TEXT(D1411,"mmmm")</f>
        <v>April</v>
      </c>
      <c r="I1411" t="s">
        <v>97</v>
      </c>
      <c r="J1411" t="s">
        <v>80</v>
      </c>
      <c r="K1411">
        <v>1142</v>
      </c>
      <c r="L1411" s="5" t="str">
        <f>IF(OR(K1411&lt;Answers!$C$16,Orders!K1411&gt;Answers!$C$17),"Yes","No")</f>
        <v>No</v>
      </c>
      <c r="M1411" s="14">
        <f>VLOOKUP(B1411,Customers!$A$1:$E$2501,4,0)</f>
        <v>76</v>
      </c>
    </row>
    <row r="1412" spans="1:13" x14ac:dyDescent="0.3">
      <c r="A1412">
        <v>940084</v>
      </c>
      <c r="B1412">
        <v>239</v>
      </c>
      <c r="C1412" s="1" t="s">
        <v>112</v>
      </c>
      <c r="D1412" s="7">
        <v>45188</v>
      </c>
      <c r="E1412" s="11">
        <v>36658</v>
      </c>
      <c r="F1412" s="15">
        <f t="shared" si="66"/>
        <v>9</v>
      </c>
      <c r="G1412" s="10" t="str">
        <f t="shared" si="67"/>
        <v>Tuesday</v>
      </c>
      <c r="H1412" s="9" t="str">
        <f t="shared" si="68"/>
        <v>September</v>
      </c>
      <c r="I1412" t="s">
        <v>190</v>
      </c>
      <c r="J1412" t="s">
        <v>70</v>
      </c>
      <c r="K1412">
        <v>2257</v>
      </c>
      <c r="L1412" s="5" t="str">
        <f>IF(OR(K1412&lt;Answers!$C$16,Orders!K1412&gt;Answers!$C$17),"Yes","No")</f>
        <v>No</v>
      </c>
      <c r="M1412" s="14">
        <f>VLOOKUP(B1412,Customers!$A$1:$E$2501,4,0)</f>
        <v>77</v>
      </c>
    </row>
    <row r="1413" spans="1:13" x14ac:dyDescent="0.3">
      <c r="A1413">
        <v>941028</v>
      </c>
      <c r="B1413">
        <v>1311</v>
      </c>
      <c r="C1413" s="1" t="s">
        <v>98</v>
      </c>
      <c r="D1413" s="7">
        <v>45188</v>
      </c>
      <c r="E1413" s="11">
        <v>0.47708333333333336</v>
      </c>
      <c r="F1413" s="15">
        <f t="shared" si="66"/>
        <v>9</v>
      </c>
      <c r="G1413" s="10" t="str">
        <f t="shared" si="67"/>
        <v>Tuesday</v>
      </c>
      <c r="H1413" s="9" t="str">
        <f t="shared" si="68"/>
        <v>September</v>
      </c>
      <c r="I1413" t="s">
        <v>96</v>
      </c>
      <c r="J1413" t="s">
        <v>6</v>
      </c>
      <c r="K1413">
        <v>9422</v>
      </c>
      <c r="L1413" s="5" t="str">
        <f>IF(OR(K1413&lt;Answers!$C$16,Orders!K1413&gt;Answers!$C$17),"Yes","No")</f>
        <v>No</v>
      </c>
      <c r="M1413" s="14">
        <f>VLOOKUP(B1413,Customers!$A$1:$E$2501,4,0)</f>
        <v>20</v>
      </c>
    </row>
    <row r="1414" spans="1:13" x14ac:dyDescent="0.3">
      <c r="A1414">
        <v>941315</v>
      </c>
      <c r="B1414">
        <v>1856</v>
      </c>
      <c r="C1414" s="1" t="s">
        <v>98</v>
      </c>
      <c r="D1414" s="7">
        <v>45023</v>
      </c>
      <c r="E1414" s="11">
        <v>36842</v>
      </c>
      <c r="F1414" s="15">
        <f t="shared" si="66"/>
        <v>4</v>
      </c>
      <c r="G1414" s="10" t="str">
        <f t="shared" si="67"/>
        <v>Friday</v>
      </c>
      <c r="H1414" s="9" t="str">
        <f t="shared" si="68"/>
        <v>April</v>
      </c>
      <c r="I1414" t="s">
        <v>96</v>
      </c>
      <c r="J1414" t="s">
        <v>26</v>
      </c>
      <c r="K1414">
        <v>6848</v>
      </c>
      <c r="L1414" s="5" t="str">
        <f>IF(OR(K1414&lt;Answers!$C$16,Orders!K1414&gt;Answers!$C$17),"Yes","No")</f>
        <v>No</v>
      </c>
      <c r="M1414" s="14">
        <f>VLOOKUP(B1414,Customers!$A$1:$E$2501,4,0)</f>
        <v>78</v>
      </c>
    </row>
    <row r="1415" spans="1:13" x14ac:dyDescent="0.3">
      <c r="A1415">
        <v>942316</v>
      </c>
      <c r="B1415">
        <v>608</v>
      </c>
      <c r="C1415" s="1" t="s">
        <v>107</v>
      </c>
      <c r="D1415" s="7">
        <v>44930</v>
      </c>
      <c r="E1415" s="11">
        <v>0.53333333333333333</v>
      </c>
      <c r="F1415" s="15">
        <f t="shared" si="66"/>
        <v>1</v>
      </c>
      <c r="G1415" s="10" t="str">
        <f t="shared" si="67"/>
        <v>Wednesday</v>
      </c>
      <c r="H1415" s="9" t="str">
        <f t="shared" si="68"/>
        <v>January</v>
      </c>
      <c r="I1415" t="s">
        <v>190</v>
      </c>
      <c r="J1415" t="s">
        <v>64</v>
      </c>
      <c r="K1415">
        <v>455</v>
      </c>
      <c r="L1415" s="5" t="str">
        <f>IF(OR(K1415&lt;Answers!$C$16,Orders!K1415&gt;Answers!$C$17),"Yes","No")</f>
        <v>No</v>
      </c>
      <c r="M1415" s="14">
        <f>VLOOKUP(B1415,Customers!$A$1:$E$2501,4,0)</f>
        <v>57</v>
      </c>
    </row>
    <row r="1416" spans="1:13" x14ac:dyDescent="0.3">
      <c r="A1416">
        <v>942544</v>
      </c>
      <c r="B1416">
        <v>233</v>
      </c>
      <c r="C1416" s="1" t="s">
        <v>106</v>
      </c>
      <c r="D1416" s="7">
        <v>45106</v>
      </c>
      <c r="E1416" s="11">
        <v>36780</v>
      </c>
      <c r="F1416" s="15">
        <f t="shared" si="66"/>
        <v>6</v>
      </c>
      <c r="G1416" s="10" t="str">
        <f t="shared" si="67"/>
        <v>Thursday</v>
      </c>
      <c r="H1416" s="9" t="str">
        <f t="shared" si="68"/>
        <v>June</v>
      </c>
      <c r="I1416" t="s">
        <v>95</v>
      </c>
      <c r="J1416" t="s">
        <v>23</v>
      </c>
      <c r="K1416">
        <v>5264</v>
      </c>
      <c r="L1416" s="5" t="str">
        <f>IF(OR(K1416&lt;Answers!$C$16,Orders!K1416&gt;Answers!$C$17),"Yes","No")</f>
        <v>No</v>
      </c>
      <c r="M1416" s="14">
        <f>VLOOKUP(B1416,Customers!$A$1:$E$2501,4,0)</f>
        <v>30</v>
      </c>
    </row>
    <row r="1417" spans="1:13" x14ac:dyDescent="0.3">
      <c r="A1417">
        <v>942561</v>
      </c>
      <c r="B1417">
        <v>1263</v>
      </c>
      <c r="C1417" s="1" t="s">
        <v>98</v>
      </c>
      <c r="D1417" s="7">
        <v>45212</v>
      </c>
      <c r="E1417" s="11">
        <v>0.49444444444444446</v>
      </c>
      <c r="F1417" s="15">
        <f t="shared" si="66"/>
        <v>10</v>
      </c>
      <c r="G1417" s="10" t="str">
        <f t="shared" si="67"/>
        <v>Friday</v>
      </c>
      <c r="H1417" s="9" t="str">
        <f t="shared" si="68"/>
        <v>October</v>
      </c>
      <c r="I1417" t="s">
        <v>95</v>
      </c>
      <c r="J1417" t="s">
        <v>80</v>
      </c>
      <c r="K1417">
        <v>1046</v>
      </c>
      <c r="L1417" s="5" t="str">
        <f>IF(OR(K1417&lt;Answers!$C$16,Orders!K1417&gt;Answers!$C$17),"Yes","No")</f>
        <v>No</v>
      </c>
      <c r="M1417" s="14">
        <f>VLOOKUP(B1417,Customers!$A$1:$E$2501,4,0)</f>
        <v>78</v>
      </c>
    </row>
    <row r="1418" spans="1:13" x14ac:dyDescent="0.3">
      <c r="A1418">
        <v>943149</v>
      </c>
      <c r="B1418">
        <v>640</v>
      </c>
      <c r="C1418" s="1" t="s">
        <v>99</v>
      </c>
      <c r="D1418" s="7">
        <v>45193</v>
      </c>
      <c r="E1418" s="11">
        <v>0.44930555555555557</v>
      </c>
      <c r="F1418" s="15">
        <f t="shared" si="66"/>
        <v>9</v>
      </c>
      <c r="G1418" s="10" t="str">
        <f t="shared" si="67"/>
        <v>Sunday</v>
      </c>
      <c r="H1418" s="9" t="str">
        <f t="shared" si="68"/>
        <v>September</v>
      </c>
      <c r="I1418" t="s">
        <v>190</v>
      </c>
      <c r="J1418" t="s">
        <v>87</v>
      </c>
      <c r="K1418">
        <v>6730</v>
      </c>
      <c r="L1418" s="5" t="str">
        <f>IF(OR(K1418&lt;Answers!$C$16,Orders!K1418&gt;Answers!$C$17),"Yes","No")</f>
        <v>No</v>
      </c>
      <c r="M1418" s="14">
        <f>VLOOKUP(B1418,Customers!$A$1:$E$2501,4,0)</f>
        <v>51</v>
      </c>
    </row>
    <row r="1419" spans="1:13" x14ac:dyDescent="0.3">
      <c r="A1419">
        <v>943915</v>
      </c>
      <c r="B1419">
        <v>778</v>
      </c>
      <c r="C1419" s="1" t="s">
        <v>99</v>
      </c>
      <c r="D1419" s="7">
        <v>44989</v>
      </c>
      <c r="E1419" s="11">
        <v>6.3888888888888884E-2</v>
      </c>
      <c r="F1419" s="15">
        <f t="shared" si="66"/>
        <v>3</v>
      </c>
      <c r="G1419" s="10" t="str">
        <f t="shared" si="67"/>
        <v>Saturday</v>
      </c>
      <c r="H1419" s="9" t="str">
        <f t="shared" si="68"/>
        <v>March</v>
      </c>
      <c r="I1419" t="s">
        <v>95</v>
      </c>
      <c r="J1419" t="s">
        <v>45</v>
      </c>
      <c r="K1419">
        <v>8064</v>
      </c>
      <c r="L1419" s="5" t="str">
        <f>IF(OR(K1419&lt;Answers!$C$16,Orders!K1419&gt;Answers!$C$17),"Yes","No")</f>
        <v>No</v>
      </c>
      <c r="M1419" s="14">
        <f>VLOOKUP(B1419,Customers!$A$1:$E$2501,4,0)</f>
        <v>26</v>
      </c>
    </row>
    <row r="1420" spans="1:13" x14ac:dyDescent="0.3">
      <c r="A1420">
        <v>944561</v>
      </c>
      <c r="B1420">
        <v>1343</v>
      </c>
      <c r="C1420" s="1" t="s">
        <v>98</v>
      </c>
      <c r="D1420" s="7">
        <v>44981</v>
      </c>
      <c r="E1420" s="11">
        <v>0.45833333333333331</v>
      </c>
      <c r="F1420" s="15">
        <f t="shared" si="66"/>
        <v>2</v>
      </c>
      <c r="G1420" s="10" t="str">
        <f t="shared" si="67"/>
        <v>Friday</v>
      </c>
      <c r="H1420" s="9" t="str">
        <f t="shared" si="68"/>
        <v>February</v>
      </c>
      <c r="I1420" t="s">
        <v>96</v>
      </c>
      <c r="J1420" t="s">
        <v>81</v>
      </c>
      <c r="K1420">
        <v>439</v>
      </c>
      <c r="L1420" s="5" t="str">
        <f>IF(OR(K1420&lt;Answers!$C$16,Orders!K1420&gt;Answers!$C$17),"Yes","No")</f>
        <v>No</v>
      </c>
      <c r="M1420" s="14">
        <f>VLOOKUP(B1420,Customers!$A$1:$E$2501,4,0)</f>
        <v>32</v>
      </c>
    </row>
    <row r="1421" spans="1:13" x14ac:dyDescent="0.3">
      <c r="A1421">
        <v>946141</v>
      </c>
      <c r="B1421">
        <v>1208</v>
      </c>
      <c r="C1421" s="1" t="s">
        <v>98</v>
      </c>
      <c r="D1421" s="7">
        <v>45036</v>
      </c>
      <c r="E1421" s="11">
        <v>5.9722222222222225E-2</v>
      </c>
      <c r="F1421" s="15">
        <f t="shared" si="66"/>
        <v>4</v>
      </c>
      <c r="G1421" s="10" t="str">
        <f t="shared" si="67"/>
        <v>Thursday</v>
      </c>
      <c r="H1421" s="9" t="str">
        <f t="shared" si="68"/>
        <v>April</v>
      </c>
      <c r="I1421" t="s">
        <v>95</v>
      </c>
      <c r="J1421" t="s">
        <v>16</v>
      </c>
      <c r="K1421">
        <v>6931</v>
      </c>
      <c r="L1421" s="5" t="str">
        <f>IF(OR(K1421&lt;Answers!$C$16,Orders!K1421&gt;Answers!$C$17),"Yes","No")</f>
        <v>No</v>
      </c>
      <c r="M1421" s="14">
        <f>VLOOKUP(B1421,Customers!$A$1:$E$2501,4,0)</f>
        <v>73</v>
      </c>
    </row>
    <row r="1422" spans="1:13" x14ac:dyDescent="0.3">
      <c r="A1422">
        <v>946167</v>
      </c>
      <c r="B1422">
        <v>1512</v>
      </c>
      <c r="C1422" s="1" t="s">
        <v>107</v>
      </c>
      <c r="D1422" s="7">
        <v>45264</v>
      </c>
      <c r="E1422" s="11">
        <v>0.49583333333333335</v>
      </c>
      <c r="F1422" s="15">
        <f t="shared" si="66"/>
        <v>12</v>
      </c>
      <c r="G1422" s="10" t="str">
        <f t="shared" si="67"/>
        <v>Monday</v>
      </c>
      <c r="H1422" s="9" t="str">
        <f t="shared" si="68"/>
        <v>December</v>
      </c>
      <c r="I1422" t="s">
        <v>97</v>
      </c>
      <c r="J1422" t="s">
        <v>42</v>
      </c>
      <c r="K1422">
        <v>236</v>
      </c>
      <c r="L1422" s="5" t="str">
        <f>IF(OR(K1422&lt;Answers!$C$16,Orders!K1422&gt;Answers!$C$17),"Yes","No")</f>
        <v>No</v>
      </c>
      <c r="M1422" s="14">
        <f>VLOOKUP(B1422,Customers!$A$1:$E$2501,4,0)</f>
        <v>28</v>
      </c>
    </row>
    <row r="1423" spans="1:13" x14ac:dyDescent="0.3">
      <c r="A1423">
        <v>946580</v>
      </c>
      <c r="B1423">
        <v>91</v>
      </c>
      <c r="C1423" s="1" t="s">
        <v>104</v>
      </c>
      <c r="D1423" s="7">
        <v>45257</v>
      </c>
      <c r="E1423" s="11">
        <v>36567</v>
      </c>
      <c r="F1423" s="15">
        <f t="shared" si="66"/>
        <v>11</v>
      </c>
      <c r="G1423" s="10" t="str">
        <f t="shared" si="67"/>
        <v>Monday</v>
      </c>
      <c r="H1423" s="9" t="str">
        <f t="shared" si="68"/>
        <v>November</v>
      </c>
      <c r="I1423" t="s">
        <v>96</v>
      </c>
      <c r="J1423" t="s">
        <v>43</v>
      </c>
      <c r="K1423">
        <v>8726</v>
      </c>
      <c r="L1423" s="5" t="str">
        <f>IF(OR(K1423&lt;Answers!$C$16,Orders!K1423&gt;Answers!$C$17),"Yes","No")</f>
        <v>No</v>
      </c>
      <c r="M1423" s="14">
        <f>VLOOKUP(B1423,Customers!$A$1:$E$2501,4,0)</f>
        <v>61</v>
      </c>
    </row>
    <row r="1424" spans="1:13" x14ac:dyDescent="0.3">
      <c r="A1424">
        <v>946964</v>
      </c>
      <c r="B1424">
        <v>281</v>
      </c>
      <c r="C1424" s="1" t="s">
        <v>98</v>
      </c>
      <c r="D1424" s="7">
        <v>44981</v>
      </c>
      <c r="E1424" s="11">
        <v>0.53055555555555556</v>
      </c>
      <c r="F1424" s="15">
        <f t="shared" si="66"/>
        <v>2</v>
      </c>
      <c r="G1424" s="10" t="str">
        <f t="shared" si="67"/>
        <v>Friday</v>
      </c>
      <c r="H1424" s="9" t="str">
        <f t="shared" si="68"/>
        <v>February</v>
      </c>
      <c r="I1424" t="s">
        <v>97</v>
      </c>
      <c r="J1424" t="s">
        <v>77</v>
      </c>
      <c r="K1424">
        <v>6535</v>
      </c>
      <c r="L1424" s="5" t="str">
        <f>IF(OR(K1424&lt;Answers!$C$16,Orders!K1424&gt;Answers!$C$17),"Yes","No")</f>
        <v>No</v>
      </c>
      <c r="M1424" s="14">
        <f>VLOOKUP(B1424,Customers!$A$1:$E$2501,4,0)</f>
        <v>75</v>
      </c>
    </row>
    <row r="1425" spans="1:13" x14ac:dyDescent="0.3">
      <c r="A1425">
        <v>947335</v>
      </c>
      <c r="B1425">
        <v>1539</v>
      </c>
      <c r="C1425" s="1" t="s">
        <v>98</v>
      </c>
      <c r="D1425" s="7">
        <v>45154</v>
      </c>
      <c r="E1425" s="11">
        <v>0.51180555555555551</v>
      </c>
      <c r="F1425" s="15">
        <f t="shared" si="66"/>
        <v>8</v>
      </c>
      <c r="G1425" s="10" t="str">
        <f t="shared" si="67"/>
        <v>Wednesday</v>
      </c>
      <c r="H1425" s="9" t="str">
        <f t="shared" si="68"/>
        <v>August</v>
      </c>
      <c r="I1425" t="s">
        <v>97</v>
      </c>
      <c r="J1425" t="s">
        <v>26</v>
      </c>
      <c r="K1425">
        <v>4146</v>
      </c>
      <c r="L1425" s="5" t="str">
        <f>IF(OR(K1425&lt;Answers!$C$16,Orders!K1425&gt;Answers!$C$17),"Yes","No")</f>
        <v>No</v>
      </c>
      <c r="M1425" s="14">
        <f>VLOOKUP(B1425,Customers!$A$1:$E$2501,4,0)</f>
        <v>73</v>
      </c>
    </row>
    <row r="1426" spans="1:13" x14ac:dyDescent="0.3">
      <c r="A1426">
        <v>947369</v>
      </c>
      <c r="B1426">
        <v>1510</v>
      </c>
      <c r="C1426" s="1" t="s">
        <v>102</v>
      </c>
      <c r="D1426" s="7">
        <v>45117</v>
      </c>
      <c r="E1426" s="11">
        <v>0.51388888888888884</v>
      </c>
      <c r="F1426" s="15">
        <f t="shared" si="66"/>
        <v>7</v>
      </c>
      <c r="G1426" s="10" t="str">
        <f t="shared" si="67"/>
        <v>Monday</v>
      </c>
      <c r="H1426" s="9" t="str">
        <f t="shared" si="68"/>
        <v>July</v>
      </c>
      <c r="I1426" t="s">
        <v>96</v>
      </c>
      <c r="J1426" t="s">
        <v>58</v>
      </c>
      <c r="K1426">
        <v>5208</v>
      </c>
      <c r="L1426" s="5" t="str">
        <f>IF(OR(K1426&lt;Answers!$C$16,Orders!K1426&gt;Answers!$C$17),"Yes","No")</f>
        <v>No</v>
      </c>
      <c r="M1426" s="14">
        <f>VLOOKUP(B1426,Customers!$A$1:$E$2501,4,0)</f>
        <v>23</v>
      </c>
    </row>
    <row r="1427" spans="1:13" x14ac:dyDescent="0.3">
      <c r="A1427">
        <v>950100</v>
      </c>
      <c r="B1427">
        <v>567</v>
      </c>
      <c r="C1427" s="1" t="s">
        <v>100</v>
      </c>
      <c r="D1427" s="7">
        <v>45267</v>
      </c>
      <c r="E1427" s="11">
        <v>36810</v>
      </c>
      <c r="F1427" s="15">
        <f t="shared" si="66"/>
        <v>12</v>
      </c>
      <c r="G1427" s="10" t="str">
        <f t="shared" si="67"/>
        <v>Thursday</v>
      </c>
      <c r="H1427" s="9" t="str">
        <f t="shared" si="68"/>
        <v>December</v>
      </c>
      <c r="I1427" t="s">
        <v>97</v>
      </c>
      <c r="J1427" t="s">
        <v>86</v>
      </c>
      <c r="K1427">
        <v>4903</v>
      </c>
      <c r="L1427" s="5" t="str">
        <f>IF(OR(K1427&lt;Answers!$C$16,Orders!K1427&gt;Answers!$C$17),"Yes","No")</f>
        <v>No</v>
      </c>
      <c r="M1427" s="14">
        <f>VLOOKUP(B1427,Customers!$A$1:$E$2501,4,0)</f>
        <v>37</v>
      </c>
    </row>
    <row r="1428" spans="1:13" x14ac:dyDescent="0.3">
      <c r="A1428">
        <v>950345</v>
      </c>
      <c r="B1428">
        <v>608</v>
      </c>
      <c r="C1428" s="1" t="s">
        <v>107</v>
      </c>
      <c r="D1428" s="7">
        <v>44970</v>
      </c>
      <c r="E1428" s="11">
        <v>8.3333333333333329E-2</v>
      </c>
      <c r="F1428" s="15">
        <f t="shared" si="66"/>
        <v>2</v>
      </c>
      <c r="G1428" s="10" t="str">
        <f t="shared" si="67"/>
        <v>Monday</v>
      </c>
      <c r="H1428" s="9" t="str">
        <f t="shared" si="68"/>
        <v>February</v>
      </c>
      <c r="I1428" t="s">
        <v>95</v>
      </c>
      <c r="J1428" t="s">
        <v>77</v>
      </c>
      <c r="K1428">
        <v>4841</v>
      </c>
      <c r="L1428" s="5" t="str">
        <f>IF(OR(K1428&lt;Answers!$C$16,Orders!K1428&gt;Answers!$C$17),"Yes","No")</f>
        <v>No</v>
      </c>
      <c r="M1428" s="14">
        <f>VLOOKUP(B1428,Customers!$A$1:$E$2501,4,0)</f>
        <v>57</v>
      </c>
    </row>
    <row r="1429" spans="1:13" x14ac:dyDescent="0.3">
      <c r="A1429">
        <v>951047</v>
      </c>
      <c r="B1429">
        <v>753</v>
      </c>
      <c r="C1429" s="1" t="s">
        <v>98</v>
      </c>
      <c r="D1429" s="7">
        <v>44938</v>
      </c>
      <c r="E1429" s="11">
        <v>0.48958333333333331</v>
      </c>
      <c r="F1429" s="15">
        <f t="shared" si="66"/>
        <v>1</v>
      </c>
      <c r="G1429" s="10" t="str">
        <f t="shared" si="67"/>
        <v>Thursday</v>
      </c>
      <c r="H1429" s="9" t="str">
        <f t="shared" si="68"/>
        <v>January</v>
      </c>
      <c r="I1429" t="s">
        <v>190</v>
      </c>
      <c r="J1429" t="s">
        <v>26</v>
      </c>
      <c r="K1429">
        <v>1714</v>
      </c>
      <c r="L1429" s="5" t="str">
        <f>IF(OR(K1429&lt;Answers!$C$16,Orders!K1429&gt;Answers!$C$17),"Yes","No")</f>
        <v>No</v>
      </c>
      <c r="M1429" s="14">
        <f>VLOOKUP(B1429,Customers!$A$1:$E$2501,4,0)</f>
        <v>18</v>
      </c>
    </row>
    <row r="1430" spans="1:13" x14ac:dyDescent="0.3">
      <c r="A1430">
        <v>951353</v>
      </c>
      <c r="B1430">
        <v>1243</v>
      </c>
      <c r="C1430" s="1" t="s">
        <v>104</v>
      </c>
      <c r="D1430" s="7">
        <v>45117</v>
      </c>
      <c r="E1430" s="11">
        <v>0.52013888888888893</v>
      </c>
      <c r="F1430" s="15">
        <f t="shared" si="66"/>
        <v>7</v>
      </c>
      <c r="G1430" s="10" t="str">
        <f t="shared" si="67"/>
        <v>Monday</v>
      </c>
      <c r="H1430" s="9" t="str">
        <f t="shared" si="68"/>
        <v>July</v>
      </c>
      <c r="I1430" t="s">
        <v>96</v>
      </c>
      <c r="J1430" t="s">
        <v>68</v>
      </c>
      <c r="K1430">
        <v>9524</v>
      </c>
      <c r="L1430" s="5" t="str">
        <f>IF(OR(K1430&lt;Answers!$C$16,Orders!K1430&gt;Answers!$C$17),"Yes","No")</f>
        <v>No</v>
      </c>
      <c r="M1430" s="14">
        <f>VLOOKUP(B1430,Customers!$A$1:$E$2501,4,0)</f>
        <v>24</v>
      </c>
    </row>
    <row r="1431" spans="1:13" x14ac:dyDescent="0.3">
      <c r="A1431">
        <v>951780</v>
      </c>
      <c r="B1431">
        <v>1945</v>
      </c>
      <c r="C1431" s="1" t="s">
        <v>98</v>
      </c>
      <c r="D1431" s="7">
        <v>45131</v>
      </c>
      <c r="E1431" s="11">
        <v>0.52430555555555558</v>
      </c>
      <c r="F1431" s="15">
        <f t="shared" si="66"/>
        <v>7</v>
      </c>
      <c r="G1431" s="10" t="str">
        <f t="shared" si="67"/>
        <v>Monday</v>
      </c>
      <c r="H1431" s="9" t="str">
        <f t="shared" si="68"/>
        <v>July</v>
      </c>
      <c r="I1431" t="s">
        <v>190</v>
      </c>
      <c r="J1431" t="s">
        <v>88</v>
      </c>
      <c r="K1431">
        <v>6963</v>
      </c>
      <c r="L1431" s="5" t="str">
        <f>IF(OR(K1431&lt;Answers!$C$16,Orders!K1431&gt;Answers!$C$17),"Yes","No")</f>
        <v>No</v>
      </c>
      <c r="M1431" s="14">
        <f>VLOOKUP(B1431,Customers!$A$1:$E$2501,4,0)</f>
        <v>62</v>
      </c>
    </row>
    <row r="1432" spans="1:13" x14ac:dyDescent="0.3">
      <c r="A1432">
        <v>952497</v>
      </c>
      <c r="B1432">
        <v>1649</v>
      </c>
      <c r="C1432" s="1" t="s">
        <v>98</v>
      </c>
      <c r="D1432" s="7">
        <v>45215</v>
      </c>
      <c r="E1432" s="11">
        <v>0.48125000000000001</v>
      </c>
      <c r="F1432" s="15">
        <f t="shared" si="66"/>
        <v>10</v>
      </c>
      <c r="G1432" s="10" t="str">
        <f t="shared" si="67"/>
        <v>Monday</v>
      </c>
      <c r="H1432" s="9" t="str">
        <f t="shared" si="68"/>
        <v>October</v>
      </c>
      <c r="I1432" t="s">
        <v>95</v>
      </c>
      <c r="J1432" t="s">
        <v>26</v>
      </c>
      <c r="K1432">
        <v>1132</v>
      </c>
      <c r="L1432" s="5" t="str">
        <f>IF(OR(K1432&lt;Answers!$C$16,Orders!K1432&gt;Answers!$C$17),"Yes","No")</f>
        <v>No</v>
      </c>
      <c r="M1432" s="14">
        <f>VLOOKUP(B1432,Customers!$A$1:$E$2501,4,0)</f>
        <v>27</v>
      </c>
    </row>
    <row r="1433" spans="1:13" x14ac:dyDescent="0.3">
      <c r="A1433">
        <v>952618</v>
      </c>
      <c r="B1433">
        <v>1539</v>
      </c>
      <c r="C1433" s="1" t="s">
        <v>98</v>
      </c>
      <c r="D1433" s="7">
        <v>45023</v>
      </c>
      <c r="E1433" s="11">
        <v>36770</v>
      </c>
      <c r="F1433" s="15">
        <f t="shared" si="66"/>
        <v>4</v>
      </c>
      <c r="G1433" s="10" t="str">
        <f t="shared" si="67"/>
        <v>Friday</v>
      </c>
      <c r="H1433" s="9" t="str">
        <f t="shared" si="68"/>
        <v>April</v>
      </c>
      <c r="I1433" t="s">
        <v>95</v>
      </c>
      <c r="J1433" t="s">
        <v>24</v>
      </c>
      <c r="K1433">
        <v>1048</v>
      </c>
      <c r="L1433" s="5" t="str">
        <f>IF(OR(K1433&lt;Answers!$C$16,Orders!K1433&gt;Answers!$C$17),"Yes","No")</f>
        <v>No</v>
      </c>
      <c r="M1433" s="14">
        <f>VLOOKUP(B1433,Customers!$A$1:$E$2501,4,0)</f>
        <v>73</v>
      </c>
    </row>
    <row r="1434" spans="1:13" x14ac:dyDescent="0.3">
      <c r="A1434">
        <v>953006</v>
      </c>
      <c r="B1434">
        <v>1500</v>
      </c>
      <c r="C1434" s="1" t="s">
        <v>98</v>
      </c>
      <c r="D1434" s="7">
        <v>45246</v>
      </c>
      <c r="E1434" s="11">
        <v>0.52361111111111114</v>
      </c>
      <c r="F1434" s="15">
        <f t="shared" si="66"/>
        <v>11</v>
      </c>
      <c r="G1434" s="10" t="str">
        <f t="shared" si="67"/>
        <v>Thursday</v>
      </c>
      <c r="H1434" s="9" t="str">
        <f t="shared" si="68"/>
        <v>November</v>
      </c>
      <c r="I1434" t="s">
        <v>97</v>
      </c>
      <c r="J1434" t="s">
        <v>80</v>
      </c>
      <c r="K1434">
        <v>9376</v>
      </c>
      <c r="L1434" s="5" t="str">
        <f>IF(OR(K1434&lt;Answers!$C$16,Orders!K1434&gt;Answers!$C$17),"Yes","No")</f>
        <v>No</v>
      </c>
      <c r="M1434" s="14">
        <f>VLOOKUP(B1434,Customers!$A$1:$E$2501,4,0)</f>
        <v>19</v>
      </c>
    </row>
    <row r="1435" spans="1:13" x14ac:dyDescent="0.3">
      <c r="A1435">
        <v>953922</v>
      </c>
      <c r="B1435">
        <v>1112</v>
      </c>
      <c r="C1435" s="1" t="s">
        <v>104</v>
      </c>
      <c r="D1435" s="7">
        <v>45206</v>
      </c>
      <c r="E1435" s="11">
        <v>36628</v>
      </c>
      <c r="F1435" s="15">
        <f t="shared" si="66"/>
        <v>10</v>
      </c>
      <c r="G1435" s="10" t="str">
        <f t="shared" si="67"/>
        <v>Saturday</v>
      </c>
      <c r="H1435" s="9" t="str">
        <f t="shared" si="68"/>
        <v>October</v>
      </c>
      <c r="I1435" t="s">
        <v>97</v>
      </c>
      <c r="J1435" t="s">
        <v>70</v>
      </c>
      <c r="K1435">
        <v>4161</v>
      </c>
      <c r="L1435" s="5" t="str">
        <f>IF(OR(K1435&lt;Answers!$C$16,Orders!K1435&gt;Answers!$C$17),"Yes","No")</f>
        <v>No</v>
      </c>
      <c r="M1435" s="14">
        <f>VLOOKUP(B1435,Customers!$A$1:$E$2501,4,0)</f>
        <v>30</v>
      </c>
    </row>
    <row r="1436" spans="1:13" x14ac:dyDescent="0.3">
      <c r="A1436">
        <v>953981</v>
      </c>
      <c r="B1436">
        <v>1513</v>
      </c>
      <c r="C1436" s="1" t="s">
        <v>98</v>
      </c>
      <c r="D1436" s="7">
        <v>45204</v>
      </c>
      <c r="E1436" s="11">
        <v>0.51944444444444449</v>
      </c>
      <c r="F1436" s="15">
        <f t="shared" si="66"/>
        <v>10</v>
      </c>
      <c r="G1436" s="10" t="str">
        <f t="shared" si="67"/>
        <v>Thursday</v>
      </c>
      <c r="H1436" s="9" t="str">
        <f t="shared" si="68"/>
        <v>October</v>
      </c>
      <c r="I1436" t="s">
        <v>95</v>
      </c>
      <c r="J1436" t="s">
        <v>6</v>
      </c>
      <c r="K1436">
        <v>9670</v>
      </c>
      <c r="L1436" s="5" t="str">
        <f>IF(OR(K1436&lt;Answers!$C$16,Orders!K1436&gt;Answers!$C$17),"Yes","No")</f>
        <v>No</v>
      </c>
      <c r="M1436" s="14">
        <f>VLOOKUP(B1436,Customers!$A$1:$E$2501,4,0)</f>
        <v>76</v>
      </c>
    </row>
    <row r="1437" spans="1:13" x14ac:dyDescent="0.3">
      <c r="A1437">
        <v>954429</v>
      </c>
      <c r="B1437">
        <v>1544</v>
      </c>
      <c r="C1437" s="1" t="s">
        <v>98</v>
      </c>
      <c r="D1437" s="7">
        <v>45254</v>
      </c>
      <c r="E1437" s="11">
        <v>0.4909722222222222</v>
      </c>
      <c r="F1437" s="15">
        <f t="shared" si="66"/>
        <v>11</v>
      </c>
      <c r="G1437" s="10" t="str">
        <f t="shared" si="67"/>
        <v>Friday</v>
      </c>
      <c r="H1437" s="9" t="str">
        <f t="shared" si="68"/>
        <v>November</v>
      </c>
      <c r="I1437" t="s">
        <v>96</v>
      </c>
      <c r="J1437" t="s">
        <v>26</v>
      </c>
      <c r="K1437">
        <v>4753</v>
      </c>
      <c r="L1437" s="5" t="str">
        <f>IF(OR(K1437&lt;Answers!$C$16,Orders!K1437&gt;Answers!$C$17),"Yes","No")</f>
        <v>No</v>
      </c>
      <c r="M1437" s="14">
        <f>VLOOKUP(B1437,Customers!$A$1:$E$2501,4,0)</f>
        <v>77</v>
      </c>
    </row>
    <row r="1438" spans="1:13" x14ac:dyDescent="0.3">
      <c r="A1438">
        <v>954631</v>
      </c>
      <c r="B1438">
        <v>1868</v>
      </c>
      <c r="C1438" s="1" t="s">
        <v>99</v>
      </c>
      <c r="D1438" s="7">
        <v>44988</v>
      </c>
      <c r="E1438" s="11">
        <v>0.51944444444444449</v>
      </c>
      <c r="F1438" s="15">
        <f t="shared" si="66"/>
        <v>3</v>
      </c>
      <c r="G1438" s="10" t="str">
        <f t="shared" si="67"/>
        <v>Friday</v>
      </c>
      <c r="H1438" s="9" t="str">
        <f t="shared" si="68"/>
        <v>March</v>
      </c>
      <c r="I1438" t="s">
        <v>95</v>
      </c>
      <c r="J1438" t="s">
        <v>64</v>
      </c>
      <c r="K1438">
        <v>8020</v>
      </c>
      <c r="L1438" s="5" t="str">
        <f>IF(OR(K1438&lt;Answers!$C$16,Orders!K1438&gt;Answers!$C$17),"Yes","No")</f>
        <v>No</v>
      </c>
      <c r="M1438" s="14">
        <f>VLOOKUP(B1438,Customers!$A$1:$E$2501,4,0)</f>
        <v>49</v>
      </c>
    </row>
    <row r="1439" spans="1:13" x14ac:dyDescent="0.3">
      <c r="A1439">
        <v>957373</v>
      </c>
      <c r="B1439">
        <v>580</v>
      </c>
      <c r="C1439" s="1" t="s">
        <v>98</v>
      </c>
      <c r="D1439" s="7">
        <v>45093</v>
      </c>
      <c r="E1439" s="11">
        <v>36657</v>
      </c>
      <c r="F1439" s="15">
        <f t="shared" si="66"/>
        <v>6</v>
      </c>
      <c r="G1439" s="10" t="str">
        <f t="shared" si="67"/>
        <v>Friday</v>
      </c>
      <c r="H1439" s="9" t="str">
        <f t="shared" si="68"/>
        <v>June</v>
      </c>
      <c r="I1439" t="s">
        <v>95</v>
      </c>
      <c r="J1439" t="s">
        <v>23</v>
      </c>
      <c r="K1439">
        <v>4659</v>
      </c>
      <c r="L1439" s="5" t="str">
        <f>IF(OR(K1439&lt;Answers!$C$16,Orders!K1439&gt;Answers!$C$17),"Yes","No")</f>
        <v>No</v>
      </c>
      <c r="M1439" s="14">
        <f>VLOOKUP(B1439,Customers!$A$1:$E$2501,4,0)</f>
        <v>24</v>
      </c>
    </row>
    <row r="1440" spans="1:13" x14ac:dyDescent="0.3">
      <c r="A1440">
        <v>957446</v>
      </c>
      <c r="B1440">
        <v>49</v>
      </c>
      <c r="C1440" s="1" t="s">
        <v>99</v>
      </c>
      <c r="D1440" s="7">
        <v>45187</v>
      </c>
      <c r="E1440" s="11">
        <v>0.51180555555555551</v>
      </c>
      <c r="F1440" s="15">
        <f t="shared" si="66"/>
        <v>9</v>
      </c>
      <c r="G1440" s="10" t="str">
        <f t="shared" si="67"/>
        <v>Monday</v>
      </c>
      <c r="H1440" s="9" t="str">
        <f t="shared" si="68"/>
        <v>September</v>
      </c>
      <c r="I1440" t="s">
        <v>95</v>
      </c>
      <c r="J1440" t="s">
        <v>26</v>
      </c>
      <c r="K1440">
        <v>5585</v>
      </c>
      <c r="L1440" s="5" t="str">
        <f>IF(OR(K1440&lt;Answers!$C$16,Orders!K1440&gt;Answers!$C$17),"Yes","No")</f>
        <v>No</v>
      </c>
      <c r="M1440" s="14">
        <f>VLOOKUP(B1440,Customers!$A$1:$E$2501,4,0)</f>
        <v>30</v>
      </c>
    </row>
    <row r="1441" spans="1:13" x14ac:dyDescent="0.3">
      <c r="A1441">
        <v>958196</v>
      </c>
      <c r="B1441">
        <v>1922</v>
      </c>
      <c r="C1441" s="1" t="s">
        <v>104</v>
      </c>
      <c r="D1441" s="7">
        <v>44934</v>
      </c>
      <c r="E1441" s="11">
        <v>0.53333333333333333</v>
      </c>
      <c r="F1441" s="15">
        <f t="shared" si="66"/>
        <v>1</v>
      </c>
      <c r="G1441" s="10" t="str">
        <f t="shared" si="67"/>
        <v>Sunday</v>
      </c>
      <c r="H1441" s="9" t="str">
        <f t="shared" si="68"/>
        <v>January</v>
      </c>
      <c r="I1441" t="s">
        <v>95</v>
      </c>
      <c r="J1441" t="s">
        <v>30</v>
      </c>
      <c r="K1441">
        <v>3813</v>
      </c>
      <c r="L1441" s="5" t="str">
        <f>IF(OR(K1441&lt;Answers!$C$16,Orders!K1441&gt;Answers!$C$17),"Yes","No")</f>
        <v>No</v>
      </c>
      <c r="M1441" s="14">
        <f>VLOOKUP(B1441,Customers!$A$1:$E$2501,4,0)</f>
        <v>59</v>
      </c>
    </row>
    <row r="1442" spans="1:13" x14ac:dyDescent="0.3">
      <c r="A1442">
        <v>959426</v>
      </c>
      <c r="B1442">
        <v>801</v>
      </c>
      <c r="C1442" s="1" t="s">
        <v>99</v>
      </c>
      <c r="D1442" s="7">
        <v>45236</v>
      </c>
      <c r="E1442" s="11">
        <v>36781</v>
      </c>
      <c r="F1442" s="15">
        <f t="shared" si="66"/>
        <v>11</v>
      </c>
      <c r="G1442" s="10" t="str">
        <f t="shared" si="67"/>
        <v>Monday</v>
      </c>
      <c r="H1442" s="9" t="str">
        <f t="shared" si="68"/>
        <v>November</v>
      </c>
      <c r="I1442" t="s">
        <v>96</v>
      </c>
      <c r="J1442" t="s">
        <v>77</v>
      </c>
      <c r="K1442">
        <v>6481</v>
      </c>
      <c r="L1442" s="5" t="str">
        <f>IF(OR(K1442&lt;Answers!$C$16,Orders!K1442&gt;Answers!$C$17),"Yes","No")</f>
        <v>No</v>
      </c>
      <c r="M1442" s="14">
        <f>VLOOKUP(B1442,Customers!$A$1:$E$2501,4,0)</f>
        <v>77</v>
      </c>
    </row>
    <row r="1443" spans="1:13" x14ac:dyDescent="0.3">
      <c r="A1443">
        <v>959447</v>
      </c>
      <c r="B1443">
        <v>336</v>
      </c>
      <c r="C1443" s="1" t="s">
        <v>104</v>
      </c>
      <c r="D1443" s="7">
        <v>45026</v>
      </c>
      <c r="E1443" s="11">
        <v>6.3194444444444442E-2</v>
      </c>
      <c r="F1443" s="15">
        <f t="shared" si="66"/>
        <v>4</v>
      </c>
      <c r="G1443" s="10" t="str">
        <f t="shared" si="67"/>
        <v>Monday</v>
      </c>
      <c r="H1443" s="9" t="str">
        <f t="shared" si="68"/>
        <v>April</v>
      </c>
      <c r="I1443" t="s">
        <v>190</v>
      </c>
      <c r="J1443" t="s">
        <v>76</v>
      </c>
      <c r="K1443">
        <v>7839</v>
      </c>
      <c r="L1443" s="5" t="str">
        <f>IF(OR(K1443&lt;Answers!$C$16,Orders!K1443&gt;Answers!$C$17),"Yes","No")</f>
        <v>No</v>
      </c>
      <c r="M1443" s="14">
        <f>VLOOKUP(B1443,Customers!$A$1:$E$2501,4,0)</f>
        <v>26</v>
      </c>
    </row>
    <row r="1444" spans="1:13" x14ac:dyDescent="0.3">
      <c r="A1444">
        <v>960053</v>
      </c>
      <c r="B1444">
        <v>651</v>
      </c>
      <c r="C1444" s="1" t="s">
        <v>98</v>
      </c>
      <c r="D1444" s="7">
        <v>45139</v>
      </c>
      <c r="E1444" s="11">
        <v>0.51388888888888884</v>
      </c>
      <c r="F1444" s="15">
        <f t="shared" si="66"/>
        <v>8</v>
      </c>
      <c r="G1444" s="10" t="str">
        <f t="shared" si="67"/>
        <v>Tuesday</v>
      </c>
      <c r="H1444" s="9" t="str">
        <f t="shared" si="68"/>
        <v>August</v>
      </c>
      <c r="I1444" t="s">
        <v>97</v>
      </c>
      <c r="J1444" t="s">
        <v>31</v>
      </c>
      <c r="K1444">
        <v>3417</v>
      </c>
      <c r="L1444" s="5" t="str">
        <f>IF(OR(K1444&lt;Answers!$C$16,Orders!K1444&gt;Answers!$C$17),"Yes","No")</f>
        <v>No</v>
      </c>
      <c r="M1444" s="14">
        <f>VLOOKUP(B1444,Customers!$A$1:$E$2501,4,0)</f>
        <v>61</v>
      </c>
    </row>
    <row r="1445" spans="1:13" x14ac:dyDescent="0.3">
      <c r="A1445">
        <v>960685</v>
      </c>
      <c r="B1445">
        <v>522</v>
      </c>
      <c r="C1445" s="1" t="s">
        <v>98</v>
      </c>
      <c r="D1445" s="7">
        <v>45254</v>
      </c>
      <c r="E1445" s="11">
        <v>0.53472222222222221</v>
      </c>
      <c r="F1445" s="15">
        <f t="shared" si="66"/>
        <v>11</v>
      </c>
      <c r="G1445" s="10" t="str">
        <f t="shared" si="67"/>
        <v>Friday</v>
      </c>
      <c r="H1445" s="9" t="str">
        <f t="shared" si="68"/>
        <v>November</v>
      </c>
      <c r="I1445" t="s">
        <v>190</v>
      </c>
      <c r="J1445" t="s">
        <v>29</v>
      </c>
      <c r="K1445">
        <v>9772</v>
      </c>
      <c r="L1445" s="5" t="str">
        <f>IF(OR(K1445&lt;Answers!$C$16,Orders!K1445&gt;Answers!$C$17),"Yes","No")</f>
        <v>No</v>
      </c>
      <c r="M1445" s="14">
        <f>VLOOKUP(B1445,Customers!$A$1:$E$2501,4,0)</f>
        <v>77</v>
      </c>
    </row>
    <row r="1446" spans="1:13" x14ac:dyDescent="0.3">
      <c r="A1446">
        <v>961277</v>
      </c>
      <c r="B1446">
        <v>1721</v>
      </c>
      <c r="C1446" s="1" t="s">
        <v>108</v>
      </c>
      <c r="D1446" s="7">
        <v>45046</v>
      </c>
      <c r="E1446" s="11">
        <v>0.48541666666666666</v>
      </c>
      <c r="F1446" s="15">
        <f t="shared" si="66"/>
        <v>4</v>
      </c>
      <c r="G1446" s="10" t="str">
        <f t="shared" si="67"/>
        <v>Sunday</v>
      </c>
      <c r="H1446" s="9" t="str">
        <f t="shared" si="68"/>
        <v>April</v>
      </c>
      <c r="I1446" t="s">
        <v>97</v>
      </c>
      <c r="J1446" t="s">
        <v>73</v>
      </c>
      <c r="K1446">
        <v>8615</v>
      </c>
      <c r="L1446" s="5" t="str">
        <f>IF(OR(K1446&lt;Answers!$C$16,Orders!K1446&gt;Answers!$C$17),"Yes","No")</f>
        <v>No</v>
      </c>
      <c r="M1446" s="14">
        <f>VLOOKUP(B1446,Customers!$A$1:$E$2501,4,0)</f>
        <v>22</v>
      </c>
    </row>
    <row r="1447" spans="1:13" x14ac:dyDescent="0.3">
      <c r="A1447">
        <v>961533</v>
      </c>
      <c r="B1447">
        <v>424</v>
      </c>
      <c r="C1447" s="1" t="s">
        <v>104</v>
      </c>
      <c r="D1447" s="7">
        <v>45013</v>
      </c>
      <c r="E1447" s="11">
        <v>0.53888888888888886</v>
      </c>
      <c r="F1447" s="15">
        <f t="shared" si="66"/>
        <v>3</v>
      </c>
      <c r="G1447" s="10" t="str">
        <f t="shared" si="67"/>
        <v>Tuesday</v>
      </c>
      <c r="H1447" s="9" t="str">
        <f t="shared" si="68"/>
        <v>March</v>
      </c>
      <c r="I1447" t="s">
        <v>97</v>
      </c>
      <c r="J1447" t="s">
        <v>84</v>
      </c>
      <c r="K1447">
        <v>1084</v>
      </c>
      <c r="L1447" s="5" t="str">
        <f>IF(OR(K1447&lt;Answers!$C$16,Orders!K1447&gt;Answers!$C$17),"Yes","No")</f>
        <v>No</v>
      </c>
      <c r="M1447" s="14">
        <f>VLOOKUP(B1447,Customers!$A$1:$E$2501,4,0)</f>
        <v>66</v>
      </c>
    </row>
    <row r="1448" spans="1:13" x14ac:dyDescent="0.3">
      <c r="A1448">
        <v>961949</v>
      </c>
      <c r="B1448">
        <v>1076</v>
      </c>
      <c r="C1448" s="1" t="s">
        <v>112</v>
      </c>
      <c r="D1448" s="7">
        <v>45204</v>
      </c>
      <c r="E1448" s="11">
        <v>36537</v>
      </c>
      <c r="F1448" s="15">
        <f t="shared" si="66"/>
        <v>10</v>
      </c>
      <c r="G1448" s="10" t="str">
        <f t="shared" si="67"/>
        <v>Thursday</v>
      </c>
      <c r="H1448" s="9" t="str">
        <f t="shared" si="68"/>
        <v>October</v>
      </c>
      <c r="I1448" t="s">
        <v>97</v>
      </c>
      <c r="J1448" t="s">
        <v>50</v>
      </c>
      <c r="K1448">
        <v>2153</v>
      </c>
      <c r="L1448" s="5" t="str">
        <f>IF(OR(K1448&lt;Answers!$C$16,Orders!K1448&gt;Answers!$C$17),"Yes","No")</f>
        <v>No</v>
      </c>
      <c r="M1448" s="14">
        <f>VLOOKUP(B1448,Customers!$A$1:$E$2501,4,0)</f>
        <v>18</v>
      </c>
    </row>
    <row r="1449" spans="1:13" x14ac:dyDescent="0.3">
      <c r="A1449">
        <v>962603</v>
      </c>
      <c r="B1449">
        <v>1743</v>
      </c>
      <c r="C1449" s="1" t="s">
        <v>98</v>
      </c>
      <c r="D1449" s="7">
        <v>45053</v>
      </c>
      <c r="E1449" s="11">
        <v>0.51388888888888884</v>
      </c>
      <c r="F1449" s="15">
        <f t="shared" si="66"/>
        <v>5</v>
      </c>
      <c r="G1449" s="10" t="str">
        <f t="shared" si="67"/>
        <v>Sunday</v>
      </c>
      <c r="H1449" s="9" t="str">
        <f t="shared" si="68"/>
        <v>May</v>
      </c>
      <c r="I1449" t="s">
        <v>97</v>
      </c>
      <c r="J1449" t="s">
        <v>67</v>
      </c>
      <c r="K1449">
        <v>6171</v>
      </c>
      <c r="L1449" s="5" t="str">
        <f>IF(OR(K1449&lt;Answers!$C$16,Orders!K1449&gt;Answers!$C$17),"Yes","No")</f>
        <v>No</v>
      </c>
      <c r="M1449" s="14">
        <f>VLOOKUP(B1449,Customers!$A$1:$E$2501,4,0)</f>
        <v>30</v>
      </c>
    </row>
    <row r="1450" spans="1:13" x14ac:dyDescent="0.3">
      <c r="A1450">
        <v>962712</v>
      </c>
      <c r="B1450">
        <v>340</v>
      </c>
      <c r="C1450" s="1" t="s">
        <v>99</v>
      </c>
      <c r="D1450" s="7">
        <v>44993</v>
      </c>
      <c r="E1450" s="11">
        <v>0.5131944444444444</v>
      </c>
      <c r="F1450" s="15">
        <f t="shared" si="66"/>
        <v>3</v>
      </c>
      <c r="G1450" s="10" t="str">
        <f t="shared" si="67"/>
        <v>Wednesday</v>
      </c>
      <c r="H1450" s="9" t="str">
        <f t="shared" si="68"/>
        <v>March</v>
      </c>
      <c r="I1450" t="s">
        <v>97</v>
      </c>
      <c r="J1450" t="s">
        <v>78</v>
      </c>
      <c r="K1450">
        <v>1633</v>
      </c>
      <c r="L1450" s="5" t="str">
        <f>IF(OR(K1450&lt;Answers!$C$16,Orders!K1450&gt;Answers!$C$17),"Yes","No")</f>
        <v>No</v>
      </c>
      <c r="M1450" s="14">
        <f>VLOOKUP(B1450,Customers!$A$1:$E$2501,4,0)</f>
        <v>68</v>
      </c>
    </row>
    <row r="1451" spans="1:13" x14ac:dyDescent="0.3">
      <c r="A1451">
        <v>963906</v>
      </c>
      <c r="B1451">
        <v>1098</v>
      </c>
      <c r="C1451" s="1" t="s">
        <v>105</v>
      </c>
      <c r="D1451" s="7">
        <v>45065</v>
      </c>
      <c r="E1451" s="11">
        <v>0.52708333333333335</v>
      </c>
      <c r="F1451" s="15">
        <f t="shared" si="66"/>
        <v>5</v>
      </c>
      <c r="G1451" s="10" t="str">
        <f t="shared" si="67"/>
        <v>Friday</v>
      </c>
      <c r="H1451" s="9" t="str">
        <f t="shared" si="68"/>
        <v>May</v>
      </c>
      <c r="I1451" t="s">
        <v>97</v>
      </c>
      <c r="J1451" t="s">
        <v>75</v>
      </c>
      <c r="K1451">
        <v>3431</v>
      </c>
      <c r="L1451" s="5" t="str">
        <f>IF(OR(K1451&lt;Answers!$C$16,Orders!K1451&gt;Answers!$C$17),"Yes","No")</f>
        <v>No</v>
      </c>
      <c r="M1451" s="14">
        <f>VLOOKUP(B1451,Customers!$A$1:$E$2501,4,0)</f>
        <v>31</v>
      </c>
    </row>
    <row r="1452" spans="1:13" x14ac:dyDescent="0.3">
      <c r="A1452">
        <v>964075</v>
      </c>
      <c r="B1452">
        <v>162</v>
      </c>
      <c r="C1452" s="1" t="s">
        <v>98</v>
      </c>
      <c r="D1452" s="7">
        <v>45033</v>
      </c>
      <c r="E1452" s="11">
        <v>0.47361111111111109</v>
      </c>
      <c r="F1452" s="15">
        <f t="shared" si="66"/>
        <v>4</v>
      </c>
      <c r="G1452" s="10" t="str">
        <f t="shared" si="67"/>
        <v>Monday</v>
      </c>
      <c r="H1452" s="9" t="str">
        <f t="shared" si="68"/>
        <v>April</v>
      </c>
      <c r="I1452" t="s">
        <v>95</v>
      </c>
      <c r="J1452" t="s">
        <v>26</v>
      </c>
      <c r="K1452">
        <v>1275</v>
      </c>
      <c r="L1452" s="5" t="str">
        <f>IF(OR(K1452&lt;Answers!$C$16,Orders!K1452&gt;Answers!$C$17),"Yes","No")</f>
        <v>No</v>
      </c>
      <c r="M1452" s="14">
        <f>VLOOKUP(B1452,Customers!$A$1:$E$2501,4,0)</f>
        <v>63</v>
      </c>
    </row>
    <row r="1453" spans="1:13" x14ac:dyDescent="0.3">
      <c r="A1453">
        <v>964231</v>
      </c>
      <c r="B1453">
        <v>759</v>
      </c>
      <c r="C1453" s="1" t="s">
        <v>98</v>
      </c>
      <c r="D1453" s="7">
        <v>45226</v>
      </c>
      <c r="E1453" s="11">
        <v>5.1388888888888887E-2</v>
      </c>
      <c r="F1453" s="15">
        <f t="shared" si="66"/>
        <v>10</v>
      </c>
      <c r="G1453" s="10" t="str">
        <f t="shared" si="67"/>
        <v>Friday</v>
      </c>
      <c r="H1453" s="9" t="str">
        <f t="shared" si="68"/>
        <v>October</v>
      </c>
      <c r="I1453" t="s">
        <v>97</v>
      </c>
      <c r="J1453" t="s">
        <v>68</v>
      </c>
      <c r="K1453">
        <v>6583</v>
      </c>
      <c r="L1453" s="5" t="str">
        <f>IF(OR(K1453&lt;Answers!$C$16,Orders!K1453&gt;Answers!$C$17),"Yes","No")</f>
        <v>No</v>
      </c>
      <c r="M1453" s="14">
        <f>VLOOKUP(B1453,Customers!$A$1:$E$2501,4,0)</f>
        <v>19</v>
      </c>
    </row>
    <row r="1454" spans="1:13" x14ac:dyDescent="0.3">
      <c r="A1454">
        <v>964791</v>
      </c>
      <c r="B1454">
        <v>1085</v>
      </c>
      <c r="C1454" s="1" t="s">
        <v>104</v>
      </c>
      <c r="D1454" s="7">
        <v>45226</v>
      </c>
      <c r="E1454" s="11">
        <v>36628</v>
      </c>
      <c r="F1454" s="15">
        <f t="shared" si="66"/>
        <v>10</v>
      </c>
      <c r="G1454" s="10" t="str">
        <f t="shared" si="67"/>
        <v>Friday</v>
      </c>
      <c r="H1454" s="9" t="str">
        <f t="shared" si="68"/>
        <v>October</v>
      </c>
      <c r="I1454" t="s">
        <v>190</v>
      </c>
      <c r="J1454" t="s">
        <v>42</v>
      </c>
      <c r="K1454">
        <v>4514</v>
      </c>
      <c r="L1454" s="5" t="str">
        <f>IF(OR(K1454&lt;Answers!$C$16,Orders!K1454&gt;Answers!$C$17),"Yes","No")</f>
        <v>No</v>
      </c>
      <c r="M1454" s="14">
        <f>VLOOKUP(B1454,Customers!$A$1:$E$2501,4,0)</f>
        <v>78</v>
      </c>
    </row>
    <row r="1455" spans="1:13" x14ac:dyDescent="0.3">
      <c r="A1455">
        <v>965923</v>
      </c>
      <c r="B1455">
        <v>1883</v>
      </c>
      <c r="C1455" s="1" t="s">
        <v>98</v>
      </c>
      <c r="D1455" s="7">
        <v>45012</v>
      </c>
      <c r="E1455" s="11">
        <v>6.9444444444444448E-2</v>
      </c>
      <c r="F1455" s="15">
        <f t="shared" si="66"/>
        <v>3</v>
      </c>
      <c r="G1455" s="10" t="str">
        <f t="shared" si="67"/>
        <v>Monday</v>
      </c>
      <c r="H1455" s="9" t="str">
        <f t="shared" si="68"/>
        <v>March</v>
      </c>
      <c r="I1455" t="s">
        <v>95</v>
      </c>
      <c r="J1455" t="s">
        <v>42</v>
      </c>
      <c r="K1455">
        <v>1548</v>
      </c>
      <c r="L1455" s="5" t="str">
        <f>IF(OR(K1455&lt;Answers!$C$16,Orders!K1455&gt;Answers!$C$17),"Yes","No")</f>
        <v>No</v>
      </c>
      <c r="M1455" s="14">
        <f>VLOOKUP(B1455,Customers!$A$1:$E$2501,4,0)</f>
        <v>20</v>
      </c>
    </row>
    <row r="1456" spans="1:13" x14ac:dyDescent="0.3">
      <c r="A1456">
        <v>966739</v>
      </c>
      <c r="B1456">
        <v>881</v>
      </c>
      <c r="C1456" s="1" t="s">
        <v>99</v>
      </c>
      <c r="D1456" s="7">
        <v>45158</v>
      </c>
      <c r="E1456" s="11">
        <v>0.52847222222222223</v>
      </c>
      <c r="F1456" s="15">
        <f t="shared" si="66"/>
        <v>8</v>
      </c>
      <c r="G1456" s="10" t="str">
        <f t="shared" si="67"/>
        <v>Sunday</v>
      </c>
      <c r="H1456" s="9" t="str">
        <f t="shared" si="68"/>
        <v>August</v>
      </c>
      <c r="I1456" t="s">
        <v>95</v>
      </c>
      <c r="J1456" t="s">
        <v>3</v>
      </c>
      <c r="K1456">
        <v>4693</v>
      </c>
      <c r="L1456" s="5" t="str">
        <f>IF(OR(K1456&lt;Answers!$C$16,Orders!K1456&gt;Answers!$C$17),"Yes","No")</f>
        <v>No</v>
      </c>
      <c r="M1456" s="14">
        <f>VLOOKUP(B1456,Customers!$A$1:$E$2501,4,0)</f>
        <v>67</v>
      </c>
    </row>
    <row r="1457" spans="1:13" x14ac:dyDescent="0.3">
      <c r="A1457">
        <v>967619</v>
      </c>
      <c r="B1457">
        <v>897</v>
      </c>
      <c r="C1457" s="1" t="s">
        <v>98</v>
      </c>
      <c r="D1457" s="7">
        <v>45104</v>
      </c>
      <c r="E1457" s="11">
        <v>0.47291666666666665</v>
      </c>
      <c r="F1457" s="15">
        <f t="shared" si="66"/>
        <v>6</v>
      </c>
      <c r="G1457" s="10" t="str">
        <f t="shared" si="67"/>
        <v>Tuesday</v>
      </c>
      <c r="H1457" s="9" t="str">
        <f t="shared" si="68"/>
        <v>June</v>
      </c>
      <c r="I1457" t="s">
        <v>96</v>
      </c>
      <c r="J1457" t="s">
        <v>18</v>
      </c>
      <c r="K1457">
        <v>3504</v>
      </c>
      <c r="L1457" s="5" t="str">
        <f>IF(OR(K1457&lt;Answers!$C$16,Orders!K1457&gt;Answers!$C$17),"Yes","No")</f>
        <v>No</v>
      </c>
      <c r="M1457" s="14">
        <f>VLOOKUP(B1457,Customers!$A$1:$E$2501,4,0)</f>
        <v>46</v>
      </c>
    </row>
    <row r="1458" spans="1:13" x14ac:dyDescent="0.3">
      <c r="A1458">
        <v>968469</v>
      </c>
      <c r="B1458">
        <v>711</v>
      </c>
      <c r="C1458" s="1" t="s">
        <v>98</v>
      </c>
      <c r="D1458" s="7">
        <v>45186</v>
      </c>
      <c r="E1458" s="11">
        <v>0.51041666666666663</v>
      </c>
      <c r="F1458" s="15">
        <f t="shared" si="66"/>
        <v>9</v>
      </c>
      <c r="G1458" s="10" t="str">
        <f t="shared" si="67"/>
        <v>Sunday</v>
      </c>
      <c r="H1458" s="9" t="str">
        <f t="shared" si="68"/>
        <v>September</v>
      </c>
      <c r="I1458" t="s">
        <v>96</v>
      </c>
      <c r="J1458" t="s">
        <v>81</v>
      </c>
      <c r="K1458">
        <v>187</v>
      </c>
      <c r="L1458" s="5" t="str">
        <f>IF(OR(K1458&lt;Answers!$C$16,Orders!K1458&gt;Answers!$C$17),"Yes","No")</f>
        <v>No</v>
      </c>
      <c r="M1458" s="14">
        <f>VLOOKUP(B1458,Customers!$A$1:$E$2501,4,0)</f>
        <v>56</v>
      </c>
    </row>
    <row r="1459" spans="1:13" x14ac:dyDescent="0.3">
      <c r="A1459">
        <v>968501</v>
      </c>
      <c r="B1459">
        <v>534</v>
      </c>
      <c r="C1459" s="1" t="s">
        <v>112</v>
      </c>
      <c r="D1459" s="7">
        <v>45195</v>
      </c>
      <c r="E1459" s="11">
        <v>0.53263888888888888</v>
      </c>
      <c r="F1459" s="15">
        <f t="shared" si="66"/>
        <v>9</v>
      </c>
      <c r="G1459" s="10" t="str">
        <f t="shared" si="67"/>
        <v>Tuesday</v>
      </c>
      <c r="H1459" s="9" t="str">
        <f t="shared" si="68"/>
        <v>September</v>
      </c>
      <c r="I1459" t="s">
        <v>190</v>
      </c>
      <c r="J1459" t="s">
        <v>14</v>
      </c>
      <c r="K1459">
        <v>98</v>
      </c>
      <c r="L1459" s="5" t="str">
        <f>IF(OR(K1459&lt;Answers!$C$16,Orders!K1459&gt;Answers!$C$17),"Yes","No")</f>
        <v>No</v>
      </c>
      <c r="M1459" s="14">
        <f>VLOOKUP(B1459,Customers!$A$1:$E$2501,4,0)</f>
        <v>90</v>
      </c>
    </row>
    <row r="1460" spans="1:13" x14ac:dyDescent="0.3">
      <c r="A1460">
        <v>968680</v>
      </c>
      <c r="B1460">
        <v>362</v>
      </c>
      <c r="C1460" s="1" t="s">
        <v>112</v>
      </c>
      <c r="D1460" s="7">
        <v>45020</v>
      </c>
      <c r="E1460" s="11">
        <v>0.45347222222222222</v>
      </c>
      <c r="F1460" s="15">
        <f t="shared" si="66"/>
        <v>4</v>
      </c>
      <c r="G1460" s="10" t="str">
        <f t="shared" si="67"/>
        <v>Tuesday</v>
      </c>
      <c r="H1460" s="9" t="str">
        <f t="shared" si="68"/>
        <v>April</v>
      </c>
      <c r="I1460" t="s">
        <v>95</v>
      </c>
      <c r="J1460" t="s">
        <v>65</v>
      </c>
      <c r="K1460">
        <v>4761</v>
      </c>
      <c r="L1460" s="5" t="str">
        <f>IF(OR(K1460&lt;Answers!$C$16,Orders!K1460&gt;Answers!$C$17),"Yes","No")</f>
        <v>No</v>
      </c>
      <c r="M1460" s="14">
        <f>VLOOKUP(B1460,Customers!$A$1:$E$2501,4,0)</f>
        <v>68</v>
      </c>
    </row>
    <row r="1461" spans="1:13" x14ac:dyDescent="0.3">
      <c r="A1461">
        <v>968730</v>
      </c>
      <c r="B1461">
        <v>407</v>
      </c>
      <c r="C1461" s="1" t="s">
        <v>99</v>
      </c>
      <c r="D1461" s="7">
        <v>45070</v>
      </c>
      <c r="E1461" s="11">
        <v>0.53749999999999998</v>
      </c>
      <c r="F1461" s="15">
        <f t="shared" si="66"/>
        <v>5</v>
      </c>
      <c r="G1461" s="10" t="str">
        <f t="shared" si="67"/>
        <v>Wednesday</v>
      </c>
      <c r="H1461" s="9" t="str">
        <f t="shared" si="68"/>
        <v>May</v>
      </c>
      <c r="I1461" t="s">
        <v>190</v>
      </c>
      <c r="J1461" t="s">
        <v>77</v>
      </c>
      <c r="K1461">
        <v>6326</v>
      </c>
      <c r="L1461" s="5" t="str">
        <f>IF(OR(K1461&lt;Answers!$C$16,Orders!K1461&gt;Answers!$C$17),"Yes","No")</f>
        <v>No</v>
      </c>
      <c r="M1461" s="14">
        <f>VLOOKUP(B1461,Customers!$A$1:$E$2501,4,0)</f>
        <v>90</v>
      </c>
    </row>
    <row r="1462" spans="1:13" x14ac:dyDescent="0.3">
      <c r="A1462">
        <v>969517</v>
      </c>
      <c r="B1462">
        <v>1794</v>
      </c>
      <c r="C1462" s="1" t="s">
        <v>100</v>
      </c>
      <c r="D1462" s="7">
        <v>45288</v>
      </c>
      <c r="E1462" s="11">
        <v>5.1388888888888887E-2</v>
      </c>
      <c r="F1462" s="15">
        <f t="shared" si="66"/>
        <v>12</v>
      </c>
      <c r="G1462" s="10" t="str">
        <f t="shared" si="67"/>
        <v>Thursday</v>
      </c>
      <c r="H1462" s="9" t="str">
        <f t="shared" si="68"/>
        <v>December</v>
      </c>
      <c r="I1462" t="s">
        <v>97</v>
      </c>
      <c r="J1462" t="s">
        <v>26</v>
      </c>
      <c r="K1462">
        <v>7435</v>
      </c>
      <c r="L1462" s="5" t="str">
        <f>IF(OR(K1462&lt;Answers!$C$16,Orders!K1462&gt;Answers!$C$17),"Yes","No")</f>
        <v>No</v>
      </c>
      <c r="M1462" s="14">
        <f>VLOOKUP(B1462,Customers!$A$1:$E$2501,4,0)</f>
        <v>41</v>
      </c>
    </row>
    <row r="1463" spans="1:13" x14ac:dyDescent="0.3">
      <c r="A1463">
        <v>969765</v>
      </c>
      <c r="B1463">
        <v>850</v>
      </c>
      <c r="C1463" s="1" t="s">
        <v>98</v>
      </c>
      <c r="D1463" s="7">
        <v>44973</v>
      </c>
      <c r="E1463" s="11">
        <v>7.3611111111111113E-2</v>
      </c>
      <c r="F1463" s="15">
        <f t="shared" si="66"/>
        <v>2</v>
      </c>
      <c r="G1463" s="10" t="str">
        <f t="shared" si="67"/>
        <v>Thursday</v>
      </c>
      <c r="H1463" s="9" t="str">
        <f t="shared" si="68"/>
        <v>February</v>
      </c>
      <c r="I1463" t="s">
        <v>96</v>
      </c>
      <c r="J1463" t="s">
        <v>42</v>
      </c>
      <c r="K1463">
        <v>3206</v>
      </c>
      <c r="L1463" s="5" t="str">
        <f>IF(OR(K1463&lt;Answers!$C$16,Orders!K1463&gt;Answers!$C$17),"Yes","No")</f>
        <v>No</v>
      </c>
      <c r="M1463" s="14">
        <f>VLOOKUP(B1463,Customers!$A$1:$E$2501,4,0)</f>
        <v>52</v>
      </c>
    </row>
    <row r="1464" spans="1:13" x14ac:dyDescent="0.3">
      <c r="A1464">
        <v>971123</v>
      </c>
      <c r="B1464">
        <v>197</v>
      </c>
      <c r="C1464" s="1" t="s">
        <v>98</v>
      </c>
      <c r="D1464" s="7">
        <v>44959</v>
      </c>
      <c r="E1464" s="11">
        <v>0.52222222222222225</v>
      </c>
      <c r="F1464" s="15">
        <f t="shared" si="66"/>
        <v>2</v>
      </c>
      <c r="G1464" s="10" t="str">
        <f t="shared" si="67"/>
        <v>Thursday</v>
      </c>
      <c r="H1464" s="9" t="str">
        <f t="shared" si="68"/>
        <v>February</v>
      </c>
      <c r="I1464" t="s">
        <v>190</v>
      </c>
      <c r="J1464" t="s">
        <v>26</v>
      </c>
      <c r="K1464">
        <v>4194</v>
      </c>
      <c r="L1464" s="5" t="str">
        <f>IF(OR(K1464&lt;Answers!$C$16,Orders!K1464&gt;Answers!$C$17),"Yes","No")</f>
        <v>No</v>
      </c>
      <c r="M1464" s="14">
        <f>VLOOKUP(B1464,Customers!$A$1:$E$2501,4,0)</f>
        <v>38</v>
      </c>
    </row>
    <row r="1465" spans="1:13" x14ac:dyDescent="0.3">
      <c r="A1465">
        <v>971900</v>
      </c>
      <c r="B1465">
        <v>1424</v>
      </c>
      <c r="C1465" s="1" t="s">
        <v>104</v>
      </c>
      <c r="D1465" s="7">
        <v>45004</v>
      </c>
      <c r="E1465" s="11">
        <v>0.51111111111111107</v>
      </c>
      <c r="F1465" s="15">
        <f t="shared" si="66"/>
        <v>3</v>
      </c>
      <c r="G1465" s="10" t="str">
        <f t="shared" si="67"/>
        <v>Sunday</v>
      </c>
      <c r="H1465" s="9" t="str">
        <f t="shared" si="68"/>
        <v>March</v>
      </c>
      <c r="I1465" t="s">
        <v>190</v>
      </c>
      <c r="J1465" t="s">
        <v>26</v>
      </c>
      <c r="K1465">
        <v>4454</v>
      </c>
      <c r="L1465" s="5" t="str">
        <f>IF(OR(K1465&lt;Answers!$C$16,Orders!K1465&gt;Answers!$C$17),"Yes","No")</f>
        <v>No</v>
      </c>
      <c r="M1465" s="14">
        <f>VLOOKUP(B1465,Customers!$A$1:$E$2501,4,0)</f>
        <v>39</v>
      </c>
    </row>
    <row r="1466" spans="1:13" x14ac:dyDescent="0.3">
      <c r="A1466">
        <v>972030</v>
      </c>
      <c r="B1466">
        <v>854</v>
      </c>
      <c r="C1466" s="1" t="s">
        <v>98</v>
      </c>
      <c r="D1466" s="7">
        <v>45016</v>
      </c>
      <c r="E1466" s="11">
        <v>7.3611111111111113E-2</v>
      </c>
      <c r="F1466" s="15">
        <f t="shared" si="66"/>
        <v>3</v>
      </c>
      <c r="G1466" s="10" t="str">
        <f t="shared" si="67"/>
        <v>Friday</v>
      </c>
      <c r="H1466" s="9" t="str">
        <f t="shared" si="68"/>
        <v>March</v>
      </c>
      <c r="I1466" t="s">
        <v>190</v>
      </c>
      <c r="J1466" t="s">
        <v>26</v>
      </c>
      <c r="K1466">
        <v>6426</v>
      </c>
      <c r="L1466" s="5" t="str">
        <f>IF(OR(K1466&lt;Answers!$C$16,Orders!K1466&gt;Answers!$C$17),"Yes","No")</f>
        <v>No</v>
      </c>
      <c r="M1466" s="14">
        <f>VLOOKUP(B1466,Customers!$A$1:$E$2501,4,0)</f>
        <v>61</v>
      </c>
    </row>
    <row r="1467" spans="1:13" x14ac:dyDescent="0.3">
      <c r="A1467">
        <v>973367</v>
      </c>
      <c r="B1467">
        <v>1170</v>
      </c>
      <c r="C1467" s="1" t="s">
        <v>108</v>
      </c>
      <c r="D1467" s="7">
        <v>45170</v>
      </c>
      <c r="E1467" s="11">
        <v>5.2777777777777778E-2</v>
      </c>
      <c r="F1467" s="15">
        <f t="shared" si="66"/>
        <v>9</v>
      </c>
      <c r="G1467" s="10" t="str">
        <f t="shared" si="67"/>
        <v>Friday</v>
      </c>
      <c r="H1467" s="9" t="str">
        <f t="shared" si="68"/>
        <v>September</v>
      </c>
      <c r="I1467" t="s">
        <v>96</v>
      </c>
      <c r="J1467" t="s">
        <v>17</v>
      </c>
      <c r="K1467">
        <v>8512</v>
      </c>
      <c r="L1467" s="5" t="str">
        <f>IF(OR(K1467&lt;Answers!$C$16,Orders!K1467&gt;Answers!$C$17),"Yes","No")</f>
        <v>No</v>
      </c>
      <c r="M1467" s="14">
        <f>VLOOKUP(B1467,Customers!$A$1:$E$2501,4,0)</f>
        <v>65</v>
      </c>
    </row>
    <row r="1468" spans="1:13" x14ac:dyDescent="0.3">
      <c r="A1468">
        <v>974557</v>
      </c>
      <c r="B1468">
        <v>1874</v>
      </c>
      <c r="C1468" s="1" t="s">
        <v>98</v>
      </c>
      <c r="D1468" s="7">
        <v>44941</v>
      </c>
      <c r="E1468" s="11">
        <v>36739</v>
      </c>
      <c r="F1468" s="15">
        <f t="shared" si="66"/>
        <v>1</v>
      </c>
      <c r="G1468" s="10" t="str">
        <f t="shared" si="67"/>
        <v>Sunday</v>
      </c>
      <c r="H1468" s="9" t="str">
        <f t="shared" si="68"/>
        <v>January</v>
      </c>
      <c r="I1468" t="s">
        <v>190</v>
      </c>
      <c r="J1468" t="s">
        <v>3</v>
      </c>
      <c r="K1468">
        <v>2721</v>
      </c>
      <c r="L1468" s="5" t="str">
        <f>IF(OR(K1468&lt;Answers!$C$16,Orders!K1468&gt;Answers!$C$17),"Yes","No")</f>
        <v>No</v>
      </c>
      <c r="M1468" s="14">
        <f>VLOOKUP(B1468,Customers!$A$1:$E$2501,4,0)</f>
        <v>51</v>
      </c>
    </row>
    <row r="1469" spans="1:13" x14ac:dyDescent="0.3">
      <c r="A1469">
        <v>975249</v>
      </c>
      <c r="B1469">
        <v>1044</v>
      </c>
      <c r="C1469" s="1" t="s">
        <v>112</v>
      </c>
      <c r="D1469" s="7">
        <v>45282</v>
      </c>
      <c r="E1469" s="11">
        <v>5.6250000000000001E-2</v>
      </c>
      <c r="F1469" s="15">
        <f t="shared" si="66"/>
        <v>12</v>
      </c>
      <c r="G1469" s="10" t="str">
        <f t="shared" si="67"/>
        <v>Friday</v>
      </c>
      <c r="H1469" s="9" t="str">
        <f t="shared" si="68"/>
        <v>December</v>
      </c>
      <c r="I1469" t="s">
        <v>95</v>
      </c>
      <c r="J1469" t="s">
        <v>13</v>
      </c>
      <c r="K1469">
        <v>3988</v>
      </c>
      <c r="L1469" s="5" t="str">
        <f>IF(OR(K1469&lt;Answers!$C$16,Orders!K1469&gt;Answers!$C$17),"Yes","No")</f>
        <v>No</v>
      </c>
      <c r="M1469" s="14">
        <f>VLOOKUP(B1469,Customers!$A$1:$E$2501,4,0)</f>
        <v>26</v>
      </c>
    </row>
    <row r="1470" spans="1:13" x14ac:dyDescent="0.3">
      <c r="A1470">
        <v>976000</v>
      </c>
      <c r="B1470">
        <v>484</v>
      </c>
      <c r="C1470" s="1" t="s">
        <v>98</v>
      </c>
      <c r="D1470" s="7">
        <v>45089</v>
      </c>
      <c r="E1470" s="11">
        <v>0.48819444444444443</v>
      </c>
      <c r="F1470" s="15">
        <f t="shared" si="66"/>
        <v>6</v>
      </c>
      <c r="G1470" s="10" t="str">
        <f t="shared" si="67"/>
        <v>Monday</v>
      </c>
      <c r="H1470" s="9" t="str">
        <f t="shared" si="68"/>
        <v>June</v>
      </c>
      <c r="I1470" t="s">
        <v>96</v>
      </c>
      <c r="J1470" t="s">
        <v>5</v>
      </c>
      <c r="K1470">
        <v>6536</v>
      </c>
      <c r="L1470" s="5" t="str">
        <f>IF(OR(K1470&lt;Answers!$C$16,Orders!K1470&gt;Answers!$C$17),"Yes","No")</f>
        <v>No</v>
      </c>
      <c r="M1470" s="14">
        <f>VLOOKUP(B1470,Customers!$A$1:$E$2501,4,0)</f>
        <v>70</v>
      </c>
    </row>
    <row r="1471" spans="1:13" x14ac:dyDescent="0.3">
      <c r="A1471">
        <v>976435</v>
      </c>
      <c r="B1471">
        <v>704</v>
      </c>
      <c r="C1471" s="1" t="s">
        <v>98</v>
      </c>
      <c r="D1471" s="7">
        <v>45195</v>
      </c>
      <c r="E1471" s="11">
        <v>5.5555555555555552E-2</v>
      </c>
      <c r="F1471" s="15">
        <f t="shared" si="66"/>
        <v>9</v>
      </c>
      <c r="G1471" s="10" t="str">
        <f t="shared" si="67"/>
        <v>Tuesday</v>
      </c>
      <c r="H1471" s="9" t="str">
        <f t="shared" si="68"/>
        <v>September</v>
      </c>
      <c r="I1471" t="s">
        <v>97</v>
      </c>
      <c r="J1471" t="s">
        <v>6</v>
      </c>
      <c r="K1471">
        <v>5887</v>
      </c>
      <c r="L1471" s="5" t="str">
        <f>IF(OR(K1471&lt;Answers!$C$16,Orders!K1471&gt;Answers!$C$17),"Yes","No")</f>
        <v>No</v>
      </c>
      <c r="M1471" s="14">
        <f>VLOOKUP(B1471,Customers!$A$1:$E$2501,4,0)</f>
        <v>76</v>
      </c>
    </row>
    <row r="1472" spans="1:13" x14ac:dyDescent="0.3">
      <c r="A1472">
        <v>976870</v>
      </c>
      <c r="B1472">
        <v>357</v>
      </c>
      <c r="C1472" s="1" t="s">
        <v>102</v>
      </c>
      <c r="D1472" s="7">
        <v>45105</v>
      </c>
      <c r="E1472" s="11">
        <v>36842</v>
      </c>
      <c r="F1472" s="15">
        <f t="shared" si="66"/>
        <v>6</v>
      </c>
      <c r="G1472" s="10" t="str">
        <f t="shared" si="67"/>
        <v>Wednesday</v>
      </c>
      <c r="H1472" s="9" t="str">
        <f t="shared" si="68"/>
        <v>June</v>
      </c>
      <c r="I1472" t="s">
        <v>96</v>
      </c>
      <c r="J1472" t="s">
        <v>7</v>
      </c>
      <c r="K1472">
        <v>1226</v>
      </c>
      <c r="L1472" s="5" t="str">
        <f>IF(OR(K1472&lt;Answers!$C$16,Orders!K1472&gt;Answers!$C$17),"Yes","No")</f>
        <v>No</v>
      </c>
      <c r="M1472" s="14">
        <f>VLOOKUP(B1472,Customers!$A$1:$E$2501,4,0)</f>
        <v>70</v>
      </c>
    </row>
    <row r="1473" spans="1:13" x14ac:dyDescent="0.3">
      <c r="A1473">
        <v>978487</v>
      </c>
      <c r="B1473">
        <v>767</v>
      </c>
      <c r="C1473" s="1" t="s">
        <v>98</v>
      </c>
      <c r="D1473" s="7">
        <v>45097</v>
      </c>
      <c r="E1473" s="11">
        <v>0.47986111111111113</v>
      </c>
      <c r="F1473" s="15">
        <f t="shared" si="66"/>
        <v>6</v>
      </c>
      <c r="G1473" s="10" t="str">
        <f t="shared" si="67"/>
        <v>Tuesday</v>
      </c>
      <c r="H1473" s="9" t="str">
        <f t="shared" si="68"/>
        <v>June</v>
      </c>
      <c r="I1473" t="s">
        <v>95</v>
      </c>
      <c r="J1473" t="s">
        <v>8</v>
      </c>
      <c r="K1473">
        <v>8162</v>
      </c>
      <c r="L1473" s="5" t="str">
        <f>IF(OR(K1473&lt;Answers!$C$16,Orders!K1473&gt;Answers!$C$17),"Yes","No")</f>
        <v>No</v>
      </c>
      <c r="M1473" s="14">
        <f>VLOOKUP(B1473,Customers!$A$1:$E$2501,4,0)</f>
        <v>30</v>
      </c>
    </row>
    <row r="1474" spans="1:13" x14ac:dyDescent="0.3">
      <c r="A1474">
        <v>978518</v>
      </c>
      <c r="B1474">
        <v>1078</v>
      </c>
      <c r="C1474" s="1" t="s">
        <v>100</v>
      </c>
      <c r="D1474" s="7">
        <v>44927</v>
      </c>
      <c r="E1474" s="11">
        <v>36617</v>
      </c>
      <c r="F1474" s="15">
        <f t="shared" si="66"/>
        <v>1</v>
      </c>
      <c r="G1474" s="10" t="str">
        <f t="shared" si="67"/>
        <v>Sunday</v>
      </c>
      <c r="H1474" s="9" t="str">
        <f t="shared" si="68"/>
        <v>January</v>
      </c>
      <c r="I1474" t="s">
        <v>97</v>
      </c>
      <c r="J1474" t="s">
        <v>9</v>
      </c>
      <c r="K1474">
        <v>448</v>
      </c>
      <c r="L1474" s="5" t="str">
        <f>IF(OR(K1474&lt;Answers!$C$16,Orders!K1474&gt;Answers!$C$17),"Yes","No")</f>
        <v>No</v>
      </c>
      <c r="M1474" s="14">
        <f>VLOOKUP(B1474,Customers!$A$1:$E$2501,4,0)</f>
        <v>55</v>
      </c>
    </row>
    <row r="1475" spans="1:13" x14ac:dyDescent="0.3">
      <c r="A1475">
        <v>978704</v>
      </c>
      <c r="B1475">
        <v>307</v>
      </c>
      <c r="C1475" s="1" t="s">
        <v>99</v>
      </c>
      <c r="D1475" s="7">
        <v>45156</v>
      </c>
      <c r="E1475" s="11">
        <v>0.53402777777777777</v>
      </c>
      <c r="F1475" s="15">
        <f t="shared" ref="F1475:F1538" si="69">MONTH(D1475)</f>
        <v>8</v>
      </c>
      <c r="G1475" s="10" t="str">
        <f t="shared" ref="G1475:G1538" si="70">TEXT(D1475,"dddd")</f>
        <v>Friday</v>
      </c>
      <c r="H1475" s="9" t="str">
        <f t="shared" ref="H1475:H1538" si="71">TEXT(D1475,"mmmm")</f>
        <v>August</v>
      </c>
      <c r="I1475" t="s">
        <v>95</v>
      </c>
      <c r="J1475" t="s">
        <v>10</v>
      </c>
      <c r="K1475">
        <v>5631</v>
      </c>
      <c r="L1475" s="5" t="str">
        <f>IF(OR(K1475&lt;Answers!$C$16,Orders!K1475&gt;Answers!$C$17),"Yes","No")</f>
        <v>No</v>
      </c>
      <c r="M1475" s="14">
        <f>VLOOKUP(B1475,Customers!$A$1:$E$2501,4,0)</f>
        <v>65</v>
      </c>
    </row>
    <row r="1476" spans="1:13" x14ac:dyDescent="0.3">
      <c r="A1476">
        <v>979166</v>
      </c>
      <c r="B1476">
        <v>995</v>
      </c>
      <c r="C1476" s="1" t="s">
        <v>99</v>
      </c>
      <c r="D1476" s="7">
        <v>44997</v>
      </c>
      <c r="E1476" s="11">
        <v>0.48333333333333334</v>
      </c>
      <c r="F1476" s="15">
        <f t="shared" si="69"/>
        <v>3</v>
      </c>
      <c r="G1476" s="10" t="str">
        <f t="shared" si="70"/>
        <v>Sunday</v>
      </c>
      <c r="H1476" s="9" t="str">
        <f t="shared" si="71"/>
        <v>March</v>
      </c>
      <c r="I1476" t="s">
        <v>96</v>
      </c>
      <c r="J1476" t="s">
        <v>11</v>
      </c>
      <c r="K1476">
        <v>6809</v>
      </c>
      <c r="L1476" s="5" t="str">
        <f>IF(OR(K1476&lt;Answers!$C$16,Orders!K1476&gt;Answers!$C$17),"Yes","No")</f>
        <v>No</v>
      </c>
      <c r="M1476" s="14">
        <f>VLOOKUP(B1476,Customers!$A$1:$E$2501,4,0)</f>
        <v>82</v>
      </c>
    </row>
    <row r="1477" spans="1:13" x14ac:dyDescent="0.3">
      <c r="A1477">
        <v>982672</v>
      </c>
      <c r="B1477">
        <v>1590</v>
      </c>
      <c r="C1477" s="1" t="s">
        <v>105</v>
      </c>
      <c r="D1477" s="7">
        <v>45281</v>
      </c>
      <c r="E1477" s="11">
        <v>7.7777777777777779E-2</v>
      </c>
      <c r="F1477" s="15">
        <f t="shared" si="69"/>
        <v>12</v>
      </c>
      <c r="G1477" s="10" t="str">
        <f t="shared" si="70"/>
        <v>Thursday</v>
      </c>
      <c r="H1477" s="9" t="str">
        <f t="shared" si="71"/>
        <v>December</v>
      </c>
      <c r="I1477" t="s">
        <v>190</v>
      </c>
      <c r="J1477" t="s">
        <v>12</v>
      </c>
      <c r="K1477">
        <v>7371</v>
      </c>
      <c r="L1477" s="5" t="str">
        <f>IF(OR(K1477&lt;Answers!$C$16,Orders!K1477&gt;Answers!$C$17),"Yes","No")</f>
        <v>No</v>
      </c>
      <c r="M1477" s="14">
        <f>VLOOKUP(B1477,Customers!$A$1:$E$2501,4,0)</f>
        <v>69</v>
      </c>
    </row>
    <row r="1478" spans="1:13" x14ac:dyDescent="0.3">
      <c r="A1478">
        <v>982983</v>
      </c>
      <c r="B1478">
        <v>1842</v>
      </c>
      <c r="C1478" s="1" t="s">
        <v>105</v>
      </c>
      <c r="D1478" s="7">
        <v>44938</v>
      </c>
      <c r="E1478" s="11">
        <v>0.52361111111111114</v>
      </c>
      <c r="F1478" s="15">
        <f t="shared" si="69"/>
        <v>1</v>
      </c>
      <c r="G1478" s="10" t="str">
        <f t="shared" si="70"/>
        <v>Thursday</v>
      </c>
      <c r="H1478" s="9" t="str">
        <f t="shared" si="71"/>
        <v>January</v>
      </c>
      <c r="I1478" t="s">
        <v>96</v>
      </c>
      <c r="J1478" t="s">
        <v>13</v>
      </c>
      <c r="K1478">
        <v>6411</v>
      </c>
      <c r="L1478" s="5" t="str">
        <f>IF(OR(K1478&lt;Answers!$C$16,Orders!K1478&gt;Answers!$C$17),"Yes","No")</f>
        <v>No</v>
      </c>
      <c r="M1478" s="14">
        <f>VLOOKUP(B1478,Customers!$A$1:$E$2501,4,0)</f>
        <v>61</v>
      </c>
    </row>
    <row r="1479" spans="1:13" x14ac:dyDescent="0.3">
      <c r="A1479">
        <v>983456</v>
      </c>
      <c r="B1479">
        <v>177</v>
      </c>
      <c r="C1479" s="1" t="s">
        <v>112</v>
      </c>
      <c r="D1479" s="7">
        <v>45041</v>
      </c>
      <c r="E1479" s="11">
        <v>6.7361111111111108E-2</v>
      </c>
      <c r="F1479" s="15">
        <f t="shared" si="69"/>
        <v>4</v>
      </c>
      <c r="G1479" s="10" t="str">
        <f t="shared" si="70"/>
        <v>Tuesday</v>
      </c>
      <c r="H1479" s="9" t="str">
        <f t="shared" si="71"/>
        <v>April</v>
      </c>
      <c r="I1479" t="s">
        <v>95</v>
      </c>
      <c r="J1479" t="s">
        <v>14</v>
      </c>
      <c r="K1479">
        <v>2938</v>
      </c>
      <c r="L1479" s="5" t="str">
        <f>IF(OR(K1479&lt;Answers!$C$16,Orders!K1479&gt;Answers!$C$17),"Yes","No")</f>
        <v>No</v>
      </c>
      <c r="M1479" s="14">
        <f>VLOOKUP(B1479,Customers!$A$1:$E$2501,4,0)</f>
        <v>75</v>
      </c>
    </row>
    <row r="1480" spans="1:13" x14ac:dyDescent="0.3">
      <c r="A1480">
        <v>984155</v>
      </c>
      <c r="B1480">
        <v>1399</v>
      </c>
      <c r="C1480" s="1" t="s">
        <v>100</v>
      </c>
      <c r="D1480" s="7">
        <v>45224</v>
      </c>
      <c r="E1480" s="11">
        <v>36750</v>
      </c>
      <c r="F1480" s="15">
        <f t="shared" si="69"/>
        <v>10</v>
      </c>
      <c r="G1480" s="10" t="str">
        <f t="shared" si="70"/>
        <v>Wednesday</v>
      </c>
      <c r="H1480" s="9" t="str">
        <f t="shared" si="71"/>
        <v>October</v>
      </c>
      <c r="I1480" t="s">
        <v>190</v>
      </c>
      <c r="J1480" t="s">
        <v>15</v>
      </c>
      <c r="K1480">
        <v>5521</v>
      </c>
      <c r="L1480" s="5" t="str">
        <f>IF(OR(K1480&lt;Answers!$C$16,Orders!K1480&gt;Answers!$C$17),"Yes","No")</f>
        <v>No</v>
      </c>
      <c r="M1480" s="14">
        <f>VLOOKUP(B1480,Customers!$A$1:$E$2501,4,0)</f>
        <v>24</v>
      </c>
    </row>
    <row r="1481" spans="1:13" x14ac:dyDescent="0.3">
      <c r="A1481">
        <v>985800</v>
      </c>
      <c r="B1481">
        <v>1225</v>
      </c>
      <c r="C1481" s="1" t="s">
        <v>104</v>
      </c>
      <c r="D1481" s="7">
        <v>45276</v>
      </c>
      <c r="E1481" s="11">
        <v>0.53680555555555554</v>
      </c>
      <c r="F1481" s="15">
        <f t="shared" si="69"/>
        <v>12</v>
      </c>
      <c r="G1481" s="10" t="str">
        <f t="shared" si="70"/>
        <v>Saturday</v>
      </c>
      <c r="H1481" s="9" t="str">
        <f t="shared" si="71"/>
        <v>December</v>
      </c>
      <c r="I1481" t="s">
        <v>97</v>
      </c>
      <c r="J1481" t="s">
        <v>16</v>
      </c>
      <c r="K1481">
        <v>3508</v>
      </c>
      <c r="L1481" s="5" t="str">
        <f>IF(OR(K1481&lt;Answers!$C$16,Orders!K1481&gt;Answers!$C$17),"Yes","No")</f>
        <v>No</v>
      </c>
      <c r="M1481" s="14">
        <f>VLOOKUP(B1481,Customers!$A$1:$E$2501,4,0)</f>
        <v>84</v>
      </c>
    </row>
    <row r="1482" spans="1:13" x14ac:dyDescent="0.3">
      <c r="A1482">
        <v>986036</v>
      </c>
      <c r="B1482">
        <v>1064</v>
      </c>
      <c r="C1482" s="1" t="s">
        <v>103</v>
      </c>
      <c r="D1482" s="7">
        <v>45229</v>
      </c>
      <c r="E1482" s="11">
        <v>0.43958333333333333</v>
      </c>
      <c r="F1482" s="15">
        <f t="shared" si="69"/>
        <v>10</v>
      </c>
      <c r="G1482" s="10" t="str">
        <f t="shared" si="70"/>
        <v>Monday</v>
      </c>
      <c r="H1482" s="9" t="str">
        <f t="shared" si="71"/>
        <v>October</v>
      </c>
      <c r="I1482" t="s">
        <v>96</v>
      </c>
      <c r="J1482" t="s">
        <v>17</v>
      </c>
      <c r="K1482">
        <v>855</v>
      </c>
      <c r="L1482" s="5" t="str">
        <f>IF(OR(K1482&lt;Answers!$C$16,Orders!K1482&gt;Answers!$C$17),"Yes","No")</f>
        <v>No</v>
      </c>
      <c r="M1482" s="14">
        <f>VLOOKUP(B1482,Customers!$A$1:$E$2501,4,0)</f>
        <v>75</v>
      </c>
    </row>
    <row r="1483" spans="1:13" x14ac:dyDescent="0.3">
      <c r="A1483">
        <v>988105</v>
      </c>
      <c r="B1483">
        <v>1877</v>
      </c>
      <c r="C1483" s="1" t="s">
        <v>104</v>
      </c>
      <c r="D1483" s="7">
        <v>45102</v>
      </c>
      <c r="E1483" s="11">
        <v>5.2777777777777778E-2</v>
      </c>
      <c r="F1483" s="15">
        <f t="shared" si="69"/>
        <v>6</v>
      </c>
      <c r="G1483" s="10" t="str">
        <f t="shared" si="70"/>
        <v>Sunday</v>
      </c>
      <c r="H1483" s="9" t="str">
        <f t="shared" si="71"/>
        <v>June</v>
      </c>
      <c r="I1483" t="s">
        <v>96</v>
      </c>
      <c r="J1483" t="s">
        <v>18</v>
      </c>
      <c r="K1483">
        <v>9254</v>
      </c>
      <c r="L1483" s="5" t="str">
        <f>IF(OR(K1483&lt;Answers!$C$16,Orders!K1483&gt;Answers!$C$17),"Yes","No")</f>
        <v>No</v>
      </c>
      <c r="M1483" s="14">
        <f>VLOOKUP(B1483,Customers!$A$1:$E$2501,4,0)</f>
        <v>22</v>
      </c>
    </row>
    <row r="1484" spans="1:13" x14ac:dyDescent="0.3">
      <c r="A1484">
        <v>988444</v>
      </c>
      <c r="B1484">
        <v>430</v>
      </c>
      <c r="C1484" s="1" t="s">
        <v>112</v>
      </c>
      <c r="D1484" s="7">
        <v>45142</v>
      </c>
      <c r="E1484" s="11">
        <v>36770</v>
      </c>
      <c r="F1484" s="15">
        <f t="shared" si="69"/>
        <v>8</v>
      </c>
      <c r="G1484" s="10" t="str">
        <f t="shared" si="70"/>
        <v>Friday</v>
      </c>
      <c r="H1484" s="9" t="str">
        <f t="shared" si="71"/>
        <v>August</v>
      </c>
      <c r="I1484" t="s">
        <v>95</v>
      </c>
      <c r="J1484" t="s">
        <v>19</v>
      </c>
      <c r="K1484">
        <v>9958</v>
      </c>
      <c r="L1484" s="5" t="str">
        <f>IF(OR(K1484&lt;Answers!$C$16,Orders!K1484&gt;Answers!$C$17),"Yes","No")</f>
        <v>No</v>
      </c>
      <c r="M1484" s="14">
        <f>VLOOKUP(B1484,Customers!$A$1:$E$2501,4,0)</f>
        <v>82</v>
      </c>
    </row>
    <row r="1485" spans="1:13" x14ac:dyDescent="0.3">
      <c r="A1485">
        <v>990534</v>
      </c>
      <c r="B1485">
        <v>249</v>
      </c>
      <c r="C1485" s="1" t="s">
        <v>98</v>
      </c>
      <c r="D1485" s="7">
        <v>45122</v>
      </c>
      <c r="E1485" s="11">
        <v>0.44930555555555557</v>
      </c>
      <c r="F1485" s="15">
        <f t="shared" si="69"/>
        <v>7</v>
      </c>
      <c r="G1485" s="10" t="str">
        <f t="shared" si="70"/>
        <v>Saturday</v>
      </c>
      <c r="H1485" s="9" t="str">
        <f t="shared" si="71"/>
        <v>July</v>
      </c>
      <c r="I1485" t="s">
        <v>190</v>
      </c>
      <c r="J1485" t="s">
        <v>20</v>
      </c>
      <c r="K1485">
        <v>3459</v>
      </c>
      <c r="L1485" s="5" t="str">
        <f>IF(OR(K1485&lt;Answers!$C$16,Orders!K1485&gt;Answers!$C$17),"Yes","No")</f>
        <v>No</v>
      </c>
      <c r="M1485" s="14">
        <f>VLOOKUP(B1485,Customers!$A$1:$E$2501,4,0)</f>
        <v>58</v>
      </c>
    </row>
    <row r="1486" spans="1:13" x14ac:dyDescent="0.3">
      <c r="A1486">
        <v>990780</v>
      </c>
      <c r="B1486">
        <v>1068</v>
      </c>
      <c r="C1486" s="1" t="s">
        <v>104</v>
      </c>
      <c r="D1486" s="7">
        <v>45236</v>
      </c>
      <c r="E1486" s="11">
        <v>0.4909722222222222</v>
      </c>
      <c r="F1486" s="15">
        <f t="shared" si="69"/>
        <v>11</v>
      </c>
      <c r="G1486" s="10" t="str">
        <f t="shared" si="70"/>
        <v>Monday</v>
      </c>
      <c r="H1486" s="9" t="str">
        <f t="shared" si="71"/>
        <v>November</v>
      </c>
      <c r="I1486" t="s">
        <v>95</v>
      </c>
      <c r="J1486" t="s">
        <v>21</v>
      </c>
      <c r="K1486">
        <v>6407</v>
      </c>
      <c r="L1486" s="5" t="str">
        <f>IF(OR(K1486&lt;Answers!$C$16,Orders!K1486&gt;Answers!$C$17),"Yes","No")</f>
        <v>No</v>
      </c>
      <c r="M1486" s="14">
        <f>VLOOKUP(B1486,Customers!$A$1:$E$2501,4,0)</f>
        <v>56</v>
      </c>
    </row>
    <row r="1487" spans="1:13" x14ac:dyDescent="0.3">
      <c r="A1487">
        <v>990832</v>
      </c>
      <c r="B1487">
        <v>9</v>
      </c>
      <c r="C1487" s="1" t="s">
        <v>99</v>
      </c>
      <c r="D1487" s="7">
        <v>45137</v>
      </c>
      <c r="E1487" s="11">
        <v>0.51249999999999996</v>
      </c>
      <c r="F1487" s="15">
        <f t="shared" si="69"/>
        <v>7</v>
      </c>
      <c r="G1487" s="10" t="str">
        <f t="shared" si="70"/>
        <v>Sunday</v>
      </c>
      <c r="H1487" s="9" t="str">
        <f t="shared" si="71"/>
        <v>July</v>
      </c>
      <c r="I1487" t="s">
        <v>95</v>
      </c>
      <c r="J1487" t="s">
        <v>3</v>
      </c>
      <c r="K1487">
        <v>8202</v>
      </c>
      <c r="L1487" s="5" t="str">
        <f>IF(OR(K1487&lt;Answers!$C$16,Orders!K1487&gt;Answers!$C$17),"Yes","No")</f>
        <v>No</v>
      </c>
      <c r="M1487" s="14">
        <f>VLOOKUP(B1487,Customers!$A$1:$E$2501,4,0)</f>
        <v>75</v>
      </c>
    </row>
    <row r="1488" spans="1:13" x14ac:dyDescent="0.3">
      <c r="A1488">
        <v>990950</v>
      </c>
      <c r="B1488">
        <v>1948</v>
      </c>
      <c r="C1488" s="1" t="s">
        <v>98</v>
      </c>
      <c r="D1488" s="7">
        <v>45101</v>
      </c>
      <c r="E1488" s="11">
        <v>36872</v>
      </c>
      <c r="F1488" s="15">
        <f t="shared" si="69"/>
        <v>6</v>
      </c>
      <c r="G1488" s="10" t="str">
        <f t="shared" si="70"/>
        <v>Saturday</v>
      </c>
      <c r="H1488" s="9" t="str">
        <f t="shared" si="71"/>
        <v>June</v>
      </c>
      <c r="I1488" t="s">
        <v>190</v>
      </c>
      <c r="J1488" t="s">
        <v>38</v>
      </c>
      <c r="K1488">
        <v>2414</v>
      </c>
      <c r="L1488" s="5" t="str">
        <f>IF(OR(K1488&lt;Answers!$C$16,Orders!K1488&gt;Answers!$C$17),"Yes","No")</f>
        <v>No</v>
      </c>
      <c r="M1488" s="14">
        <f>VLOOKUP(B1488,Customers!$A$1:$E$2501,4,0)</f>
        <v>79</v>
      </c>
    </row>
    <row r="1489" spans="1:13" x14ac:dyDescent="0.3">
      <c r="A1489">
        <v>991491</v>
      </c>
      <c r="B1489">
        <v>1789</v>
      </c>
      <c r="C1489" s="1" t="s">
        <v>108</v>
      </c>
      <c r="D1489" s="7">
        <v>45239</v>
      </c>
      <c r="E1489" s="11">
        <v>0.48680555555555555</v>
      </c>
      <c r="F1489" s="15">
        <f t="shared" si="69"/>
        <v>11</v>
      </c>
      <c r="G1489" s="10" t="str">
        <f t="shared" si="70"/>
        <v>Thursday</v>
      </c>
      <c r="H1489" s="9" t="str">
        <f t="shared" si="71"/>
        <v>November</v>
      </c>
      <c r="I1489" t="s">
        <v>97</v>
      </c>
      <c r="J1489" t="s">
        <v>8</v>
      </c>
      <c r="K1489">
        <v>5990</v>
      </c>
      <c r="L1489" s="5" t="str">
        <f>IF(OR(K1489&lt;Answers!$C$16,Orders!K1489&gt;Answers!$C$17),"Yes","No")</f>
        <v>No</v>
      </c>
      <c r="M1489" s="14">
        <f>VLOOKUP(B1489,Customers!$A$1:$E$2501,4,0)</f>
        <v>35</v>
      </c>
    </row>
    <row r="1490" spans="1:13" x14ac:dyDescent="0.3">
      <c r="A1490">
        <v>991744</v>
      </c>
      <c r="B1490">
        <v>303</v>
      </c>
      <c r="C1490" s="1" t="s">
        <v>112</v>
      </c>
      <c r="D1490" s="7">
        <v>45216</v>
      </c>
      <c r="E1490" s="11">
        <v>0.10347222222222222</v>
      </c>
      <c r="F1490" s="15">
        <f t="shared" si="69"/>
        <v>10</v>
      </c>
      <c r="G1490" s="10" t="str">
        <f t="shared" si="70"/>
        <v>Tuesday</v>
      </c>
      <c r="H1490" s="9" t="str">
        <f t="shared" si="71"/>
        <v>October</v>
      </c>
      <c r="I1490" t="s">
        <v>95</v>
      </c>
      <c r="J1490" t="s">
        <v>31</v>
      </c>
      <c r="K1490">
        <v>6212</v>
      </c>
      <c r="L1490" s="5" t="str">
        <f>IF(OR(K1490&lt;Answers!$C$16,Orders!K1490&gt;Answers!$C$17),"Yes","No")</f>
        <v>No</v>
      </c>
      <c r="M1490" s="14">
        <f>VLOOKUP(B1490,Customers!$A$1:$E$2501,4,0)</f>
        <v>73</v>
      </c>
    </row>
    <row r="1491" spans="1:13" x14ac:dyDescent="0.3">
      <c r="A1491">
        <v>992007</v>
      </c>
      <c r="B1491">
        <v>576</v>
      </c>
      <c r="C1491" s="1" t="s">
        <v>98</v>
      </c>
      <c r="D1491" s="7">
        <v>45140</v>
      </c>
      <c r="E1491" s="11">
        <v>0.49791666666666667</v>
      </c>
      <c r="F1491" s="15">
        <f t="shared" si="69"/>
        <v>8</v>
      </c>
      <c r="G1491" s="10" t="str">
        <f t="shared" si="70"/>
        <v>Wednesday</v>
      </c>
      <c r="H1491" s="9" t="str">
        <f t="shared" si="71"/>
        <v>August</v>
      </c>
      <c r="I1491" t="s">
        <v>96</v>
      </c>
      <c r="J1491" t="s">
        <v>40</v>
      </c>
      <c r="K1491">
        <v>839</v>
      </c>
      <c r="L1491" s="5" t="str">
        <f>IF(OR(K1491&lt;Answers!$C$16,Orders!K1491&gt;Answers!$C$17),"Yes","No")</f>
        <v>No</v>
      </c>
      <c r="M1491" s="14">
        <f>VLOOKUP(B1491,Customers!$A$1:$E$2501,4,0)</f>
        <v>47</v>
      </c>
    </row>
    <row r="1492" spans="1:13" x14ac:dyDescent="0.3">
      <c r="A1492">
        <v>992535</v>
      </c>
      <c r="B1492">
        <v>1239</v>
      </c>
      <c r="C1492" s="1" t="s">
        <v>104</v>
      </c>
      <c r="D1492" s="7">
        <v>44938</v>
      </c>
      <c r="E1492" s="11">
        <v>0.4548611111111111</v>
      </c>
      <c r="F1492" s="15">
        <f t="shared" si="69"/>
        <v>1</v>
      </c>
      <c r="G1492" s="10" t="str">
        <f t="shared" si="70"/>
        <v>Thursday</v>
      </c>
      <c r="H1492" s="9" t="str">
        <f t="shared" si="71"/>
        <v>January</v>
      </c>
      <c r="I1492" t="s">
        <v>95</v>
      </c>
      <c r="J1492" t="s">
        <v>25</v>
      </c>
      <c r="K1492">
        <v>2549</v>
      </c>
      <c r="L1492" s="5" t="str">
        <f>IF(OR(K1492&lt;Answers!$C$16,Orders!K1492&gt;Answers!$C$17),"Yes","No")</f>
        <v>No</v>
      </c>
      <c r="M1492" s="14">
        <f>VLOOKUP(B1492,Customers!$A$1:$E$2501,4,0)</f>
        <v>86</v>
      </c>
    </row>
    <row r="1493" spans="1:13" x14ac:dyDescent="0.3">
      <c r="A1493">
        <v>993121</v>
      </c>
      <c r="B1493">
        <v>864</v>
      </c>
      <c r="C1493" s="1" t="s">
        <v>98</v>
      </c>
      <c r="D1493" s="7">
        <v>45054</v>
      </c>
      <c r="E1493" s="11">
        <v>0.49722222222222223</v>
      </c>
      <c r="F1493" s="15">
        <f t="shared" si="69"/>
        <v>5</v>
      </c>
      <c r="G1493" s="10" t="str">
        <f t="shared" si="70"/>
        <v>Monday</v>
      </c>
      <c r="H1493" s="9" t="str">
        <f t="shared" si="71"/>
        <v>May</v>
      </c>
      <c r="I1493" t="s">
        <v>95</v>
      </c>
      <c r="J1493" t="s">
        <v>26</v>
      </c>
      <c r="K1493">
        <v>4384</v>
      </c>
      <c r="L1493" s="5" t="str">
        <f>IF(OR(K1493&lt;Answers!$C$16,Orders!K1493&gt;Answers!$C$17),"Yes","No")</f>
        <v>No</v>
      </c>
      <c r="M1493" s="14">
        <f>VLOOKUP(B1493,Customers!$A$1:$E$2501,4,0)</f>
        <v>78</v>
      </c>
    </row>
    <row r="1494" spans="1:13" x14ac:dyDescent="0.3">
      <c r="A1494">
        <v>993369</v>
      </c>
      <c r="B1494">
        <v>1454</v>
      </c>
      <c r="C1494" s="1" t="s">
        <v>104</v>
      </c>
      <c r="D1494" s="7">
        <v>45150</v>
      </c>
      <c r="E1494" s="11">
        <v>0.53194444444444444</v>
      </c>
      <c r="F1494" s="15">
        <f t="shared" si="69"/>
        <v>8</v>
      </c>
      <c r="G1494" s="10" t="str">
        <f t="shared" si="70"/>
        <v>Saturday</v>
      </c>
      <c r="H1494" s="9" t="str">
        <f t="shared" si="71"/>
        <v>August</v>
      </c>
      <c r="I1494" t="s">
        <v>95</v>
      </c>
      <c r="J1494" t="s">
        <v>80</v>
      </c>
      <c r="K1494">
        <v>8577</v>
      </c>
      <c r="L1494" s="5" t="str">
        <f>IF(OR(K1494&lt;Answers!$C$16,Orders!K1494&gt;Answers!$C$17),"Yes","No")</f>
        <v>No</v>
      </c>
      <c r="M1494" s="14">
        <f>VLOOKUP(B1494,Customers!$A$1:$E$2501,4,0)</f>
        <v>71</v>
      </c>
    </row>
    <row r="1495" spans="1:13" x14ac:dyDescent="0.3">
      <c r="A1495">
        <v>993889</v>
      </c>
      <c r="B1495">
        <v>562</v>
      </c>
      <c r="C1495" s="1" t="s">
        <v>105</v>
      </c>
      <c r="D1495" s="7">
        <v>45006</v>
      </c>
      <c r="E1495" s="11">
        <v>0.48333333333333334</v>
      </c>
      <c r="F1495" s="15">
        <f t="shared" si="69"/>
        <v>3</v>
      </c>
      <c r="G1495" s="10" t="str">
        <f t="shared" si="70"/>
        <v>Tuesday</v>
      </c>
      <c r="H1495" s="9" t="str">
        <f t="shared" si="71"/>
        <v>March</v>
      </c>
      <c r="I1495" t="s">
        <v>95</v>
      </c>
      <c r="J1495" t="s">
        <v>49</v>
      </c>
      <c r="K1495">
        <v>2862</v>
      </c>
      <c r="L1495" s="5" t="str">
        <f>IF(OR(K1495&lt;Answers!$C$16,Orders!K1495&gt;Answers!$C$17),"Yes","No")</f>
        <v>No</v>
      </c>
      <c r="M1495" s="14">
        <f>VLOOKUP(B1495,Customers!$A$1:$E$2501,4,0)</f>
        <v>75</v>
      </c>
    </row>
    <row r="1496" spans="1:13" x14ac:dyDescent="0.3">
      <c r="A1496">
        <v>993964</v>
      </c>
      <c r="B1496">
        <v>1143</v>
      </c>
      <c r="C1496" s="1" t="s">
        <v>106</v>
      </c>
      <c r="D1496" s="7">
        <v>45288</v>
      </c>
      <c r="E1496" s="11">
        <v>0.49930555555555556</v>
      </c>
      <c r="F1496" s="15">
        <f t="shared" si="69"/>
        <v>12</v>
      </c>
      <c r="G1496" s="10" t="str">
        <f t="shared" si="70"/>
        <v>Thursday</v>
      </c>
      <c r="H1496" s="9" t="str">
        <f t="shared" si="71"/>
        <v>December</v>
      </c>
      <c r="I1496" t="s">
        <v>190</v>
      </c>
      <c r="J1496" t="s">
        <v>4</v>
      </c>
      <c r="K1496">
        <v>8644</v>
      </c>
      <c r="L1496" s="5" t="str">
        <f>IF(OR(K1496&lt;Answers!$C$16,Orders!K1496&gt;Answers!$C$17),"Yes","No")</f>
        <v>No</v>
      </c>
      <c r="M1496" s="14">
        <f>VLOOKUP(B1496,Customers!$A$1:$E$2501,4,0)</f>
        <v>59</v>
      </c>
    </row>
    <row r="1497" spans="1:13" x14ac:dyDescent="0.3">
      <c r="A1497">
        <v>995268</v>
      </c>
      <c r="B1497">
        <v>1434</v>
      </c>
      <c r="C1497" s="1" t="s">
        <v>98</v>
      </c>
      <c r="D1497" s="7">
        <v>45080</v>
      </c>
      <c r="E1497" s="11">
        <v>0.52013888888888893</v>
      </c>
      <c r="F1497" s="15">
        <f t="shared" si="69"/>
        <v>6</v>
      </c>
      <c r="G1497" s="10" t="str">
        <f t="shared" si="70"/>
        <v>Saturday</v>
      </c>
      <c r="H1497" s="9" t="str">
        <f t="shared" si="71"/>
        <v>June</v>
      </c>
      <c r="I1497" t="s">
        <v>97</v>
      </c>
      <c r="J1497" t="s">
        <v>45</v>
      </c>
      <c r="K1497">
        <v>3688</v>
      </c>
      <c r="L1497" s="5" t="str">
        <f>IF(OR(K1497&lt;Answers!$C$16,Orders!K1497&gt;Answers!$C$17),"Yes","No")</f>
        <v>No</v>
      </c>
      <c r="M1497" s="14">
        <f>VLOOKUP(B1497,Customers!$A$1:$E$2501,4,0)</f>
        <v>65</v>
      </c>
    </row>
    <row r="1498" spans="1:13" x14ac:dyDescent="0.3">
      <c r="A1498">
        <v>995410</v>
      </c>
      <c r="B1498">
        <v>1355</v>
      </c>
      <c r="C1498" s="1" t="s">
        <v>104</v>
      </c>
      <c r="D1498" s="7">
        <v>45045</v>
      </c>
      <c r="E1498" s="11">
        <v>4.1666666666666664E-2</v>
      </c>
      <c r="F1498" s="15">
        <f t="shared" si="69"/>
        <v>4</v>
      </c>
      <c r="G1498" s="10" t="str">
        <f t="shared" si="70"/>
        <v>Saturday</v>
      </c>
      <c r="H1498" s="9" t="str">
        <f t="shared" si="71"/>
        <v>April</v>
      </c>
      <c r="I1498" t="s">
        <v>97</v>
      </c>
      <c r="J1498" t="s">
        <v>81</v>
      </c>
      <c r="K1498">
        <v>114</v>
      </c>
      <c r="L1498" s="5" t="str">
        <f>IF(OR(K1498&lt;Answers!$C$16,Orders!K1498&gt;Answers!$C$17),"Yes","No")</f>
        <v>No</v>
      </c>
      <c r="M1498" s="14">
        <f>VLOOKUP(B1498,Customers!$A$1:$E$2501,4,0)</f>
        <v>83</v>
      </c>
    </row>
    <row r="1499" spans="1:13" x14ac:dyDescent="0.3">
      <c r="A1499">
        <v>996729</v>
      </c>
      <c r="B1499">
        <v>1416</v>
      </c>
      <c r="C1499" s="1" t="s">
        <v>98</v>
      </c>
      <c r="D1499" s="7">
        <v>45015</v>
      </c>
      <c r="E1499" s="11">
        <v>0.51666666666666672</v>
      </c>
      <c r="F1499" s="15">
        <f t="shared" si="69"/>
        <v>3</v>
      </c>
      <c r="G1499" s="10" t="str">
        <f t="shared" si="70"/>
        <v>Thursday</v>
      </c>
      <c r="H1499" s="9" t="str">
        <f t="shared" si="71"/>
        <v>March</v>
      </c>
      <c r="I1499" t="s">
        <v>97</v>
      </c>
      <c r="J1499" t="s">
        <v>16</v>
      </c>
      <c r="K1499">
        <v>3726</v>
      </c>
      <c r="L1499" s="5" t="str">
        <f>IF(OR(K1499&lt;Answers!$C$16,Orders!K1499&gt;Answers!$C$17),"Yes","No")</f>
        <v>No</v>
      </c>
      <c r="M1499" s="14">
        <f>VLOOKUP(B1499,Customers!$A$1:$E$2501,4,0)</f>
        <v>84</v>
      </c>
    </row>
    <row r="1500" spans="1:13" x14ac:dyDescent="0.3">
      <c r="A1500">
        <v>996929</v>
      </c>
      <c r="B1500">
        <v>1209</v>
      </c>
      <c r="C1500" s="1" t="s">
        <v>101</v>
      </c>
      <c r="D1500" s="7">
        <v>45073</v>
      </c>
      <c r="E1500" s="11">
        <v>0.53472222222222221</v>
      </c>
      <c r="F1500" s="15">
        <f t="shared" si="69"/>
        <v>5</v>
      </c>
      <c r="G1500" s="10" t="str">
        <f t="shared" si="70"/>
        <v>Saturday</v>
      </c>
      <c r="H1500" s="9" t="str">
        <f t="shared" si="71"/>
        <v>May</v>
      </c>
      <c r="I1500" t="s">
        <v>190</v>
      </c>
      <c r="J1500" t="s">
        <v>10</v>
      </c>
      <c r="K1500">
        <v>3144</v>
      </c>
      <c r="L1500" s="5" t="str">
        <f>IF(OR(K1500&lt;Answers!$C$16,Orders!K1500&gt;Answers!$C$17),"Yes","No")</f>
        <v>No</v>
      </c>
      <c r="M1500" s="14">
        <f>VLOOKUP(B1500,Customers!$A$1:$E$2501,4,0)</f>
        <v>38</v>
      </c>
    </row>
    <row r="1501" spans="1:13" x14ac:dyDescent="0.3">
      <c r="A1501">
        <v>997669</v>
      </c>
      <c r="B1501">
        <v>475</v>
      </c>
      <c r="C1501" s="1" t="s">
        <v>98</v>
      </c>
      <c r="D1501" s="7">
        <v>44948</v>
      </c>
      <c r="E1501" s="11">
        <v>0.47152777777777777</v>
      </c>
      <c r="F1501" s="15">
        <f t="shared" si="69"/>
        <v>1</v>
      </c>
      <c r="G1501" s="10" t="str">
        <f t="shared" si="70"/>
        <v>Sunday</v>
      </c>
      <c r="H1501" s="9" t="str">
        <f t="shared" si="71"/>
        <v>January</v>
      </c>
      <c r="I1501" t="s">
        <v>96</v>
      </c>
      <c r="J1501" t="s">
        <v>43</v>
      </c>
      <c r="K1501">
        <v>4684</v>
      </c>
      <c r="L1501" s="5" t="str">
        <f>IF(OR(K1501&lt;Answers!$C$16,Orders!K1501&gt;Answers!$C$17),"Yes","No")</f>
        <v>No</v>
      </c>
      <c r="M1501" s="14">
        <f>VLOOKUP(B1501,Customers!$A$1:$E$2501,4,0)</f>
        <v>51</v>
      </c>
    </row>
    <row r="1502" spans="1:13" x14ac:dyDescent="0.3">
      <c r="A1502">
        <v>998784</v>
      </c>
      <c r="B1502">
        <v>30</v>
      </c>
      <c r="C1502" s="1" t="s">
        <v>99</v>
      </c>
      <c r="D1502" s="7">
        <v>45054</v>
      </c>
      <c r="E1502" s="11">
        <v>0.52500000000000002</v>
      </c>
      <c r="F1502" s="15">
        <f t="shared" si="69"/>
        <v>5</v>
      </c>
      <c r="G1502" s="10" t="str">
        <f t="shared" si="70"/>
        <v>Monday</v>
      </c>
      <c r="H1502" s="9" t="str">
        <f t="shared" si="71"/>
        <v>May</v>
      </c>
      <c r="I1502" t="s">
        <v>95</v>
      </c>
      <c r="J1502" t="s">
        <v>77</v>
      </c>
      <c r="K1502">
        <v>3801</v>
      </c>
      <c r="L1502" s="5" t="str">
        <f>IF(OR(K1502&lt;Answers!$C$16,Orders!K1502&gt;Answers!$C$17),"Yes","No")</f>
        <v>No</v>
      </c>
      <c r="M1502" s="14">
        <f>VLOOKUP(B1502,Customers!$A$1:$E$2501,4,0)</f>
        <v>72</v>
      </c>
    </row>
    <row r="1503" spans="1:13" x14ac:dyDescent="0.3">
      <c r="A1503">
        <v>998926</v>
      </c>
      <c r="B1503">
        <v>1677</v>
      </c>
      <c r="C1503" s="1" t="s">
        <v>106</v>
      </c>
      <c r="D1503" s="7">
        <v>45143</v>
      </c>
      <c r="E1503" s="11">
        <v>6.1805555555555558E-2</v>
      </c>
      <c r="F1503" s="15">
        <f t="shared" si="69"/>
        <v>8</v>
      </c>
      <c r="G1503" s="10" t="str">
        <f t="shared" si="70"/>
        <v>Saturday</v>
      </c>
      <c r="H1503" s="9" t="str">
        <f t="shared" si="71"/>
        <v>August</v>
      </c>
      <c r="I1503" t="s">
        <v>96</v>
      </c>
      <c r="J1503" t="s">
        <v>26</v>
      </c>
      <c r="K1503">
        <v>9356</v>
      </c>
      <c r="L1503" s="5" t="str">
        <f>IF(OR(K1503&lt;Answers!$C$16,Orders!K1503&gt;Answers!$C$17),"Yes","No")</f>
        <v>No</v>
      </c>
      <c r="M1503" s="14">
        <f>VLOOKUP(B1503,Customers!$A$1:$E$2501,4,0)</f>
        <v>51</v>
      </c>
    </row>
    <row r="1504" spans="1:13" x14ac:dyDescent="0.3">
      <c r="A1504">
        <v>999060</v>
      </c>
      <c r="B1504">
        <v>773</v>
      </c>
      <c r="C1504" s="1" t="s">
        <v>98</v>
      </c>
      <c r="D1504" s="7">
        <v>45063</v>
      </c>
      <c r="E1504" s="11">
        <v>0.53888888888888886</v>
      </c>
      <c r="F1504" s="15">
        <f t="shared" si="69"/>
        <v>5</v>
      </c>
      <c r="G1504" s="10" t="str">
        <f t="shared" si="70"/>
        <v>Wednesday</v>
      </c>
      <c r="H1504" s="9" t="str">
        <f t="shared" si="71"/>
        <v>May</v>
      </c>
      <c r="I1504" t="s">
        <v>190</v>
      </c>
      <c r="J1504" t="s">
        <v>58</v>
      </c>
      <c r="K1504">
        <v>2259</v>
      </c>
      <c r="L1504" s="5" t="str">
        <f>IF(OR(K1504&lt;Answers!$C$16,Orders!K1504&gt;Answers!$C$17),"Yes","No")</f>
        <v>No</v>
      </c>
      <c r="M1504" s="14">
        <f>VLOOKUP(B1504,Customers!$A$1:$E$2501,4,0)</f>
        <v>77</v>
      </c>
    </row>
    <row r="1505" spans="1:13" x14ac:dyDescent="0.3">
      <c r="A1505">
        <v>999352</v>
      </c>
      <c r="B1505">
        <v>214</v>
      </c>
      <c r="C1505" s="1" t="s">
        <v>98</v>
      </c>
      <c r="D1505" s="7">
        <v>45267</v>
      </c>
      <c r="E1505" s="11">
        <v>0.49166666666666664</v>
      </c>
      <c r="F1505" s="15">
        <f t="shared" si="69"/>
        <v>12</v>
      </c>
      <c r="G1505" s="10" t="str">
        <f t="shared" si="70"/>
        <v>Thursday</v>
      </c>
      <c r="H1505" s="9" t="str">
        <f t="shared" si="71"/>
        <v>December</v>
      </c>
      <c r="I1505" t="s">
        <v>97</v>
      </c>
      <c r="J1505" t="s">
        <v>86</v>
      </c>
      <c r="K1505">
        <v>8616</v>
      </c>
      <c r="L1505" s="5" t="str">
        <f>IF(OR(K1505&lt;Answers!$C$16,Orders!K1505&gt;Answers!$C$17),"Yes","No")</f>
        <v>No</v>
      </c>
      <c r="M1505" s="14">
        <f>VLOOKUP(B1505,Customers!$A$1:$E$2501,4,0)</f>
        <v>18</v>
      </c>
    </row>
    <row r="1506" spans="1:13" x14ac:dyDescent="0.3">
      <c r="A1506">
        <v>999621</v>
      </c>
      <c r="B1506">
        <v>1643</v>
      </c>
      <c r="C1506" s="1" t="s">
        <v>100</v>
      </c>
      <c r="D1506" s="7">
        <v>45138</v>
      </c>
      <c r="E1506" s="11">
        <v>0.51597222222222228</v>
      </c>
      <c r="F1506" s="15">
        <f t="shared" si="69"/>
        <v>7</v>
      </c>
      <c r="G1506" s="10" t="str">
        <f t="shared" si="70"/>
        <v>Monday</v>
      </c>
      <c r="H1506" s="9" t="str">
        <f t="shared" si="71"/>
        <v>July</v>
      </c>
      <c r="I1506" t="s">
        <v>97</v>
      </c>
      <c r="J1506" t="s">
        <v>73</v>
      </c>
      <c r="K1506">
        <v>4264</v>
      </c>
      <c r="L1506" s="5" t="str">
        <f>IF(OR(K1506&lt;Answers!$C$16,Orders!K1506&gt;Answers!$C$17),"Yes","No")</f>
        <v>No</v>
      </c>
      <c r="M1506" s="14">
        <f>VLOOKUP(B1506,Customers!$A$1:$E$2501,4,0)</f>
        <v>29</v>
      </c>
    </row>
    <row r="1507" spans="1:13" x14ac:dyDescent="0.3">
      <c r="A1507">
        <v>1000209</v>
      </c>
      <c r="B1507">
        <v>240</v>
      </c>
      <c r="C1507" s="1" t="s">
        <v>98</v>
      </c>
      <c r="D1507" s="7">
        <v>45160</v>
      </c>
      <c r="E1507" s="11">
        <v>4.1666666666666664E-2</v>
      </c>
      <c r="F1507" s="15">
        <f t="shared" si="69"/>
        <v>8</v>
      </c>
      <c r="G1507" s="10" t="str">
        <f t="shared" si="70"/>
        <v>Tuesday</v>
      </c>
      <c r="H1507" s="9" t="str">
        <f t="shared" si="71"/>
        <v>August</v>
      </c>
      <c r="I1507" t="s">
        <v>96</v>
      </c>
      <c r="J1507" t="s">
        <v>87</v>
      </c>
      <c r="K1507">
        <v>3641</v>
      </c>
      <c r="L1507" s="5" t="str">
        <f>IF(OR(K1507&lt;Answers!$C$16,Orders!K1507&gt;Answers!$C$17),"Yes","No")</f>
        <v>No</v>
      </c>
      <c r="M1507" s="14">
        <f>VLOOKUP(B1507,Customers!$A$1:$E$2501,4,0)</f>
        <v>63</v>
      </c>
    </row>
    <row r="1508" spans="1:13" x14ac:dyDescent="0.3">
      <c r="A1508">
        <v>1000225</v>
      </c>
      <c r="B1508">
        <v>1329</v>
      </c>
      <c r="C1508" s="1" t="s">
        <v>98</v>
      </c>
      <c r="D1508" s="7">
        <v>45163</v>
      </c>
      <c r="E1508" s="11">
        <v>36627</v>
      </c>
      <c r="F1508" s="15">
        <f t="shared" si="69"/>
        <v>8</v>
      </c>
      <c r="G1508" s="10" t="str">
        <f t="shared" si="70"/>
        <v>Friday</v>
      </c>
      <c r="H1508" s="9" t="str">
        <f t="shared" si="71"/>
        <v>August</v>
      </c>
      <c r="I1508" t="s">
        <v>97</v>
      </c>
      <c r="J1508" t="s">
        <v>68</v>
      </c>
      <c r="K1508">
        <v>3066</v>
      </c>
      <c r="L1508" s="5" t="str">
        <f>IF(OR(K1508&lt;Answers!$C$16,Orders!K1508&gt;Answers!$C$17),"Yes","No")</f>
        <v>No</v>
      </c>
      <c r="M1508" s="14">
        <f>VLOOKUP(B1508,Customers!$A$1:$E$2501,4,0)</f>
        <v>62</v>
      </c>
    </row>
    <row r="1509" spans="1:13" x14ac:dyDescent="0.3">
      <c r="A1509">
        <v>1000578</v>
      </c>
      <c r="B1509">
        <v>1344</v>
      </c>
      <c r="C1509" s="1" t="s">
        <v>104</v>
      </c>
      <c r="D1509" s="7">
        <v>45070</v>
      </c>
      <c r="E1509" s="11">
        <v>0.48055555555555557</v>
      </c>
      <c r="F1509" s="15">
        <f t="shared" si="69"/>
        <v>5</v>
      </c>
      <c r="G1509" s="10" t="str">
        <f t="shared" si="70"/>
        <v>Wednesday</v>
      </c>
      <c r="H1509" s="9" t="str">
        <f t="shared" si="71"/>
        <v>May</v>
      </c>
      <c r="I1509" t="s">
        <v>96</v>
      </c>
      <c r="J1509" t="s">
        <v>88</v>
      </c>
      <c r="K1509">
        <v>2515</v>
      </c>
      <c r="L1509" s="5" t="str">
        <f>IF(OR(K1509&lt;Answers!$C$16,Orders!K1509&gt;Answers!$C$17),"Yes","No")</f>
        <v>No</v>
      </c>
      <c r="M1509" s="14">
        <f>VLOOKUP(B1509,Customers!$A$1:$E$2501,4,0)</f>
        <v>40</v>
      </c>
    </row>
    <row r="1510" spans="1:13" x14ac:dyDescent="0.3">
      <c r="A1510">
        <v>1000651</v>
      </c>
      <c r="B1510">
        <v>1883</v>
      </c>
      <c r="C1510" s="1" t="s">
        <v>98</v>
      </c>
      <c r="D1510" s="7">
        <v>45010</v>
      </c>
      <c r="E1510" s="11">
        <v>0.44930555555555557</v>
      </c>
      <c r="F1510" s="15">
        <f t="shared" si="69"/>
        <v>3</v>
      </c>
      <c r="G1510" s="10" t="str">
        <f t="shared" si="70"/>
        <v>Saturday</v>
      </c>
      <c r="H1510" s="9" t="str">
        <f t="shared" si="71"/>
        <v>March</v>
      </c>
      <c r="I1510" t="s">
        <v>190</v>
      </c>
      <c r="J1510" t="s">
        <v>26</v>
      </c>
      <c r="K1510">
        <v>1594</v>
      </c>
      <c r="L1510" s="5" t="str">
        <f>IF(OR(K1510&lt;Answers!$C$16,Orders!K1510&gt;Answers!$C$17),"Yes","No")</f>
        <v>No</v>
      </c>
      <c r="M1510" s="14">
        <f>VLOOKUP(B1510,Customers!$A$1:$E$2501,4,0)</f>
        <v>20</v>
      </c>
    </row>
    <row r="1511" spans="1:13" x14ac:dyDescent="0.3">
      <c r="A1511">
        <v>1001243</v>
      </c>
      <c r="B1511">
        <v>318</v>
      </c>
      <c r="C1511" s="1" t="s">
        <v>112</v>
      </c>
      <c r="D1511" s="7">
        <v>45062</v>
      </c>
      <c r="E1511" s="11">
        <v>36861</v>
      </c>
      <c r="F1511" s="15">
        <f t="shared" si="69"/>
        <v>5</v>
      </c>
      <c r="G1511" s="10" t="str">
        <f t="shared" si="70"/>
        <v>Tuesday</v>
      </c>
      <c r="H1511" s="9" t="str">
        <f t="shared" si="71"/>
        <v>May</v>
      </c>
      <c r="I1511" t="s">
        <v>190</v>
      </c>
      <c r="J1511" t="s">
        <v>24</v>
      </c>
      <c r="K1511">
        <v>3114</v>
      </c>
      <c r="L1511" s="5" t="str">
        <f>IF(OR(K1511&lt;Answers!$C$16,Orders!K1511&gt;Answers!$C$17),"Yes","No")</f>
        <v>No</v>
      </c>
      <c r="M1511" s="14">
        <f>VLOOKUP(B1511,Customers!$A$1:$E$2501,4,0)</f>
        <v>35</v>
      </c>
    </row>
    <row r="1512" spans="1:13" x14ac:dyDescent="0.3">
      <c r="A1512">
        <v>1001621</v>
      </c>
      <c r="B1512">
        <v>1506</v>
      </c>
      <c r="C1512" s="1" t="s">
        <v>98</v>
      </c>
      <c r="D1512" s="7">
        <v>45268</v>
      </c>
      <c r="E1512" s="11">
        <v>0.53125</v>
      </c>
      <c r="F1512" s="15">
        <f t="shared" si="69"/>
        <v>12</v>
      </c>
      <c r="G1512" s="10" t="str">
        <f t="shared" si="70"/>
        <v>Friday</v>
      </c>
      <c r="H1512" s="9" t="str">
        <f t="shared" si="71"/>
        <v>December</v>
      </c>
      <c r="I1512" t="s">
        <v>96</v>
      </c>
      <c r="J1512" t="s">
        <v>80</v>
      </c>
      <c r="K1512">
        <v>9768</v>
      </c>
      <c r="L1512" s="5" t="str">
        <f>IF(OR(K1512&lt;Answers!$C$16,Orders!K1512&gt;Answers!$C$17),"Yes","No")</f>
        <v>No</v>
      </c>
      <c r="M1512" s="14">
        <f>VLOOKUP(B1512,Customers!$A$1:$E$2501,4,0)</f>
        <v>18</v>
      </c>
    </row>
    <row r="1513" spans="1:13" x14ac:dyDescent="0.3">
      <c r="A1513">
        <v>1001825</v>
      </c>
      <c r="B1513">
        <v>1304</v>
      </c>
      <c r="C1513" s="1" t="s">
        <v>106</v>
      </c>
      <c r="D1513" s="7">
        <v>45078</v>
      </c>
      <c r="E1513" s="11">
        <v>36596</v>
      </c>
      <c r="F1513" s="15">
        <f t="shared" si="69"/>
        <v>6</v>
      </c>
      <c r="G1513" s="10" t="str">
        <f t="shared" si="70"/>
        <v>Thursday</v>
      </c>
      <c r="H1513" s="9" t="str">
        <f t="shared" si="71"/>
        <v>June</v>
      </c>
      <c r="I1513" t="s">
        <v>97</v>
      </c>
      <c r="J1513" t="s">
        <v>4</v>
      </c>
      <c r="K1513">
        <v>7174</v>
      </c>
      <c r="L1513" s="5" t="str">
        <f>IF(OR(K1513&lt;Answers!$C$16,Orders!K1513&gt;Answers!$C$17),"Yes","No")</f>
        <v>No</v>
      </c>
      <c r="M1513" s="14">
        <f>VLOOKUP(B1513,Customers!$A$1:$E$2501,4,0)</f>
        <v>18</v>
      </c>
    </row>
    <row r="1514" spans="1:13" x14ac:dyDescent="0.3">
      <c r="A1514">
        <v>1003235</v>
      </c>
      <c r="B1514">
        <v>1435</v>
      </c>
      <c r="C1514" s="1" t="s">
        <v>99</v>
      </c>
      <c r="D1514" s="7">
        <v>45021</v>
      </c>
      <c r="E1514" s="11">
        <v>9.8611111111111108E-2</v>
      </c>
      <c r="F1514" s="15">
        <f t="shared" si="69"/>
        <v>4</v>
      </c>
      <c r="G1514" s="10" t="str">
        <f t="shared" si="70"/>
        <v>Wednesday</v>
      </c>
      <c r="H1514" s="9" t="str">
        <f t="shared" si="71"/>
        <v>April</v>
      </c>
      <c r="I1514" t="s">
        <v>190</v>
      </c>
      <c r="J1514" t="s">
        <v>6</v>
      </c>
      <c r="K1514">
        <v>9029</v>
      </c>
      <c r="L1514" s="5" t="str">
        <f>IF(OR(K1514&lt;Answers!$C$16,Orders!K1514&gt;Answers!$C$17),"Yes","No")</f>
        <v>No</v>
      </c>
      <c r="M1514" s="14">
        <f>VLOOKUP(B1514,Customers!$A$1:$E$2501,4,0)</f>
        <v>45</v>
      </c>
    </row>
    <row r="1515" spans="1:13" x14ac:dyDescent="0.3">
      <c r="A1515">
        <v>1003833</v>
      </c>
      <c r="B1515">
        <v>1270</v>
      </c>
      <c r="C1515" s="1" t="s">
        <v>98</v>
      </c>
      <c r="D1515" s="7">
        <v>44999</v>
      </c>
      <c r="E1515" s="11">
        <v>0.48402777777777778</v>
      </c>
      <c r="F1515" s="15">
        <f t="shared" si="69"/>
        <v>3</v>
      </c>
      <c r="G1515" s="10" t="str">
        <f t="shared" si="70"/>
        <v>Tuesday</v>
      </c>
      <c r="H1515" s="9" t="str">
        <f t="shared" si="71"/>
        <v>March</v>
      </c>
      <c r="I1515" t="s">
        <v>96</v>
      </c>
      <c r="J1515" t="s">
        <v>26</v>
      </c>
      <c r="K1515">
        <v>5170</v>
      </c>
      <c r="L1515" s="5" t="str">
        <f>IF(OR(K1515&lt;Answers!$C$16,Orders!K1515&gt;Answers!$C$17),"Yes","No")</f>
        <v>No</v>
      </c>
      <c r="M1515" s="14">
        <f>VLOOKUP(B1515,Customers!$A$1:$E$2501,4,0)</f>
        <v>48</v>
      </c>
    </row>
    <row r="1516" spans="1:13" x14ac:dyDescent="0.3">
      <c r="A1516">
        <v>1004136</v>
      </c>
      <c r="B1516">
        <v>305</v>
      </c>
      <c r="C1516" s="1" t="s">
        <v>100</v>
      </c>
      <c r="D1516" s="7">
        <v>45041</v>
      </c>
      <c r="E1516" s="11">
        <v>0.48888888888888887</v>
      </c>
      <c r="F1516" s="15">
        <f t="shared" si="69"/>
        <v>4</v>
      </c>
      <c r="G1516" s="10" t="str">
        <f t="shared" si="70"/>
        <v>Tuesday</v>
      </c>
      <c r="H1516" s="9" t="str">
        <f t="shared" si="71"/>
        <v>April</v>
      </c>
      <c r="I1516" t="s">
        <v>190</v>
      </c>
      <c r="J1516" t="s">
        <v>64</v>
      </c>
      <c r="K1516">
        <v>4465</v>
      </c>
      <c r="L1516" s="5" t="str">
        <f>IF(OR(K1516&lt;Answers!$C$16,Orders!K1516&gt;Answers!$C$17),"Yes","No")</f>
        <v>No</v>
      </c>
      <c r="M1516" s="14">
        <f>VLOOKUP(B1516,Customers!$A$1:$E$2501,4,0)</f>
        <v>58</v>
      </c>
    </row>
    <row r="1517" spans="1:13" x14ac:dyDescent="0.3">
      <c r="A1517">
        <v>1004148</v>
      </c>
      <c r="B1517">
        <v>9</v>
      </c>
      <c r="C1517" s="1" t="s">
        <v>99</v>
      </c>
      <c r="D1517" s="7">
        <v>45200</v>
      </c>
      <c r="E1517" s="11">
        <v>36586</v>
      </c>
      <c r="F1517" s="15">
        <f t="shared" si="69"/>
        <v>10</v>
      </c>
      <c r="G1517" s="10" t="str">
        <f t="shared" si="70"/>
        <v>Sunday</v>
      </c>
      <c r="H1517" s="9" t="str">
        <f t="shared" si="71"/>
        <v>October</v>
      </c>
      <c r="I1517" t="s">
        <v>190</v>
      </c>
      <c r="J1517" t="s">
        <v>23</v>
      </c>
      <c r="K1517">
        <v>9670</v>
      </c>
      <c r="L1517" s="5" t="str">
        <f>IF(OR(K1517&lt;Answers!$C$16,Orders!K1517&gt;Answers!$C$17),"Yes","No")</f>
        <v>No</v>
      </c>
      <c r="M1517" s="14">
        <f>VLOOKUP(B1517,Customers!$A$1:$E$2501,4,0)</f>
        <v>75</v>
      </c>
    </row>
    <row r="1518" spans="1:13" x14ac:dyDescent="0.3">
      <c r="A1518">
        <v>1004722</v>
      </c>
      <c r="B1518">
        <v>1176</v>
      </c>
      <c r="C1518" s="1" t="s">
        <v>98</v>
      </c>
      <c r="D1518" s="7">
        <v>45081</v>
      </c>
      <c r="E1518" s="11">
        <v>5.6250000000000001E-2</v>
      </c>
      <c r="F1518" s="15">
        <f t="shared" si="69"/>
        <v>6</v>
      </c>
      <c r="G1518" s="10" t="str">
        <f t="shared" si="70"/>
        <v>Sunday</v>
      </c>
      <c r="H1518" s="9" t="str">
        <f t="shared" si="71"/>
        <v>June</v>
      </c>
      <c r="I1518" t="s">
        <v>190</v>
      </c>
      <c r="J1518" t="s">
        <v>89</v>
      </c>
      <c r="K1518">
        <v>315</v>
      </c>
      <c r="L1518" s="5" t="str">
        <f>IF(OR(K1518&lt;Answers!$C$16,Orders!K1518&gt;Answers!$C$17),"Yes","No")</f>
        <v>No</v>
      </c>
      <c r="M1518" s="14">
        <f>VLOOKUP(B1518,Customers!$A$1:$E$2501,4,0)</f>
        <v>89</v>
      </c>
    </row>
    <row r="1519" spans="1:13" x14ac:dyDescent="0.3">
      <c r="A1519">
        <v>1004737</v>
      </c>
      <c r="B1519">
        <v>324</v>
      </c>
      <c r="C1519" s="1" t="s">
        <v>100</v>
      </c>
      <c r="D1519" s="7">
        <v>45144</v>
      </c>
      <c r="E1519" s="11">
        <v>8.3333333333333329E-2</v>
      </c>
      <c r="F1519" s="15">
        <f t="shared" si="69"/>
        <v>8</v>
      </c>
      <c r="G1519" s="10" t="str">
        <f t="shared" si="70"/>
        <v>Sunday</v>
      </c>
      <c r="H1519" s="9" t="str">
        <f t="shared" si="71"/>
        <v>August</v>
      </c>
      <c r="I1519" t="s">
        <v>95</v>
      </c>
      <c r="J1519" t="s">
        <v>13</v>
      </c>
      <c r="K1519">
        <v>9848</v>
      </c>
      <c r="L1519" s="5" t="str">
        <f>IF(OR(K1519&lt;Answers!$C$16,Orders!K1519&gt;Answers!$C$17),"Yes","No")</f>
        <v>No</v>
      </c>
      <c r="M1519" s="14">
        <f>VLOOKUP(B1519,Customers!$A$1:$E$2501,4,0)</f>
        <v>28</v>
      </c>
    </row>
    <row r="1520" spans="1:13" x14ac:dyDescent="0.3">
      <c r="A1520">
        <v>1005091</v>
      </c>
      <c r="B1520">
        <v>750</v>
      </c>
      <c r="C1520" s="1" t="s">
        <v>101</v>
      </c>
      <c r="D1520" s="7">
        <v>45014</v>
      </c>
      <c r="E1520" s="11">
        <v>0.47152777777777777</v>
      </c>
      <c r="F1520" s="15">
        <f t="shared" si="69"/>
        <v>3</v>
      </c>
      <c r="G1520" s="10" t="str">
        <f t="shared" si="70"/>
        <v>Wednesday</v>
      </c>
      <c r="H1520" s="9" t="str">
        <f t="shared" si="71"/>
        <v>March</v>
      </c>
      <c r="I1520" t="s">
        <v>96</v>
      </c>
      <c r="J1520" t="s">
        <v>26</v>
      </c>
      <c r="K1520">
        <v>6680</v>
      </c>
      <c r="L1520" s="5" t="str">
        <f>IF(OR(K1520&lt;Answers!$C$16,Orders!K1520&gt;Answers!$C$17),"Yes","No")</f>
        <v>No</v>
      </c>
      <c r="M1520" s="14">
        <f>VLOOKUP(B1520,Customers!$A$1:$E$2501,4,0)</f>
        <v>40</v>
      </c>
    </row>
    <row r="1521" spans="1:13" x14ac:dyDescent="0.3">
      <c r="A1521">
        <v>1006791</v>
      </c>
      <c r="B1521">
        <v>425</v>
      </c>
      <c r="C1521" s="1" t="s">
        <v>112</v>
      </c>
      <c r="D1521" s="7">
        <v>45125</v>
      </c>
      <c r="E1521" s="11">
        <v>0.45208333333333334</v>
      </c>
      <c r="F1521" s="15">
        <f t="shared" si="69"/>
        <v>7</v>
      </c>
      <c r="G1521" s="10" t="str">
        <f t="shared" si="70"/>
        <v>Tuesday</v>
      </c>
      <c r="H1521" s="9" t="str">
        <f t="shared" si="71"/>
        <v>July</v>
      </c>
      <c r="I1521" t="s">
        <v>97</v>
      </c>
      <c r="J1521" t="s">
        <v>6</v>
      </c>
      <c r="K1521">
        <v>8280</v>
      </c>
      <c r="L1521" s="5" t="str">
        <f>IF(OR(K1521&lt;Answers!$C$16,Orders!K1521&gt;Answers!$C$17),"Yes","No")</f>
        <v>No</v>
      </c>
      <c r="M1521" s="14">
        <f>VLOOKUP(B1521,Customers!$A$1:$E$2501,4,0)</f>
        <v>51</v>
      </c>
    </row>
    <row r="1522" spans="1:13" x14ac:dyDescent="0.3">
      <c r="A1522">
        <v>1007141</v>
      </c>
      <c r="B1522">
        <v>50</v>
      </c>
      <c r="C1522" s="1" t="s">
        <v>102</v>
      </c>
      <c r="D1522" s="7">
        <v>45272</v>
      </c>
      <c r="E1522" s="11">
        <v>36870</v>
      </c>
      <c r="F1522" s="15">
        <f t="shared" si="69"/>
        <v>12</v>
      </c>
      <c r="G1522" s="10" t="str">
        <f t="shared" si="70"/>
        <v>Tuesday</v>
      </c>
      <c r="H1522" s="9" t="str">
        <f t="shared" si="71"/>
        <v>December</v>
      </c>
      <c r="I1522" t="s">
        <v>96</v>
      </c>
      <c r="J1522" t="s">
        <v>8</v>
      </c>
      <c r="K1522">
        <v>2689</v>
      </c>
      <c r="L1522" s="5" t="str">
        <f>IF(OR(K1522&lt;Answers!$C$16,Orders!K1522&gt;Answers!$C$17),"Yes","No")</f>
        <v>No</v>
      </c>
      <c r="M1522" s="14">
        <f>VLOOKUP(B1522,Customers!$A$1:$E$2501,4,0)</f>
        <v>83</v>
      </c>
    </row>
    <row r="1523" spans="1:13" x14ac:dyDescent="0.3">
      <c r="A1523">
        <v>1007700</v>
      </c>
      <c r="B1523">
        <v>841</v>
      </c>
      <c r="C1523" s="1" t="s">
        <v>98</v>
      </c>
      <c r="D1523" s="7">
        <v>45179</v>
      </c>
      <c r="E1523" s="11">
        <v>0.48194444444444445</v>
      </c>
      <c r="F1523" s="15">
        <f t="shared" si="69"/>
        <v>9</v>
      </c>
      <c r="G1523" s="10" t="str">
        <f t="shared" si="70"/>
        <v>Sunday</v>
      </c>
      <c r="H1523" s="9" t="str">
        <f t="shared" si="71"/>
        <v>September</v>
      </c>
      <c r="I1523" t="s">
        <v>97</v>
      </c>
      <c r="J1523" t="s">
        <v>47</v>
      </c>
      <c r="K1523">
        <v>7646</v>
      </c>
      <c r="L1523" s="5" t="str">
        <f>IF(OR(K1523&lt;Answers!$C$16,Orders!K1523&gt;Answers!$C$17),"Yes","No")</f>
        <v>No</v>
      </c>
      <c r="M1523" s="14">
        <f>VLOOKUP(B1523,Customers!$A$1:$E$2501,4,0)</f>
        <v>42</v>
      </c>
    </row>
    <row r="1524" spans="1:13" x14ac:dyDescent="0.3">
      <c r="A1524">
        <v>1008914</v>
      </c>
      <c r="B1524">
        <v>247</v>
      </c>
      <c r="C1524" s="1" t="s">
        <v>99</v>
      </c>
      <c r="D1524" s="7">
        <v>44999</v>
      </c>
      <c r="E1524" s="11">
        <v>0.52638888888888891</v>
      </c>
      <c r="F1524" s="15">
        <f t="shared" si="69"/>
        <v>3</v>
      </c>
      <c r="G1524" s="10" t="str">
        <f t="shared" si="70"/>
        <v>Tuesday</v>
      </c>
      <c r="H1524" s="9" t="str">
        <f t="shared" si="71"/>
        <v>March</v>
      </c>
      <c r="I1524" t="s">
        <v>97</v>
      </c>
      <c r="J1524" t="s">
        <v>13</v>
      </c>
      <c r="K1524">
        <v>1718</v>
      </c>
      <c r="L1524" s="5" t="str">
        <f>IF(OR(K1524&lt;Answers!$C$16,Orders!K1524&gt;Answers!$C$17),"Yes","No")</f>
        <v>No</v>
      </c>
      <c r="M1524" s="14">
        <f>VLOOKUP(B1524,Customers!$A$1:$E$2501,4,0)</f>
        <v>45</v>
      </c>
    </row>
    <row r="1525" spans="1:13" x14ac:dyDescent="0.3">
      <c r="A1525">
        <v>1011917</v>
      </c>
      <c r="B1525">
        <v>1586</v>
      </c>
      <c r="C1525" s="1" t="s">
        <v>99</v>
      </c>
      <c r="D1525" s="7">
        <v>45098</v>
      </c>
      <c r="E1525" s="11">
        <v>5.2777777777777778E-2</v>
      </c>
      <c r="F1525" s="15">
        <f t="shared" si="69"/>
        <v>6</v>
      </c>
      <c r="G1525" s="10" t="str">
        <f t="shared" si="70"/>
        <v>Wednesday</v>
      </c>
      <c r="H1525" s="9" t="str">
        <f t="shared" si="71"/>
        <v>June</v>
      </c>
      <c r="I1525" t="s">
        <v>96</v>
      </c>
      <c r="J1525" t="s">
        <v>60</v>
      </c>
      <c r="K1525">
        <v>498</v>
      </c>
      <c r="L1525" s="5" t="str">
        <f>IF(OR(K1525&lt;Answers!$C$16,Orders!K1525&gt;Answers!$C$17),"Yes","No")</f>
        <v>No</v>
      </c>
      <c r="M1525" s="14">
        <f>VLOOKUP(B1525,Customers!$A$1:$E$2501,4,0)</f>
        <v>42</v>
      </c>
    </row>
    <row r="1526" spans="1:13" x14ac:dyDescent="0.3">
      <c r="A1526">
        <v>1012304</v>
      </c>
      <c r="B1526">
        <v>1253</v>
      </c>
      <c r="C1526" s="1" t="s">
        <v>98</v>
      </c>
      <c r="D1526" s="7">
        <v>44948</v>
      </c>
      <c r="E1526" s="11">
        <v>0.51666666666666672</v>
      </c>
      <c r="F1526" s="15">
        <f t="shared" si="69"/>
        <v>1</v>
      </c>
      <c r="G1526" s="10" t="str">
        <f t="shared" si="70"/>
        <v>Sunday</v>
      </c>
      <c r="H1526" s="9" t="str">
        <f t="shared" si="71"/>
        <v>January</v>
      </c>
      <c r="I1526" t="s">
        <v>97</v>
      </c>
      <c r="J1526" t="s">
        <v>64</v>
      </c>
      <c r="K1526">
        <v>6132</v>
      </c>
      <c r="L1526" s="5" t="str">
        <f>IF(OR(K1526&lt;Answers!$C$16,Orders!K1526&gt;Answers!$C$17),"Yes","No")</f>
        <v>No</v>
      </c>
      <c r="M1526" s="14">
        <f>VLOOKUP(B1526,Customers!$A$1:$E$2501,4,0)</f>
        <v>79</v>
      </c>
    </row>
    <row r="1527" spans="1:13" x14ac:dyDescent="0.3">
      <c r="A1527">
        <v>1013457</v>
      </c>
      <c r="B1527">
        <v>313</v>
      </c>
      <c r="C1527" s="1" t="s">
        <v>112</v>
      </c>
      <c r="D1527" s="7">
        <v>45124</v>
      </c>
      <c r="E1527" s="11">
        <v>0.53055555555555556</v>
      </c>
      <c r="F1527" s="15">
        <f t="shared" si="69"/>
        <v>7</v>
      </c>
      <c r="G1527" s="10" t="str">
        <f t="shared" si="70"/>
        <v>Monday</v>
      </c>
      <c r="H1527" s="9" t="str">
        <f t="shared" si="71"/>
        <v>July</v>
      </c>
      <c r="I1527" t="s">
        <v>97</v>
      </c>
      <c r="J1527" t="s">
        <v>26</v>
      </c>
      <c r="K1527">
        <v>3289</v>
      </c>
      <c r="L1527" s="5" t="str">
        <f>IF(OR(K1527&lt;Answers!$C$16,Orders!K1527&gt;Answers!$C$17),"Yes","No")</f>
        <v>No</v>
      </c>
      <c r="M1527" s="14">
        <f>VLOOKUP(B1527,Customers!$A$1:$E$2501,4,0)</f>
        <v>61</v>
      </c>
    </row>
    <row r="1528" spans="1:13" x14ac:dyDescent="0.3">
      <c r="A1528">
        <v>1013492</v>
      </c>
      <c r="B1528">
        <v>1294</v>
      </c>
      <c r="C1528" s="1" t="s">
        <v>99</v>
      </c>
      <c r="D1528" s="7">
        <v>45253</v>
      </c>
      <c r="E1528" s="11">
        <v>0.48541666666666666</v>
      </c>
      <c r="F1528" s="15">
        <f t="shared" si="69"/>
        <v>11</v>
      </c>
      <c r="G1528" s="10" t="str">
        <f t="shared" si="70"/>
        <v>Thursday</v>
      </c>
      <c r="H1528" s="9" t="str">
        <f t="shared" si="71"/>
        <v>November</v>
      </c>
      <c r="I1528" t="s">
        <v>96</v>
      </c>
      <c r="J1528" t="s">
        <v>17</v>
      </c>
      <c r="K1528">
        <v>4442</v>
      </c>
      <c r="L1528" s="5" t="str">
        <f>IF(OR(K1528&lt;Answers!$C$16,Orders!K1528&gt;Answers!$C$17),"Yes","No")</f>
        <v>No</v>
      </c>
      <c r="M1528" s="14">
        <f>VLOOKUP(B1528,Customers!$A$1:$E$2501,4,0)</f>
        <v>54</v>
      </c>
    </row>
    <row r="1529" spans="1:13" x14ac:dyDescent="0.3">
      <c r="A1529">
        <v>1014185</v>
      </c>
      <c r="B1529">
        <v>1359</v>
      </c>
      <c r="C1529" s="1" t="s">
        <v>98</v>
      </c>
      <c r="D1529" s="7">
        <v>45245</v>
      </c>
      <c r="E1529" s="11">
        <v>0.51736111111111116</v>
      </c>
      <c r="F1529" s="15">
        <f t="shared" si="69"/>
        <v>11</v>
      </c>
      <c r="G1529" s="10" t="str">
        <f t="shared" si="70"/>
        <v>Wednesday</v>
      </c>
      <c r="H1529" s="9" t="str">
        <f t="shared" si="71"/>
        <v>November</v>
      </c>
      <c r="I1529" t="s">
        <v>96</v>
      </c>
      <c r="J1529" t="s">
        <v>88</v>
      </c>
      <c r="K1529">
        <v>2585</v>
      </c>
      <c r="L1529" s="5" t="str">
        <f>IF(OR(K1529&lt;Answers!$C$16,Orders!K1529&gt;Answers!$C$17),"Yes","No")</f>
        <v>No</v>
      </c>
      <c r="M1529" s="14">
        <f>VLOOKUP(B1529,Customers!$A$1:$E$2501,4,0)</f>
        <v>78</v>
      </c>
    </row>
    <row r="1530" spans="1:13" x14ac:dyDescent="0.3">
      <c r="A1530">
        <v>1014215</v>
      </c>
      <c r="B1530">
        <v>1558</v>
      </c>
      <c r="C1530" s="1" t="s">
        <v>101</v>
      </c>
      <c r="D1530" s="7">
        <v>45087</v>
      </c>
      <c r="E1530" s="11">
        <v>36557</v>
      </c>
      <c r="F1530" s="15">
        <f t="shared" si="69"/>
        <v>6</v>
      </c>
      <c r="G1530" s="10" t="str">
        <f t="shared" si="70"/>
        <v>Saturday</v>
      </c>
      <c r="H1530" s="9" t="str">
        <f t="shared" si="71"/>
        <v>June</v>
      </c>
      <c r="I1530" t="s">
        <v>96</v>
      </c>
      <c r="J1530" t="s">
        <v>78</v>
      </c>
      <c r="K1530">
        <v>858</v>
      </c>
      <c r="L1530" s="5" t="str">
        <f>IF(OR(K1530&lt;Answers!$C$16,Orders!K1530&gt;Answers!$C$17),"Yes","No")</f>
        <v>No</v>
      </c>
      <c r="M1530" s="14">
        <f>VLOOKUP(B1530,Customers!$A$1:$E$2501,4,0)</f>
        <v>83</v>
      </c>
    </row>
    <row r="1531" spans="1:13" x14ac:dyDescent="0.3">
      <c r="A1531">
        <v>1014724</v>
      </c>
      <c r="B1531">
        <v>744</v>
      </c>
      <c r="C1531" s="1" t="s">
        <v>101</v>
      </c>
      <c r="D1531" s="7">
        <v>45277</v>
      </c>
      <c r="E1531" s="11">
        <v>0.49513888888888891</v>
      </c>
      <c r="F1531" s="15">
        <f t="shared" si="69"/>
        <v>12</v>
      </c>
      <c r="G1531" s="10" t="str">
        <f t="shared" si="70"/>
        <v>Sunday</v>
      </c>
      <c r="H1531" s="9" t="str">
        <f t="shared" si="71"/>
        <v>December</v>
      </c>
      <c r="I1531" t="s">
        <v>95</v>
      </c>
      <c r="J1531" t="s">
        <v>50</v>
      </c>
      <c r="K1531">
        <v>231</v>
      </c>
      <c r="L1531" s="5" t="str">
        <f>IF(OR(K1531&lt;Answers!$C$16,Orders!K1531&gt;Answers!$C$17),"Yes","No")</f>
        <v>No</v>
      </c>
      <c r="M1531" s="14">
        <f>VLOOKUP(B1531,Customers!$A$1:$E$2501,4,0)</f>
        <v>33</v>
      </c>
    </row>
    <row r="1532" spans="1:13" x14ac:dyDescent="0.3">
      <c r="A1532">
        <v>1015146</v>
      </c>
      <c r="B1532">
        <v>1469</v>
      </c>
      <c r="C1532" s="1" t="s">
        <v>106</v>
      </c>
      <c r="D1532" s="7">
        <v>45027</v>
      </c>
      <c r="E1532" s="11">
        <v>5.6944444444444443E-2</v>
      </c>
      <c r="F1532" s="15">
        <f t="shared" si="69"/>
        <v>4</v>
      </c>
      <c r="G1532" s="10" t="str">
        <f t="shared" si="70"/>
        <v>Tuesday</v>
      </c>
      <c r="H1532" s="9" t="str">
        <f t="shared" si="71"/>
        <v>April</v>
      </c>
      <c r="I1532" t="s">
        <v>97</v>
      </c>
      <c r="J1532" t="s">
        <v>62</v>
      </c>
      <c r="K1532">
        <v>9395</v>
      </c>
      <c r="L1532" s="5" t="str">
        <f>IF(OR(K1532&lt;Answers!$C$16,Orders!K1532&gt;Answers!$C$17),"Yes","No")</f>
        <v>No</v>
      </c>
      <c r="M1532" s="14">
        <f>VLOOKUP(B1532,Customers!$A$1:$E$2501,4,0)</f>
        <v>38</v>
      </c>
    </row>
    <row r="1533" spans="1:13" x14ac:dyDescent="0.3">
      <c r="A1533">
        <v>1016109</v>
      </c>
      <c r="B1533">
        <v>1256</v>
      </c>
      <c r="C1533" s="1" t="s">
        <v>104</v>
      </c>
      <c r="D1533" s="7">
        <v>45290</v>
      </c>
      <c r="E1533" s="11">
        <v>0.46805555555555556</v>
      </c>
      <c r="F1533" s="15">
        <f t="shared" si="69"/>
        <v>12</v>
      </c>
      <c r="G1533" s="10" t="str">
        <f t="shared" si="70"/>
        <v>Saturday</v>
      </c>
      <c r="H1533" s="9" t="str">
        <f t="shared" si="71"/>
        <v>December</v>
      </c>
      <c r="I1533" t="s">
        <v>95</v>
      </c>
      <c r="J1533" t="s">
        <v>89</v>
      </c>
      <c r="K1533">
        <v>8981</v>
      </c>
      <c r="L1533" s="5" t="str">
        <f>IF(OR(K1533&lt;Answers!$C$16,Orders!K1533&gt;Answers!$C$17),"Yes","No")</f>
        <v>No</v>
      </c>
      <c r="M1533" s="14">
        <f>VLOOKUP(B1533,Customers!$A$1:$E$2501,4,0)</f>
        <v>29</v>
      </c>
    </row>
    <row r="1534" spans="1:13" x14ac:dyDescent="0.3">
      <c r="A1534">
        <v>1016456</v>
      </c>
      <c r="B1534">
        <v>69</v>
      </c>
      <c r="C1534" s="1" t="s">
        <v>98</v>
      </c>
      <c r="D1534" s="7">
        <v>45194</v>
      </c>
      <c r="E1534" s="11">
        <v>0.4465277777777778</v>
      </c>
      <c r="F1534" s="15">
        <f t="shared" si="69"/>
        <v>9</v>
      </c>
      <c r="G1534" s="10" t="str">
        <f t="shared" si="70"/>
        <v>Monday</v>
      </c>
      <c r="H1534" s="9" t="str">
        <f t="shared" si="71"/>
        <v>September</v>
      </c>
      <c r="I1534" t="s">
        <v>190</v>
      </c>
      <c r="J1534" t="s">
        <v>38</v>
      </c>
      <c r="K1534">
        <v>1984</v>
      </c>
      <c r="L1534" s="5" t="str">
        <f>IF(OR(K1534&lt;Answers!$C$16,Orders!K1534&gt;Answers!$C$17),"Yes","No")</f>
        <v>No</v>
      </c>
      <c r="M1534" s="14">
        <f>VLOOKUP(B1534,Customers!$A$1:$E$2501,4,0)</f>
        <v>39</v>
      </c>
    </row>
    <row r="1535" spans="1:13" x14ac:dyDescent="0.3">
      <c r="A1535">
        <v>1016563</v>
      </c>
      <c r="B1535">
        <v>216</v>
      </c>
      <c r="C1535" s="1" t="s">
        <v>112</v>
      </c>
      <c r="D1535" s="7">
        <v>45238</v>
      </c>
      <c r="E1535" s="11">
        <v>0.49513888888888891</v>
      </c>
      <c r="F1535" s="15">
        <f t="shared" si="69"/>
        <v>11</v>
      </c>
      <c r="G1535" s="10" t="str">
        <f t="shared" si="70"/>
        <v>Wednesday</v>
      </c>
      <c r="H1535" s="9" t="str">
        <f t="shared" si="71"/>
        <v>November</v>
      </c>
      <c r="I1535" t="s">
        <v>96</v>
      </c>
      <c r="J1535" t="s">
        <v>91</v>
      </c>
      <c r="K1535">
        <v>8735</v>
      </c>
      <c r="L1535" s="5" t="str">
        <f>IF(OR(K1535&lt;Answers!$C$16,Orders!K1535&gt;Answers!$C$17),"Yes","No")</f>
        <v>No</v>
      </c>
      <c r="M1535" s="14">
        <f>VLOOKUP(B1535,Customers!$A$1:$E$2501,4,0)</f>
        <v>45</v>
      </c>
    </row>
    <row r="1536" spans="1:13" x14ac:dyDescent="0.3">
      <c r="A1536">
        <v>1017548</v>
      </c>
      <c r="B1536">
        <v>187</v>
      </c>
      <c r="C1536" s="1" t="s">
        <v>99</v>
      </c>
      <c r="D1536" s="7">
        <v>44970</v>
      </c>
      <c r="E1536" s="11">
        <v>5.7638888888888892E-2</v>
      </c>
      <c r="F1536" s="15">
        <f t="shared" si="69"/>
        <v>2</v>
      </c>
      <c r="G1536" s="10" t="str">
        <f t="shared" si="70"/>
        <v>Monday</v>
      </c>
      <c r="H1536" s="9" t="str">
        <f t="shared" si="71"/>
        <v>February</v>
      </c>
      <c r="I1536" t="s">
        <v>97</v>
      </c>
      <c r="J1536" t="s">
        <v>31</v>
      </c>
      <c r="K1536">
        <v>7555</v>
      </c>
      <c r="L1536" s="5" t="str">
        <f>IF(OR(K1536&lt;Answers!$C$16,Orders!K1536&gt;Answers!$C$17),"Yes","No")</f>
        <v>No</v>
      </c>
      <c r="M1536" s="14">
        <f>VLOOKUP(B1536,Customers!$A$1:$E$2501,4,0)</f>
        <v>68</v>
      </c>
    </row>
    <row r="1537" spans="1:13" x14ac:dyDescent="0.3">
      <c r="A1537">
        <v>1018145</v>
      </c>
      <c r="B1537">
        <v>523</v>
      </c>
      <c r="C1537" s="1" t="s">
        <v>98</v>
      </c>
      <c r="D1537" s="7">
        <v>45239</v>
      </c>
      <c r="E1537" s="11">
        <v>0.47222222222222221</v>
      </c>
      <c r="F1537" s="15">
        <f t="shared" si="69"/>
        <v>11</v>
      </c>
      <c r="G1537" s="10" t="str">
        <f t="shared" si="70"/>
        <v>Thursday</v>
      </c>
      <c r="H1537" s="9" t="str">
        <f t="shared" si="71"/>
        <v>November</v>
      </c>
      <c r="I1537" t="s">
        <v>95</v>
      </c>
      <c r="J1537" t="s">
        <v>26</v>
      </c>
      <c r="K1537">
        <v>9449</v>
      </c>
      <c r="L1537" s="5" t="str">
        <f>IF(OR(K1537&lt;Answers!$C$16,Orders!K1537&gt;Answers!$C$17),"Yes","No")</f>
        <v>No</v>
      </c>
      <c r="M1537" s="14">
        <f>VLOOKUP(B1537,Customers!$A$1:$E$2501,4,0)</f>
        <v>26</v>
      </c>
    </row>
    <row r="1538" spans="1:13" x14ac:dyDescent="0.3">
      <c r="A1538">
        <v>1018282</v>
      </c>
      <c r="B1538">
        <v>814</v>
      </c>
      <c r="C1538" s="1" t="s">
        <v>98</v>
      </c>
      <c r="D1538" s="7">
        <v>45267</v>
      </c>
      <c r="E1538" s="11">
        <v>0.5229166666666667</v>
      </c>
      <c r="F1538" s="15">
        <f t="shared" si="69"/>
        <v>12</v>
      </c>
      <c r="G1538" s="10" t="str">
        <f t="shared" si="70"/>
        <v>Thursday</v>
      </c>
      <c r="H1538" s="9" t="str">
        <f t="shared" si="71"/>
        <v>December</v>
      </c>
      <c r="I1538" t="s">
        <v>96</v>
      </c>
      <c r="J1538" t="s">
        <v>4</v>
      </c>
      <c r="K1538">
        <v>6590</v>
      </c>
      <c r="L1538" s="5" t="str">
        <f>IF(OR(K1538&lt;Answers!$C$16,Orders!K1538&gt;Answers!$C$17),"Yes","No")</f>
        <v>No</v>
      </c>
      <c r="M1538" s="14">
        <f>VLOOKUP(B1538,Customers!$A$1:$E$2501,4,0)</f>
        <v>60</v>
      </c>
    </row>
    <row r="1539" spans="1:13" x14ac:dyDescent="0.3">
      <c r="A1539">
        <v>1018548</v>
      </c>
      <c r="B1539">
        <v>442</v>
      </c>
      <c r="C1539" s="1" t="s">
        <v>98</v>
      </c>
      <c r="D1539" s="7">
        <v>44992</v>
      </c>
      <c r="E1539" s="11">
        <v>0.47499999999999998</v>
      </c>
      <c r="F1539" s="15">
        <f t="shared" ref="F1539:F1602" si="72">MONTH(D1539)</f>
        <v>3</v>
      </c>
      <c r="G1539" s="10" t="str">
        <f t="shared" ref="G1539:G1602" si="73">TEXT(D1539,"dddd")</f>
        <v>Tuesday</v>
      </c>
      <c r="H1539" s="9" t="str">
        <f t="shared" ref="H1539:H1602" si="74">TEXT(D1539,"mmmm")</f>
        <v>March</v>
      </c>
      <c r="I1539" t="s">
        <v>96</v>
      </c>
      <c r="J1539" t="s">
        <v>15</v>
      </c>
      <c r="K1539">
        <v>8622</v>
      </c>
      <c r="L1539" s="5" t="str">
        <f>IF(OR(K1539&lt;Answers!$C$16,Orders!K1539&gt;Answers!$C$17),"Yes","No")</f>
        <v>No</v>
      </c>
      <c r="M1539" s="14">
        <f>VLOOKUP(B1539,Customers!$A$1:$E$2501,4,0)</f>
        <v>62</v>
      </c>
    </row>
    <row r="1540" spans="1:13" x14ac:dyDescent="0.3">
      <c r="A1540">
        <v>1019737</v>
      </c>
      <c r="B1540">
        <v>1970</v>
      </c>
      <c r="C1540" s="1" t="s">
        <v>99</v>
      </c>
      <c r="D1540" s="7">
        <v>45081</v>
      </c>
      <c r="E1540" s="11">
        <v>0.48958333333333331</v>
      </c>
      <c r="F1540" s="15">
        <f t="shared" si="72"/>
        <v>6</v>
      </c>
      <c r="G1540" s="10" t="str">
        <f t="shared" si="73"/>
        <v>Sunday</v>
      </c>
      <c r="H1540" s="9" t="str">
        <f t="shared" si="74"/>
        <v>June</v>
      </c>
      <c r="I1540" t="s">
        <v>190</v>
      </c>
      <c r="J1540" t="s">
        <v>73</v>
      </c>
      <c r="K1540">
        <v>5789</v>
      </c>
      <c r="L1540" s="5" t="str">
        <f>IF(OR(K1540&lt;Answers!$C$16,Orders!K1540&gt;Answers!$C$17),"Yes","No")</f>
        <v>No</v>
      </c>
      <c r="M1540" s="14">
        <f>VLOOKUP(B1540,Customers!$A$1:$E$2501,4,0)</f>
        <v>79</v>
      </c>
    </row>
    <row r="1541" spans="1:13" x14ac:dyDescent="0.3">
      <c r="A1541">
        <v>1020737</v>
      </c>
      <c r="B1541">
        <v>575</v>
      </c>
      <c r="C1541" s="1" t="s">
        <v>112</v>
      </c>
      <c r="D1541" s="7">
        <v>45267</v>
      </c>
      <c r="E1541" s="11">
        <v>8.1944444444444445E-2</v>
      </c>
      <c r="F1541" s="15">
        <f t="shared" si="72"/>
        <v>12</v>
      </c>
      <c r="G1541" s="10" t="str">
        <f t="shared" si="73"/>
        <v>Thursday</v>
      </c>
      <c r="H1541" s="9" t="str">
        <f t="shared" si="74"/>
        <v>December</v>
      </c>
      <c r="I1541" t="s">
        <v>96</v>
      </c>
      <c r="J1541" t="s">
        <v>75</v>
      </c>
      <c r="K1541">
        <v>7392</v>
      </c>
      <c r="L1541" s="5" t="str">
        <f>IF(OR(K1541&lt;Answers!$C$16,Orders!K1541&gt;Answers!$C$17),"Yes","No")</f>
        <v>No</v>
      </c>
      <c r="M1541" s="14">
        <f>VLOOKUP(B1541,Customers!$A$1:$E$2501,4,0)</f>
        <v>85</v>
      </c>
    </row>
    <row r="1542" spans="1:13" x14ac:dyDescent="0.3">
      <c r="A1542">
        <v>1021024</v>
      </c>
      <c r="B1542">
        <v>283</v>
      </c>
      <c r="C1542" s="1" t="s">
        <v>98</v>
      </c>
      <c r="D1542" s="7">
        <v>45112</v>
      </c>
      <c r="E1542" s="11">
        <v>0.52013888888888893</v>
      </c>
      <c r="F1542" s="15">
        <f t="shared" si="72"/>
        <v>7</v>
      </c>
      <c r="G1542" s="10" t="str">
        <f t="shared" si="73"/>
        <v>Wednesday</v>
      </c>
      <c r="H1542" s="9" t="str">
        <f t="shared" si="74"/>
        <v>July</v>
      </c>
      <c r="I1542" t="s">
        <v>190</v>
      </c>
      <c r="J1542" t="s">
        <v>80</v>
      </c>
      <c r="K1542">
        <v>2928</v>
      </c>
      <c r="L1542" s="5" t="str">
        <f>IF(OR(K1542&lt;Answers!$C$16,Orders!K1542&gt;Answers!$C$17),"Yes","No")</f>
        <v>No</v>
      </c>
      <c r="M1542" s="14">
        <f>VLOOKUP(B1542,Customers!$A$1:$E$2501,4,0)</f>
        <v>18</v>
      </c>
    </row>
    <row r="1543" spans="1:13" x14ac:dyDescent="0.3">
      <c r="A1543">
        <v>1023043</v>
      </c>
      <c r="B1543">
        <v>1237</v>
      </c>
      <c r="C1543" s="1" t="s">
        <v>98</v>
      </c>
      <c r="D1543" s="7">
        <v>45166</v>
      </c>
      <c r="E1543" s="11">
        <v>0.51736111111111116</v>
      </c>
      <c r="F1543" s="15">
        <f t="shared" si="72"/>
        <v>8</v>
      </c>
      <c r="G1543" s="10" t="str">
        <f t="shared" si="73"/>
        <v>Monday</v>
      </c>
      <c r="H1543" s="9" t="str">
        <f t="shared" si="74"/>
        <v>August</v>
      </c>
      <c r="I1543" t="s">
        <v>96</v>
      </c>
      <c r="J1543" t="s">
        <v>87</v>
      </c>
      <c r="K1543">
        <v>534</v>
      </c>
      <c r="L1543" s="5" t="str">
        <f>IF(OR(K1543&lt;Answers!$C$16,Orders!K1543&gt;Answers!$C$17),"Yes","No")</f>
        <v>No</v>
      </c>
      <c r="M1543" s="14">
        <f>VLOOKUP(B1543,Customers!$A$1:$E$2501,4,0)</f>
        <v>87</v>
      </c>
    </row>
    <row r="1544" spans="1:13" x14ac:dyDescent="0.3">
      <c r="A1544">
        <v>1024120</v>
      </c>
      <c r="B1544">
        <v>1323</v>
      </c>
      <c r="C1544" s="1" t="s">
        <v>109</v>
      </c>
      <c r="D1544" s="7">
        <v>44964</v>
      </c>
      <c r="E1544" s="11">
        <v>0.53333333333333333</v>
      </c>
      <c r="F1544" s="15">
        <f t="shared" si="72"/>
        <v>2</v>
      </c>
      <c r="G1544" s="10" t="str">
        <f t="shared" si="73"/>
        <v>Tuesday</v>
      </c>
      <c r="H1544" s="9" t="str">
        <f t="shared" si="74"/>
        <v>February</v>
      </c>
      <c r="I1544" t="s">
        <v>97</v>
      </c>
      <c r="J1544" t="s">
        <v>85</v>
      </c>
      <c r="K1544">
        <v>2228</v>
      </c>
      <c r="L1544" s="5" t="str">
        <f>IF(OR(K1544&lt;Answers!$C$16,Orders!K1544&gt;Answers!$C$17),"Yes","No")</f>
        <v>No</v>
      </c>
      <c r="M1544" s="14">
        <f>VLOOKUP(B1544,Customers!$A$1:$E$2501,4,0)</f>
        <v>81</v>
      </c>
    </row>
    <row r="1545" spans="1:13" x14ac:dyDescent="0.3">
      <c r="A1545">
        <v>1024270</v>
      </c>
      <c r="B1545">
        <v>1292</v>
      </c>
      <c r="C1545" s="1" t="s">
        <v>98</v>
      </c>
      <c r="D1545" s="7">
        <v>45050</v>
      </c>
      <c r="E1545" s="11">
        <v>7.7777777777777779E-2</v>
      </c>
      <c r="F1545" s="15">
        <f t="shared" si="72"/>
        <v>5</v>
      </c>
      <c r="G1545" s="10" t="str">
        <f t="shared" si="73"/>
        <v>Thursday</v>
      </c>
      <c r="H1545" s="9" t="str">
        <f t="shared" si="74"/>
        <v>May</v>
      </c>
      <c r="I1545" t="s">
        <v>190</v>
      </c>
      <c r="J1545" t="s">
        <v>7</v>
      </c>
      <c r="K1545">
        <v>114</v>
      </c>
      <c r="L1545" s="5" t="str">
        <f>IF(OR(K1545&lt;Answers!$C$16,Orders!K1545&gt;Answers!$C$17),"Yes","No")</f>
        <v>No</v>
      </c>
      <c r="M1545" s="14">
        <f>VLOOKUP(B1545,Customers!$A$1:$E$2501,4,0)</f>
        <v>38</v>
      </c>
    </row>
    <row r="1546" spans="1:13" x14ac:dyDescent="0.3">
      <c r="A1546">
        <v>1025204</v>
      </c>
      <c r="B1546">
        <v>1504</v>
      </c>
      <c r="C1546" s="1" t="s">
        <v>99</v>
      </c>
      <c r="D1546" s="7">
        <v>45122</v>
      </c>
      <c r="E1546" s="11">
        <v>0.51180555555555551</v>
      </c>
      <c r="F1546" s="15">
        <f t="shared" si="72"/>
        <v>7</v>
      </c>
      <c r="G1546" s="10" t="str">
        <f t="shared" si="73"/>
        <v>Saturday</v>
      </c>
      <c r="H1546" s="9" t="str">
        <f t="shared" si="74"/>
        <v>July</v>
      </c>
      <c r="I1546" t="s">
        <v>97</v>
      </c>
      <c r="J1546" t="s">
        <v>89</v>
      </c>
      <c r="K1546">
        <v>1043</v>
      </c>
      <c r="L1546" s="5" t="str">
        <f>IF(OR(K1546&lt;Answers!$C$16,Orders!K1546&gt;Answers!$C$17),"Yes","No")</f>
        <v>No</v>
      </c>
      <c r="M1546" s="14">
        <f>VLOOKUP(B1546,Customers!$A$1:$E$2501,4,0)</f>
        <v>33</v>
      </c>
    </row>
    <row r="1547" spans="1:13" x14ac:dyDescent="0.3">
      <c r="A1547">
        <v>1025560</v>
      </c>
      <c r="B1547">
        <v>1534</v>
      </c>
      <c r="C1547" s="1" t="s">
        <v>98</v>
      </c>
      <c r="D1547" s="7">
        <v>45029</v>
      </c>
      <c r="E1547" s="11">
        <v>7.4305555555555555E-2</v>
      </c>
      <c r="F1547" s="15">
        <f t="shared" si="72"/>
        <v>4</v>
      </c>
      <c r="G1547" s="10" t="str">
        <f t="shared" si="73"/>
        <v>Thursday</v>
      </c>
      <c r="H1547" s="9" t="str">
        <f t="shared" si="74"/>
        <v>April</v>
      </c>
      <c r="I1547" t="s">
        <v>95</v>
      </c>
      <c r="J1547" t="s">
        <v>42</v>
      </c>
      <c r="K1547">
        <v>3748</v>
      </c>
      <c r="L1547" s="5" t="str">
        <f>IF(OR(K1547&lt;Answers!$C$16,Orders!K1547&gt;Answers!$C$17),"Yes","No")</f>
        <v>No</v>
      </c>
      <c r="M1547" s="14">
        <f>VLOOKUP(B1547,Customers!$A$1:$E$2501,4,0)</f>
        <v>18</v>
      </c>
    </row>
    <row r="1548" spans="1:13" x14ac:dyDescent="0.3">
      <c r="A1548">
        <v>1026131</v>
      </c>
      <c r="B1548">
        <v>1642</v>
      </c>
      <c r="C1548" s="1" t="s">
        <v>106</v>
      </c>
      <c r="D1548" s="7">
        <v>44945</v>
      </c>
      <c r="E1548" s="11">
        <v>0.5180555555555556</v>
      </c>
      <c r="F1548" s="15">
        <f t="shared" si="72"/>
        <v>1</v>
      </c>
      <c r="G1548" s="10" t="str">
        <f t="shared" si="73"/>
        <v>Thursday</v>
      </c>
      <c r="H1548" s="9" t="str">
        <f t="shared" si="74"/>
        <v>January</v>
      </c>
      <c r="I1548" t="s">
        <v>97</v>
      </c>
      <c r="J1548" t="s">
        <v>90</v>
      </c>
      <c r="K1548">
        <v>2027</v>
      </c>
      <c r="L1548" s="5" t="str">
        <f>IF(OR(K1548&lt;Answers!$C$16,Orders!K1548&gt;Answers!$C$17),"Yes","No")</f>
        <v>No</v>
      </c>
      <c r="M1548" s="14">
        <f>VLOOKUP(B1548,Customers!$A$1:$E$2501,4,0)</f>
        <v>28</v>
      </c>
    </row>
    <row r="1549" spans="1:13" x14ac:dyDescent="0.3">
      <c r="A1549">
        <v>1026611</v>
      </c>
      <c r="B1549">
        <v>899</v>
      </c>
      <c r="C1549" s="1" t="s">
        <v>98</v>
      </c>
      <c r="D1549" s="7">
        <v>44957</v>
      </c>
      <c r="E1549" s="11">
        <v>0.54027777777777775</v>
      </c>
      <c r="F1549" s="15">
        <f t="shared" si="72"/>
        <v>1</v>
      </c>
      <c r="G1549" s="10" t="str">
        <f t="shared" si="73"/>
        <v>Tuesday</v>
      </c>
      <c r="H1549" s="9" t="str">
        <f t="shared" si="74"/>
        <v>January</v>
      </c>
      <c r="I1549" t="s">
        <v>97</v>
      </c>
      <c r="J1549" t="s">
        <v>26</v>
      </c>
      <c r="K1549">
        <v>2950</v>
      </c>
      <c r="L1549" s="5" t="str">
        <f>IF(OR(K1549&lt;Answers!$C$16,Orders!K1549&gt;Answers!$C$17),"Yes","No")</f>
        <v>No</v>
      </c>
      <c r="M1549" s="14">
        <f>VLOOKUP(B1549,Customers!$A$1:$E$2501,4,0)</f>
        <v>75</v>
      </c>
    </row>
    <row r="1550" spans="1:13" x14ac:dyDescent="0.3">
      <c r="A1550">
        <v>1028549</v>
      </c>
      <c r="B1550">
        <v>950</v>
      </c>
      <c r="C1550" s="1" t="s">
        <v>99</v>
      </c>
      <c r="D1550" s="7">
        <v>45082</v>
      </c>
      <c r="E1550" s="11">
        <v>36617</v>
      </c>
      <c r="F1550" s="15">
        <f t="shared" si="72"/>
        <v>6</v>
      </c>
      <c r="G1550" s="10" t="str">
        <f t="shared" si="73"/>
        <v>Monday</v>
      </c>
      <c r="H1550" s="9" t="str">
        <f t="shared" si="74"/>
        <v>June</v>
      </c>
      <c r="I1550" t="s">
        <v>97</v>
      </c>
      <c r="J1550" t="s">
        <v>28</v>
      </c>
      <c r="K1550">
        <v>6236</v>
      </c>
      <c r="L1550" s="5" t="str">
        <f>IF(OR(K1550&lt;Answers!$C$16,Orders!K1550&gt;Answers!$C$17),"Yes","No")</f>
        <v>No</v>
      </c>
      <c r="M1550" s="14">
        <f>VLOOKUP(B1550,Customers!$A$1:$E$2501,4,0)</f>
        <v>72</v>
      </c>
    </row>
    <row r="1551" spans="1:13" x14ac:dyDescent="0.3">
      <c r="A1551">
        <v>1028877</v>
      </c>
      <c r="B1551">
        <v>1695</v>
      </c>
      <c r="C1551" s="1" t="s">
        <v>104</v>
      </c>
      <c r="D1551" s="7">
        <v>45138</v>
      </c>
      <c r="E1551" s="11">
        <v>0.48055555555555557</v>
      </c>
      <c r="F1551" s="15">
        <f t="shared" si="72"/>
        <v>7</v>
      </c>
      <c r="G1551" s="10" t="str">
        <f t="shared" si="73"/>
        <v>Monday</v>
      </c>
      <c r="H1551" s="9" t="str">
        <f t="shared" si="74"/>
        <v>July</v>
      </c>
      <c r="I1551" t="s">
        <v>97</v>
      </c>
      <c r="J1551" t="s">
        <v>33</v>
      </c>
      <c r="K1551">
        <v>8062</v>
      </c>
      <c r="L1551" s="5" t="str">
        <f>IF(OR(K1551&lt;Answers!$C$16,Orders!K1551&gt;Answers!$C$17),"Yes","No")</f>
        <v>No</v>
      </c>
      <c r="M1551" s="14">
        <f>VLOOKUP(B1551,Customers!$A$1:$E$2501,4,0)</f>
        <v>37</v>
      </c>
    </row>
    <row r="1552" spans="1:13" x14ac:dyDescent="0.3">
      <c r="A1552">
        <v>1029432</v>
      </c>
      <c r="B1552">
        <v>169</v>
      </c>
      <c r="C1552" s="1" t="s">
        <v>99</v>
      </c>
      <c r="D1552" s="7">
        <v>45148</v>
      </c>
      <c r="E1552" s="11">
        <v>36596</v>
      </c>
      <c r="F1552" s="15">
        <f t="shared" si="72"/>
        <v>8</v>
      </c>
      <c r="G1552" s="10" t="str">
        <f t="shared" si="73"/>
        <v>Thursday</v>
      </c>
      <c r="H1552" s="9" t="str">
        <f t="shared" si="74"/>
        <v>August</v>
      </c>
      <c r="I1552" t="s">
        <v>96</v>
      </c>
      <c r="J1552" t="s">
        <v>67</v>
      </c>
      <c r="K1552">
        <v>9527</v>
      </c>
      <c r="L1552" s="5" t="str">
        <f>IF(OR(K1552&lt;Answers!$C$16,Orders!K1552&gt;Answers!$C$17),"Yes","No")</f>
        <v>No</v>
      </c>
      <c r="M1552" s="14">
        <f>VLOOKUP(B1552,Customers!$A$1:$E$2501,4,0)</f>
        <v>42</v>
      </c>
    </row>
    <row r="1553" spans="1:13" x14ac:dyDescent="0.3">
      <c r="A1553">
        <v>1031465</v>
      </c>
      <c r="B1553">
        <v>808</v>
      </c>
      <c r="C1553" s="1" t="s">
        <v>98</v>
      </c>
      <c r="D1553" s="7">
        <v>45252</v>
      </c>
      <c r="E1553" s="11">
        <v>0.47013888888888888</v>
      </c>
      <c r="F1553" s="15">
        <f t="shared" si="72"/>
        <v>11</v>
      </c>
      <c r="G1553" s="10" t="str">
        <f t="shared" si="73"/>
        <v>Wednesday</v>
      </c>
      <c r="H1553" s="9" t="str">
        <f t="shared" si="74"/>
        <v>November</v>
      </c>
      <c r="I1553" t="s">
        <v>97</v>
      </c>
      <c r="J1553" t="s">
        <v>39</v>
      </c>
      <c r="K1553">
        <v>7817</v>
      </c>
      <c r="L1553" s="5" t="str">
        <f>IF(OR(K1553&lt;Answers!$C$16,Orders!K1553&gt;Answers!$C$17),"Yes","No")</f>
        <v>No</v>
      </c>
      <c r="M1553" s="14">
        <f>VLOOKUP(B1553,Customers!$A$1:$E$2501,4,0)</f>
        <v>41</v>
      </c>
    </row>
    <row r="1554" spans="1:13" x14ac:dyDescent="0.3">
      <c r="A1554">
        <v>1031756</v>
      </c>
      <c r="B1554">
        <v>1053</v>
      </c>
      <c r="C1554" s="1" t="s">
        <v>112</v>
      </c>
      <c r="D1554" s="7">
        <v>45024</v>
      </c>
      <c r="E1554" s="11">
        <v>0.49722222222222223</v>
      </c>
      <c r="F1554" s="15">
        <f t="shared" si="72"/>
        <v>4</v>
      </c>
      <c r="G1554" s="10" t="str">
        <f t="shared" si="73"/>
        <v>Saturday</v>
      </c>
      <c r="H1554" s="9" t="str">
        <f t="shared" si="74"/>
        <v>April</v>
      </c>
      <c r="I1554" t="s">
        <v>97</v>
      </c>
      <c r="J1554" t="s">
        <v>68</v>
      </c>
      <c r="K1554">
        <v>8172</v>
      </c>
      <c r="L1554" s="5" t="str">
        <f>IF(OR(K1554&lt;Answers!$C$16,Orders!K1554&gt;Answers!$C$17),"Yes","No")</f>
        <v>No</v>
      </c>
      <c r="M1554" s="14">
        <f>VLOOKUP(B1554,Customers!$A$1:$E$2501,4,0)</f>
        <v>67</v>
      </c>
    </row>
    <row r="1555" spans="1:13" x14ac:dyDescent="0.3">
      <c r="A1555">
        <v>1032588</v>
      </c>
      <c r="B1555">
        <v>588</v>
      </c>
      <c r="C1555" s="1" t="s">
        <v>106</v>
      </c>
      <c r="D1555" s="7">
        <v>45241</v>
      </c>
      <c r="E1555" s="11">
        <v>0.53472222222222221</v>
      </c>
      <c r="F1555" s="15">
        <f t="shared" si="72"/>
        <v>11</v>
      </c>
      <c r="G1555" s="10" t="str">
        <f t="shared" si="73"/>
        <v>Saturday</v>
      </c>
      <c r="H1555" s="9" t="str">
        <f t="shared" si="74"/>
        <v>November</v>
      </c>
      <c r="I1555" t="s">
        <v>95</v>
      </c>
      <c r="J1555" t="s">
        <v>41</v>
      </c>
      <c r="K1555">
        <v>6085</v>
      </c>
      <c r="L1555" s="5" t="str">
        <f>IF(OR(K1555&lt;Answers!$C$16,Orders!K1555&gt;Answers!$C$17),"Yes","No")</f>
        <v>No</v>
      </c>
      <c r="M1555" s="14">
        <f>VLOOKUP(B1555,Customers!$A$1:$E$2501,4,0)</f>
        <v>42</v>
      </c>
    </row>
    <row r="1556" spans="1:13" x14ac:dyDescent="0.3">
      <c r="A1556">
        <v>1033000</v>
      </c>
      <c r="B1556">
        <v>327</v>
      </c>
      <c r="C1556" s="1" t="s">
        <v>112</v>
      </c>
      <c r="D1556" s="7">
        <v>44995</v>
      </c>
      <c r="E1556" s="11">
        <v>0.47638888888888886</v>
      </c>
      <c r="F1556" s="15">
        <f t="shared" si="72"/>
        <v>3</v>
      </c>
      <c r="G1556" s="10" t="str">
        <f t="shared" si="73"/>
        <v>Friday</v>
      </c>
      <c r="H1556" s="9" t="str">
        <f t="shared" si="74"/>
        <v>March</v>
      </c>
      <c r="I1556" t="s">
        <v>190</v>
      </c>
      <c r="J1556" t="s">
        <v>42</v>
      </c>
      <c r="K1556">
        <v>3478</v>
      </c>
      <c r="L1556" s="5" t="str">
        <f>IF(OR(K1556&lt;Answers!$C$16,Orders!K1556&gt;Answers!$C$17),"Yes","No")</f>
        <v>No</v>
      </c>
      <c r="M1556" s="14">
        <f>VLOOKUP(B1556,Customers!$A$1:$E$2501,4,0)</f>
        <v>32</v>
      </c>
    </row>
    <row r="1557" spans="1:13" x14ac:dyDescent="0.3">
      <c r="A1557">
        <v>1033341</v>
      </c>
      <c r="B1557">
        <v>537</v>
      </c>
      <c r="C1557" s="1" t="s">
        <v>100</v>
      </c>
      <c r="D1557" s="7">
        <v>45266</v>
      </c>
      <c r="E1557" s="11">
        <v>0.53055555555555556</v>
      </c>
      <c r="F1557" s="15">
        <f t="shared" si="72"/>
        <v>12</v>
      </c>
      <c r="G1557" s="10" t="str">
        <f t="shared" si="73"/>
        <v>Wednesday</v>
      </c>
      <c r="H1557" s="9" t="str">
        <f t="shared" si="74"/>
        <v>December</v>
      </c>
      <c r="I1557" t="s">
        <v>95</v>
      </c>
      <c r="J1557" t="s">
        <v>43</v>
      </c>
      <c r="K1557">
        <v>1935</v>
      </c>
      <c r="L1557" s="5" t="str">
        <f>IF(OR(K1557&lt;Answers!$C$16,Orders!K1557&gt;Answers!$C$17),"Yes","No")</f>
        <v>No</v>
      </c>
      <c r="M1557" s="14">
        <f>VLOOKUP(B1557,Customers!$A$1:$E$2501,4,0)</f>
        <v>58</v>
      </c>
    </row>
    <row r="1558" spans="1:13" x14ac:dyDescent="0.3">
      <c r="A1558">
        <v>1033877</v>
      </c>
      <c r="B1558">
        <v>13</v>
      </c>
      <c r="C1558" s="1" t="s">
        <v>104</v>
      </c>
      <c r="D1558" s="7">
        <v>44983</v>
      </c>
      <c r="E1558" s="11">
        <v>7.0833333333333331E-2</v>
      </c>
      <c r="F1558" s="15">
        <f t="shared" si="72"/>
        <v>2</v>
      </c>
      <c r="G1558" s="10" t="str">
        <f t="shared" si="73"/>
        <v>Sunday</v>
      </c>
      <c r="H1558" s="9" t="str">
        <f t="shared" si="74"/>
        <v>February</v>
      </c>
      <c r="I1558" t="s">
        <v>190</v>
      </c>
      <c r="J1558" t="s">
        <v>80</v>
      </c>
      <c r="K1558">
        <v>4612</v>
      </c>
      <c r="L1558" s="5" t="str">
        <f>IF(OR(K1558&lt;Answers!$C$16,Orders!K1558&gt;Answers!$C$17),"Yes","No")</f>
        <v>No</v>
      </c>
      <c r="M1558" s="14">
        <f>VLOOKUP(B1558,Customers!$A$1:$E$2501,4,0)</f>
        <v>84</v>
      </c>
    </row>
    <row r="1559" spans="1:13" x14ac:dyDescent="0.3">
      <c r="A1559">
        <v>1034415</v>
      </c>
      <c r="B1559">
        <v>427</v>
      </c>
      <c r="C1559" s="1" t="s">
        <v>112</v>
      </c>
      <c r="D1559" s="7">
        <v>45019</v>
      </c>
      <c r="E1559" s="11">
        <v>0.54097222222222219</v>
      </c>
      <c r="F1559" s="15">
        <f t="shared" si="72"/>
        <v>4</v>
      </c>
      <c r="G1559" s="10" t="str">
        <f t="shared" si="73"/>
        <v>Monday</v>
      </c>
      <c r="H1559" s="9" t="str">
        <f t="shared" si="74"/>
        <v>April</v>
      </c>
      <c r="I1559" t="s">
        <v>97</v>
      </c>
      <c r="J1559" t="s">
        <v>70</v>
      </c>
      <c r="K1559">
        <v>3464</v>
      </c>
      <c r="L1559" s="5" t="str">
        <f>IF(OR(K1559&lt;Answers!$C$16,Orders!K1559&gt;Answers!$C$17),"Yes","No")</f>
        <v>No</v>
      </c>
      <c r="M1559" s="14">
        <f>VLOOKUP(B1559,Customers!$A$1:$E$2501,4,0)</f>
        <v>59</v>
      </c>
    </row>
    <row r="1560" spans="1:13" x14ac:dyDescent="0.3">
      <c r="A1560">
        <v>1036614</v>
      </c>
      <c r="B1560">
        <v>898</v>
      </c>
      <c r="C1560" s="1" t="s">
        <v>98</v>
      </c>
      <c r="D1560" s="7">
        <v>44946</v>
      </c>
      <c r="E1560" s="11">
        <v>0.5</v>
      </c>
      <c r="F1560" s="15">
        <f t="shared" si="72"/>
        <v>1</v>
      </c>
      <c r="G1560" s="10" t="str">
        <f t="shared" si="73"/>
        <v>Friday</v>
      </c>
      <c r="H1560" s="9" t="str">
        <f t="shared" si="74"/>
        <v>January</v>
      </c>
      <c r="I1560" t="s">
        <v>190</v>
      </c>
      <c r="J1560" t="s">
        <v>5</v>
      </c>
      <c r="K1560">
        <v>4272</v>
      </c>
      <c r="L1560" s="5" t="str">
        <f>IF(OR(K1560&lt;Answers!$C$16,Orders!K1560&gt;Answers!$C$17),"Yes","No")</f>
        <v>No</v>
      </c>
      <c r="M1560" s="14">
        <f>VLOOKUP(B1560,Customers!$A$1:$E$2501,4,0)</f>
        <v>64</v>
      </c>
    </row>
    <row r="1561" spans="1:13" x14ac:dyDescent="0.3">
      <c r="A1561">
        <v>1036624</v>
      </c>
      <c r="B1561">
        <v>1607</v>
      </c>
      <c r="C1561" s="1" t="s">
        <v>100</v>
      </c>
      <c r="D1561" s="7">
        <v>45129</v>
      </c>
      <c r="E1561" s="11">
        <v>0.53055555555555556</v>
      </c>
      <c r="F1561" s="15">
        <f t="shared" si="72"/>
        <v>7</v>
      </c>
      <c r="G1561" s="10" t="str">
        <f t="shared" si="73"/>
        <v>Saturday</v>
      </c>
      <c r="H1561" s="9" t="str">
        <f t="shared" si="74"/>
        <v>July</v>
      </c>
      <c r="I1561" t="s">
        <v>96</v>
      </c>
      <c r="J1561" t="s">
        <v>6</v>
      </c>
      <c r="K1561">
        <v>667</v>
      </c>
      <c r="L1561" s="5" t="str">
        <f>IF(OR(K1561&lt;Answers!$C$16,Orders!K1561&gt;Answers!$C$17),"Yes","No")</f>
        <v>No</v>
      </c>
      <c r="M1561" s="14">
        <f>VLOOKUP(B1561,Customers!$A$1:$E$2501,4,0)</f>
        <v>65</v>
      </c>
    </row>
    <row r="1562" spans="1:13" x14ac:dyDescent="0.3">
      <c r="A1562">
        <v>1036642</v>
      </c>
      <c r="B1562">
        <v>24</v>
      </c>
      <c r="C1562" s="1" t="s">
        <v>104</v>
      </c>
      <c r="D1562" s="7">
        <v>45049</v>
      </c>
      <c r="E1562" s="11">
        <v>5.7638888888888892E-2</v>
      </c>
      <c r="F1562" s="15">
        <f t="shared" si="72"/>
        <v>5</v>
      </c>
      <c r="G1562" s="10" t="str">
        <f t="shared" si="73"/>
        <v>Wednesday</v>
      </c>
      <c r="H1562" s="9" t="str">
        <f t="shared" si="74"/>
        <v>May</v>
      </c>
      <c r="I1562" t="s">
        <v>95</v>
      </c>
      <c r="J1562" t="s">
        <v>26</v>
      </c>
      <c r="K1562">
        <v>9159</v>
      </c>
      <c r="L1562" s="5" t="str">
        <f>IF(OR(K1562&lt;Answers!$C$16,Orders!K1562&gt;Answers!$C$17),"Yes","No")</f>
        <v>No</v>
      </c>
      <c r="M1562" s="14">
        <f>VLOOKUP(B1562,Customers!$A$1:$E$2501,4,0)</f>
        <v>47</v>
      </c>
    </row>
    <row r="1563" spans="1:13" x14ac:dyDescent="0.3">
      <c r="A1563">
        <v>1038558</v>
      </c>
      <c r="B1563">
        <v>840</v>
      </c>
      <c r="C1563" s="1" t="s">
        <v>101</v>
      </c>
      <c r="D1563" s="7">
        <v>45110</v>
      </c>
      <c r="E1563" s="11">
        <v>7.3611111111111113E-2</v>
      </c>
      <c r="F1563" s="15">
        <f t="shared" si="72"/>
        <v>7</v>
      </c>
      <c r="G1563" s="10" t="str">
        <f t="shared" si="73"/>
        <v>Monday</v>
      </c>
      <c r="H1563" s="9" t="str">
        <f t="shared" si="74"/>
        <v>July</v>
      </c>
      <c r="I1563" t="s">
        <v>96</v>
      </c>
      <c r="J1563" t="s">
        <v>45</v>
      </c>
      <c r="K1563">
        <v>5596</v>
      </c>
      <c r="L1563" s="5" t="str">
        <f>IF(OR(K1563&lt;Answers!$C$16,Orders!K1563&gt;Answers!$C$17),"Yes","No")</f>
        <v>No</v>
      </c>
      <c r="M1563" s="14">
        <f>VLOOKUP(B1563,Customers!$A$1:$E$2501,4,0)</f>
        <v>47</v>
      </c>
    </row>
    <row r="1564" spans="1:13" x14ac:dyDescent="0.3">
      <c r="A1564">
        <v>1038672</v>
      </c>
      <c r="B1564">
        <v>1878</v>
      </c>
      <c r="C1564" s="1" t="s">
        <v>104</v>
      </c>
      <c r="D1564" s="7">
        <v>45233</v>
      </c>
      <c r="E1564" s="11">
        <v>0.44791666666666669</v>
      </c>
      <c r="F1564" s="15">
        <f t="shared" si="72"/>
        <v>11</v>
      </c>
      <c r="G1564" s="10" t="str">
        <f t="shared" si="73"/>
        <v>Friday</v>
      </c>
      <c r="H1564" s="9" t="str">
        <f t="shared" si="74"/>
        <v>November</v>
      </c>
      <c r="I1564" t="s">
        <v>95</v>
      </c>
      <c r="J1564" t="s">
        <v>68</v>
      </c>
      <c r="K1564">
        <v>5918</v>
      </c>
      <c r="L1564" s="5" t="str">
        <f>IF(OR(K1564&lt;Answers!$C$16,Orders!K1564&gt;Answers!$C$17),"Yes","No")</f>
        <v>No</v>
      </c>
      <c r="M1564" s="14">
        <f>VLOOKUP(B1564,Customers!$A$1:$E$2501,4,0)</f>
        <v>24</v>
      </c>
    </row>
    <row r="1565" spans="1:13" x14ac:dyDescent="0.3">
      <c r="A1565">
        <v>1039481</v>
      </c>
      <c r="B1565">
        <v>194</v>
      </c>
      <c r="C1565" s="1" t="s">
        <v>112</v>
      </c>
      <c r="D1565" s="7">
        <v>45060</v>
      </c>
      <c r="E1565" s="11">
        <v>36627</v>
      </c>
      <c r="F1565" s="15">
        <f t="shared" si="72"/>
        <v>5</v>
      </c>
      <c r="G1565" s="10" t="str">
        <f t="shared" si="73"/>
        <v>Sunday</v>
      </c>
      <c r="H1565" s="9" t="str">
        <f t="shared" si="74"/>
        <v>May</v>
      </c>
      <c r="I1565" t="s">
        <v>190</v>
      </c>
      <c r="J1565" t="s">
        <v>23</v>
      </c>
      <c r="K1565">
        <v>8428</v>
      </c>
      <c r="L1565" s="5" t="str">
        <f>IF(OR(K1565&lt;Answers!$C$16,Orders!K1565&gt;Answers!$C$17),"Yes","No")</f>
        <v>No</v>
      </c>
      <c r="M1565" s="14">
        <f>VLOOKUP(B1565,Customers!$A$1:$E$2501,4,0)</f>
        <v>64</v>
      </c>
    </row>
    <row r="1566" spans="1:13" x14ac:dyDescent="0.3">
      <c r="A1566">
        <v>1039541</v>
      </c>
      <c r="B1566">
        <v>694</v>
      </c>
      <c r="C1566" s="1" t="s">
        <v>101</v>
      </c>
      <c r="D1566" s="7">
        <v>44949</v>
      </c>
      <c r="E1566" s="11">
        <v>0.51597222222222228</v>
      </c>
      <c r="F1566" s="15">
        <f t="shared" si="72"/>
        <v>1</v>
      </c>
      <c r="G1566" s="10" t="str">
        <f t="shared" si="73"/>
        <v>Monday</v>
      </c>
      <c r="H1566" s="9" t="str">
        <f t="shared" si="74"/>
        <v>January</v>
      </c>
      <c r="I1566" t="s">
        <v>95</v>
      </c>
      <c r="J1566" t="s">
        <v>3</v>
      </c>
      <c r="K1566">
        <v>8648</v>
      </c>
      <c r="L1566" s="5" t="str">
        <f>IF(OR(K1566&lt;Answers!$C$16,Orders!K1566&gt;Answers!$C$17),"Yes","No")</f>
        <v>No</v>
      </c>
      <c r="M1566" s="14">
        <f>VLOOKUP(B1566,Customers!$A$1:$E$2501,4,0)</f>
        <v>36</v>
      </c>
    </row>
    <row r="1567" spans="1:13" x14ac:dyDescent="0.3">
      <c r="A1567">
        <v>1041039</v>
      </c>
      <c r="B1567">
        <v>1826</v>
      </c>
      <c r="C1567" s="1" t="s">
        <v>106</v>
      </c>
      <c r="D1567" s="7">
        <v>44930</v>
      </c>
      <c r="E1567" s="11">
        <v>0.47013888888888888</v>
      </c>
      <c r="F1567" s="15">
        <f t="shared" si="72"/>
        <v>1</v>
      </c>
      <c r="G1567" s="10" t="str">
        <f t="shared" si="73"/>
        <v>Wednesday</v>
      </c>
      <c r="H1567" s="9" t="str">
        <f t="shared" si="74"/>
        <v>January</v>
      </c>
      <c r="I1567" t="s">
        <v>190</v>
      </c>
      <c r="J1567" t="s">
        <v>13</v>
      </c>
      <c r="K1567">
        <v>7801</v>
      </c>
      <c r="L1567" s="5" t="str">
        <f>IF(OR(K1567&lt;Answers!$C$16,Orders!K1567&gt;Answers!$C$17),"Yes","No")</f>
        <v>No</v>
      </c>
      <c r="M1567" s="14">
        <f>VLOOKUP(B1567,Customers!$A$1:$E$2501,4,0)</f>
        <v>21</v>
      </c>
    </row>
    <row r="1568" spans="1:13" x14ac:dyDescent="0.3">
      <c r="A1568">
        <v>1041266</v>
      </c>
      <c r="B1568">
        <v>1598</v>
      </c>
      <c r="C1568" s="1" t="s">
        <v>109</v>
      </c>
      <c r="D1568" s="7">
        <v>45069</v>
      </c>
      <c r="E1568" s="11">
        <v>0.52986111111111112</v>
      </c>
      <c r="F1568" s="15">
        <f t="shared" si="72"/>
        <v>5</v>
      </c>
      <c r="G1568" s="10" t="str">
        <f t="shared" si="73"/>
        <v>Tuesday</v>
      </c>
      <c r="H1568" s="9" t="str">
        <f t="shared" si="74"/>
        <v>May</v>
      </c>
      <c r="I1568" t="s">
        <v>95</v>
      </c>
      <c r="J1568" t="s">
        <v>5</v>
      </c>
      <c r="K1568">
        <v>1369</v>
      </c>
      <c r="L1568" s="5" t="str">
        <f>IF(OR(K1568&lt;Answers!$C$16,Orders!K1568&gt;Answers!$C$17),"Yes","No")</f>
        <v>No</v>
      </c>
      <c r="M1568" s="14">
        <f>VLOOKUP(B1568,Customers!$A$1:$E$2501,4,0)</f>
        <v>29</v>
      </c>
    </row>
    <row r="1569" spans="1:13" x14ac:dyDescent="0.3">
      <c r="A1569">
        <v>1042847</v>
      </c>
      <c r="B1569">
        <v>1524</v>
      </c>
      <c r="C1569" s="1" t="s">
        <v>99</v>
      </c>
      <c r="D1569" s="7">
        <v>44961</v>
      </c>
      <c r="E1569" s="11">
        <v>0.48055555555555557</v>
      </c>
      <c r="F1569" s="15">
        <f t="shared" si="72"/>
        <v>2</v>
      </c>
      <c r="G1569" s="10" t="str">
        <f t="shared" si="73"/>
        <v>Saturday</v>
      </c>
      <c r="H1569" s="9" t="str">
        <f t="shared" si="74"/>
        <v>February</v>
      </c>
      <c r="I1569" t="s">
        <v>97</v>
      </c>
      <c r="J1569" t="s">
        <v>6</v>
      </c>
      <c r="K1569">
        <v>2979</v>
      </c>
      <c r="L1569" s="5" t="str">
        <f>IF(OR(K1569&lt;Answers!$C$16,Orders!K1569&gt;Answers!$C$17),"Yes","No")</f>
        <v>No</v>
      </c>
      <c r="M1569" s="14">
        <f>VLOOKUP(B1569,Customers!$A$1:$E$2501,4,0)</f>
        <v>75</v>
      </c>
    </row>
    <row r="1570" spans="1:13" x14ac:dyDescent="0.3">
      <c r="A1570">
        <v>1043105</v>
      </c>
      <c r="B1570">
        <v>288</v>
      </c>
      <c r="C1570" s="1" t="s">
        <v>98</v>
      </c>
      <c r="D1570" s="7">
        <v>45146</v>
      </c>
      <c r="E1570" s="11">
        <v>0.4548611111111111</v>
      </c>
      <c r="F1570" s="15">
        <f t="shared" si="72"/>
        <v>8</v>
      </c>
      <c r="G1570" s="10" t="str">
        <f t="shared" si="73"/>
        <v>Tuesday</v>
      </c>
      <c r="H1570" s="9" t="str">
        <f t="shared" si="74"/>
        <v>August</v>
      </c>
      <c r="I1570" t="s">
        <v>95</v>
      </c>
      <c r="J1570" t="s">
        <v>20</v>
      </c>
      <c r="K1570">
        <v>9185</v>
      </c>
      <c r="L1570" s="5" t="str">
        <f>IF(OR(K1570&lt;Answers!$C$16,Orders!K1570&gt;Answers!$C$17),"Yes","No")</f>
        <v>No</v>
      </c>
      <c r="M1570" s="14">
        <f>VLOOKUP(B1570,Customers!$A$1:$E$2501,4,0)</f>
        <v>38</v>
      </c>
    </row>
    <row r="1571" spans="1:13" x14ac:dyDescent="0.3">
      <c r="A1571">
        <v>1043175</v>
      </c>
      <c r="B1571">
        <v>644</v>
      </c>
      <c r="C1571" s="1" t="s">
        <v>105</v>
      </c>
      <c r="D1571" s="7">
        <v>45106</v>
      </c>
      <c r="E1571" s="11">
        <v>0.48194444444444445</v>
      </c>
      <c r="F1571" s="15">
        <f t="shared" si="72"/>
        <v>6</v>
      </c>
      <c r="G1571" s="10" t="str">
        <f t="shared" si="73"/>
        <v>Thursday</v>
      </c>
      <c r="H1571" s="9" t="str">
        <f t="shared" si="74"/>
        <v>June</v>
      </c>
      <c r="I1571" t="s">
        <v>97</v>
      </c>
      <c r="J1571" t="s">
        <v>8</v>
      </c>
      <c r="K1571">
        <v>3317</v>
      </c>
      <c r="L1571" s="5" t="str">
        <f>IF(OR(K1571&lt;Answers!$C$16,Orders!K1571&gt;Answers!$C$17),"Yes","No")</f>
        <v>No</v>
      </c>
      <c r="M1571" s="14">
        <f>VLOOKUP(B1571,Customers!$A$1:$E$2501,4,0)</f>
        <v>61</v>
      </c>
    </row>
    <row r="1572" spans="1:13" x14ac:dyDescent="0.3">
      <c r="A1572">
        <v>1044084</v>
      </c>
      <c r="B1572">
        <v>1073</v>
      </c>
      <c r="C1572" s="1" t="s">
        <v>104</v>
      </c>
      <c r="D1572" s="7">
        <v>45040</v>
      </c>
      <c r="E1572" s="11">
        <v>36861</v>
      </c>
      <c r="F1572" s="15">
        <f t="shared" si="72"/>
        <v>4</v>
      </c>
      <c r="G1572" s="10" t="str">
        <f t="shared" si="73"/>
        <v>Monday</v>
      </c>
      <c r="H1572" s="9" t="str">
        <f t="shared" si="74"/>
        <v>April</v>
      </c>
      <c r="I1572" t="s">
        <v>190</v>
      </c>
      <c r="J1572" t="s">
        <v>9</v>
      </c>
      <c r="K1572">
        <v>1891</v>
      </c>
      <c r="L1572" s="5" t="str">
        <f>IF(OR(K1572&lt;Answers!$C$16,Orders!K1572&gt;Answers!$C$17),"Yes","No")</f>
        <v>No</v>
      </c>
      <c r="M1572" s="14">
        <f>VLOOKUP(B1572,Customers!$A$1:$E$2501,4,0)</f>
        <v>60</v>
      </c>
    </row>
    <row r="1573" spans="1:13" x14ac:dyDescent="0.3">
      <c r="A1573">
        <v>1044744</v>
      </c>
      <c r="B1573">
        <v>1780</v>
      </c>
      <c r="C1573" s="1" t="s">
        <v>105</v>
      </c>
      <c r="D1573" s="7">
        <v>44968</v>
      </c>
      <c r="E1573" s="11">
        <v>36597</v>
      </c>
      <c r="F1573" s="15">
        <f t="shared" si="72"/>
        <v>2</v>
      </c>
      <c r="G1573" s="10" t="str">
        <f t="shared" si="73"/>
        <v>Saturday</v>
      </c>
      <c r="H1573" s="9" t="str">
        <f t="shared" si="74"/>
        <v>February</v>
      </c>
      <c r="I1573" t="s">
        <v>97</v>
      </c>
      <c r="J1573" t="s">
        <v>10</v>
      </c>
      <c r="K1573">
        <v>5782</v>
      </c>
      <c r="L1573" s="5" t="str">
        <f>IF(OR(K1573&lt;Answers!$C$16,Orders!K1573&gt;Answers!$C$17),"Yes","No")</f>
        <v>No</v>
      </c>
      <c r="M1573" s="14">
        <f>VLOOKUP(B1573,Customers!$A$1:$E$2501,4,0)</f>
        <v>49</v>
      </c>
    </row>
    <row r="1574" spans="1:13" x14ac:dyDescent="0.3">
      <c r="A1574">
        <v>1045182</v>
      </c>
      <c r="B1574">
        <v>862</v>
      </c>
      <c r="C1574" s="1" t="s">
        <v>98</v>
      </c>
      <c r="D1574" s="7">
        <v>44983</v>
      </c>
      <c r="E1574" s="11">
        <v>6.9444444444444448E-2</v>
      </c>
      <c r="F1574" s="15">
        <f t="shared" si="72"/>
        <v>2</v>
      </c>
      <c r="G1574" s="10" t="str">
        <f t="shared" si="73"/>
        <v>Sunday</v>
      </c>
      <c r="H1574" s="9" t="str">
        <f t="shared" si="74"/>
        <v>February</v>
      </c>
      <c r="I1574" t="s">
        <v>190</v>
      </c>
      <c r="J1574" t="s">
        <v>11</v>
      </c>
      <c r="K1574">
        <v>8821</v>
      </c>
      <c r="L1574" s="5" t="str">
        <f>IF(OR(K1574&lt;Answers!$C$16,Orders!K1574&gt;Answers!$C$17),"Yes","No")</f>
        <v>No</v>
      </c>
      <c r="M1574" s="14">
        <f>VLOOKUP(B1574,Customers!$A$1:$E$2501,4,0)</f>
        <v>68</v>
      </c>
    </row>
    <row r="1575" spans="1:13" x14ac:dyDescent="0.3">
      <c r="A1575">
        <v>1045700</v>
      </c>
      <c r="B1575">
        <v>539</v>
      </c>
      <c r="C1575" s="1" t="s">
        <v>112</v>
      </c>
      <c r="D1575" s="7">
        <v>45262</v>
      </c>
      <c r="E1575" s="11">
        <v>0.52638888888888891</v>
      </c>
      <c r="F1575" s="15">
        <f t="shared" si="72"/>
        <v>12</v>
      </c>
      <c r="G1575" s="10" t="str">
        <f t="shared" si="73"/>
        <v>Saturday</v>
      </c>
      <c r="H1575" s="9" t="str">
        <f t="shared" si="74"/>
        <v>December</v>
      </c>
      <c r="I1575" t="s">
        <v>190</v>
      </c>
      <c r="J1575" t="s">
        <v>47</v>
      </c>
      <c r="K1575">
        <v>5012</v>
      </c>
      <c r="L1575" s="5" t="str">
        <f>IF(OR(K1575&lt;Answers!$C$16,Orders!K1575&gt;Answers!$C$17),"Yes","No")</f>
        <v>No</v>
      </c>
      <c r="M1575" s="14">
        <f>VLOOKUP(B1575,Customers!$A$1:$E$2501,4,0)</f>
        <v>24</v>
      </c>
    </row>
    <row r="1576" spans="1:13" x14ac:dyDescent="0.3">
      <c r="A1576">
        <v>1046125</v>
      </c>
      <c r="B1576">
        <v>1258</v>
      </c>
      <c r="C1576" s="1" t="s">
        <v>98</v>
      </c>
      <c r="D1576" s="7">
        <v>45024</v>
      </c>
      <c r="E1576" s="11">
        <v>0.52013888888888893</v>
      </c>
      <c r="F1576" s="15">
        <f t="shared" si="72"/>
        <v>4</v>
      </c>
      <c r="G1576" s="10" t="str">
        <f t="shared" si="73"/>
        <v>Saturday</v>
      </c>
      <c r="H1576" s="9" t="str">
        <f t="shared" si="74"/>
        <v>April</v>
      </c>
      <c r="I1576" t="s">
        <v>95</v>
      </c>
      <c r="J1576" t="s">
        <v>13</v>
      </c>
      <c r="K1576">
        <v>9104</v>
      </c>
      <c r="L1576" s="5" t="str">
        <f>IF(OR(K1576&lt;Answers!$C$16,Orders!K1576&gt;Answers!$C$17),"Yes","No")</f>
        <v>No</v>
      </c>
      <c r="M1576" s="14">
        <f>VLOOKUP(B1576,Customers!$A$1:$E$2501,4,0)</f>
        <v>87</v>
      </c>
    </row>
    <row r="1577" spans="1:13" x14ac:dyDescent="0.3">
      <c r="A1577">
        <v>1046974</v>
      </c>
      <c r="B1577">
        <v>1060</v>
      </c>
      <c r="C1577" s="1" t="s">
        <v>112</v>
      </c>
      <c r="D1577" s="7">
        <v>45280</v>
      </c>
      <c r="E1577" s="11">
        <v>0.45763888888888887</v>
      </c>
      <c r="F1577" s="15">
        <f t="shared" si="72"/>
        <v>12</v>
      </c>
      <c r="G1577" s="10" t="str">
        <f t="shared" si="73"/>
        <v>Wednesday</v>
      </c>
      <c r="H1577" s="9" t="str">
        <f t="shared" si="74"/>
        <v>December</v>
      </c>
      <c r="I1577" t="s">
        <v>96</v>
      </c>
      <c r="J1577" t="s">
        <v>48</v>
      </c>
      <c r="K1577">
        <v>2067</v>
      </c>
      <c r="L1577" s="5" t="str">
        <f>IF(OR(K1577&lt;Answers!$C$16,Orders!K1577&gt;Answers!$C$17),"Yes","No")</f>
        <v>No</v>
      </c>
      <c r="M1577" s="14">
        <f>VLOOKUP(B1577,Customers!$A$1:$E$2501,4,0)</f>
        <v>62</v>
      </c>
    </row>
    <row r="1578" spans="1:13" x14ac:dyDescent="0.3">
      <c r="A1578">
        <v>1047821</v>
      </c>
      <c r="B1578">
        <v>1259</v>
      </c>
      <c r="C1578" s="1" t="s">
        <v>98</v>
      </c>
      <c r="D1578" s="7">
        <v>45104</v>
      </c>
      <c r="E1578" s="11">
        <v>36657</v>
      </c>
      <c r="F1578" s="15">
        <f t="shared" si="72"/>
        <v>6</v>
      </c>
      <c r="G1578" s="10" t="str">
        <f t="shared" si="73"/>
        <v>Tuesday</v>
      </c>
      <c r="H1578" s="9" t="str">
        <f t="shared" si="74"/>
        <v>June</v>
      </c>
      <c r="I1578" t="s">
        <v>190</v>
      </c>
      <c r="J1578" t="s">
        <v>64</v>
      </c>
      <c r="K1578">
        <v>4812</v>
      </c>
      <c r="L1578" s="5" t="str">
        <f>IF(OR(K1578&lt;Answers!$C$16,Orders!K1578&gt;Answers!$C$17),"Yes","No")</f>
        <v>No</v>
      </c>
      <c r="M1578" s="14">
        <f>VLOOKUP(B1578,Customers!$A$1:$E$2501,4,0)</f>
        <v>45</v>
      </c>
    </row>
    <row r="1579" spans="1:13" x14ac:dyDescent="0.3">
      <c r="A1579">
        <v>1047874</v>
      </c>
      <c r="B1579">
        <v>420</v>
      </c>
      <c r="C1579" s="1" t="s">
        <v>104</v>
      </c>
      <c r="D1579" s="7">
        <v>45181</v>
      </c>
      <c r="E1579" s="11">
        <v>0.45833333333333331</v>
      </c>
      <c r="F1579" s="15">
        <f t="shared" si="72"/>
        <v>9</v>
      </c>
      <c r="G1579" s="10" t="str">
        <f t="shared" si="73"/>
        <v>Tuesday</v>
      </c>
      <c r="H1579" s="9" t="str">
        <f t="shared" si="74"/>
        <v>September</v>
      </c>
      <c r="I1579" t="s">
        <v>96</v>
      </c>
      <c r="J1579" t="s">
        <v>16</v>
      </c>
      <c r="K1579">
        <v>4920</v>
      </c>
      <c r="L1579" s="5" t="str">
        <f>IF(OR(K1579&lt;Answers!$C$16,Orders!K1579&gt;Answers!$C$17),"Yes","No")</f>
        <v>No</v>
      </c>
      <c r="M1579" s="14">
        <f>VLOOKUP(B1579,Customers!$A$1:$E$2501,4,0)</f>
        <v>72</v>
      </c>
    </row>
    <row r="1580" spans="1:13" x14ac:dyDescent="0.3">
      <c r="A1580">
        <v>1050256</v>
      </c>
      <c r="B1580">
        <v>1770</v>
      </c>
      <c r="C1580" s="1" t="s">
        <v>103</v>
      </c>
      <c r="D1580" s="7">
        <v>45041</v>
      </c>
      <c r="E1580" s="11">
        <v>6.3888888888888884E-2</v>
      </c>
      <c r="F1580" s="15">
        <f t="shared" si="72"/>
        <v>4</v>
      </c>
      <c r="G1580" s="10" t="str">
        <f t="shared" si="73"/>
        <v>Tuesday</v>
      </c>
      <c r="H1580" s="9" t="str">
        <f t="shared" si="74"/>
        <v>April</v>
      </c>
      <c r="I1580" t="s">
        <v>95</v>
      </c>
      <c r="J1580" t="s">
        <v>17</v>
      </c>
      <c r="K1580">
        <v>9723</v>
      </c>
      <c r="L1580" s="5" t="str">
        <f>IF(OR(K1580&lt;Answers!$C$16,Orders!K1580&gt;Answers!$C$17),"Yes","No")</f>
        <v>No</v>
      </c>
      <c r="M1580" s="14">
        <f>VLOOKUP(B1580,Customers!$A$1:$E$2501,4,0)</f>
        <v>88</v>
      </c>
    </row>
    <row r="1581" spans="1:13" x14ac:dyDescent="0.3">
      <c r="A1581">
        <v>1050351</v>
      </c>
      <c r="B1581">
        <v>497</v>
      </c>
      <c r="C1581" s="1" t="s">
        <v>98</v>
      </c>
      <c r="D1581" s="7">
        <v>45121</v>
      </c>
      <c r="E1581" s="11">
        <v>36537</v>
      </c>
      <c r="F1581" s="15">
        <f t="shared" si="72"/>
        <v>7</v>
      </c>
      <c r="G1581" s="10" t="str">
        <f t="shared" si="73"/>
        <v>Friday</v>
      </c>
      <c r="H1581" s="9" t="str">
        <f t="shared" si="74"/>
        <v>July</v>
      </c>
      <c r="I1581" t="s">
        <v>96</v>
      </c>
      <c r="J1581" t="s">
        <v>18</v>
      </c>
      <c r="K1581">
        <v>9863</v>
      </c>
      <c r="L1581" s="5" t="str">
        <f>IF(OR(K1581&lt;Answers!$C$16,Orders!K1581&gt;Answers!$C$17),"Yes","No")</f>
        <v>No</v>
      </c>
      <c r="M1581" s="14">
        <f>VLOOKUP(B1581,Customers!$A$1:$E$2501,4,0)</f>
        <v>88</v>
      </c>
    </row>
    <row r="1582" spans="1:13" x14ac:dyDescent="0.3">
      <c r="A1582">
        <v>1050970</v>
      </c>
      <c r="B1582">
        <v>47</v>
      </c>
      <c r="C1582" s="1" t="s">
        <v>104</v>
      </c>
      <c r="D1582" s="7">
        <v>45055</v>
      </c>
      <c r="E1582" s="11">
        <v>5.0694444444444445E-2</v>
      </c>
      <c r="F1582" s="15">
        <f t="shared" si="72"/>
        <v>5</v>
      </c>
      <c r="G1582" s="10" t="str">
        <f t="shared" si="73"/>
        <v>Tuesday</v>
      </c>
      <c r="H1582" s="9" t="str">
        <f t="shared" si="74"/>
        <v>May</v>
      </c>
      <c r="I1582" t="s">
        <v>97</v>
      </c>
      <c r="J1582" t="s">
        <v>78</v>
      </c>
      <c r="K1582">
        <v>2859</v>
      </c>
      <c r="L1582" s="5" t="str">
        <f>IF(OR(K1582&lt;Answers!$C$16,Orders!K1582&gt;Answers!$C$17),"Yes","No")</f>
        <v>No</v>
      </c>
      <c r="M1582" s="14">
        <f>VLOOKUP(B1582,Customers!$A$1:$E$2501,4,0)</f>
        <v>25</v>
      </c>
    </row>
    <row r="1583" spans="1:13" x14ac:dyDescent="0.3">
      <c r="A1583">
        <v>1051057</v>
      </c>
      <c r="B1583">
        <v>482</v>
      </c>
      <c r="C1583" s="1" t="s">
        <v>99</v>
      </c>
      <c r="D1583" s="7">
        <v>45048</v>
      </c>
      <c r="E1583" s="11">
        <v>0.49791666666666667</v>
      </c>
      <c r="F1583" s="15">
        <f t="shared" si="72"/>
        <v>5</v>
      </c>
      <c r="G1583" s="10" t="str">
        <f t="shared" si="73"/>
        <v>Tuesday</v>
      </c>
      <c r="H1583" s="9" t="str">
        <f t="shared" si="74"/>
        <v>May</v>
      </c>
      <c r="I1583" t="s">
        <v>95</v>
      </c>
      <c r="J1583" t="s">
        <v>50</v>
      </c>
      <c r="K1583">
        <v>4768</v>
      </c>
      <c r="L1583" s="5" t="str">
        <f>IF(OR(K1583&lt;Answers!$C$16,Orders!K1583&gt;Answers!$C$17),"Yes","No")</f>
        <v>No</v>
      </c>
      <c r="M1583" s="14">
        <f>VLOOKUP(B1583,Customers!$A$1:$E$2501,4,0)</f>
        <v>82</v>
      </c>
    </row>
    <row r="1584" spans="1:13" x14ac:dyDescent="0.3">
      <c r="A1584">
        <v>1051553</v>
      </c>
      <c r="B1584">
        <v>231</v>
      </c>
      <c r="C1584" s="1" t="s">
        <v>98</v>
      </c>
      <c r="D1584" s="7">
        <v>45198</v>
      </c>
      <c r="E1584" s="11">
        <v>0.5180555555555556</v>
      </c>
      <c r="F1584" s="15">
        <f t="shared" si="72"/>
        <v>9</v>
      </c>
      <c r="G1584" s="10" t="str">
        <f t="shared" si="73"/>
        <v>Friday</v>
      </c>
      <c r="H1584" s="9" t="str">
        <f t="shared" si="74"/>
        <v>September</v>
      </c>
      <c r="I1584" t="s">
        <v>190</v>
      </c>
      <c r="J1584" t="s">
        <v>21</v>
      </c>
      <c r="K1584">
        <v>8153</v>
      </c>
      <c r="L1584" s="5" t="str">
        <f>IF(OR(K1584&lt;Answers!$C$16,Orders!K1584&gt;Answers!$C$17),"Yes","No")</f>
        <v>No</v>
      </c>
      <c r="M1584" s="14">
        <f>VLOOKUP(B1584,Customers!$A$1:$E$2501,4,0)</f>
        <v>41</v>
      </c>
    </row>
    <row r="1585" spans="1:13" x14ac:dyDescent="0.3">
      <c r="A1585">
        <v>1052119</v>
      </c>
      <c r="B1585">
        <v>634</v>
      </c>
      <c r="C1585" s="1" t="s">
        <v>98</v>
      </c>
      <c r="D1585" s="7">
        <v>45153</v>
      </c>
      <c r="E1585" s="11">
        <v>36811</v>
      </c>
      <c r="F1585" s="15">
        <f t="shared" si="72"/>
        <v>8</v>
      </c>
      <c r="G1585" s="10" t="str">
        <f t="shared" si="73"/>
        <v>Tuesday</v>
      </c>
      <c r="H1585" s="9" t="str">
        <f t="shared" si="74"/>
        <v>August</v>
      </c>
      <c r="I1585" t="s">
        <v>190</v>
      </c>
      <c r="J1585" t="s">
        <v>3</v>
      </c>
      <c r="K1585">
        <v>4462</v>
      </c>
      <c r="L1585" s="5" t="str">
        <f>IF(OR(K1585&lt;Answers!$C$16,Orders!K1585&gt;Answers!$C$17),"Yes","No")</f>
        <v>No</v>
      </c>
      <c r="M1585" s="14">
        <f>VLOOKUP(B1585,Customers!$A$1:$E$2501,4,0)</f>
        <v>62</v>
      </c>
    </row>
    <row r="1586" spans="1:13" x14ac:dyDescent="0.3">
      <c r="A1586">
        <v>1052606</v>
      </c>
      <c r="B1586">
        <v>577</v>
      </c>
      <c r="C1586" s="1" t="s">
        <v>99</v>
      </c>
      <c r="D1586" s="7">
        <v>45233</v>
      </c>
      <c r="E1586" s="11">
        <v>36811</v>
      </c>
      <c r="F1586" s="15">
        <f t="shared" si="72"/>
        <v>11</v>
      </c>
      <c r="G1586" s="10" t="str">
        <f t="shared" si="73"/>
        <v>Friday</v>
      </c>
      <c r="H1586" s="9" t="str">
        <f t="shared" si="74"/>
        <v>November</v>
      </c>
      <c r="I1586" t="s">
        <v>96</v>
      </c>
      <c r="J1586" t="s">
        <v>56</v>
      </c>
      <c r="K1586">
        <v>701</v>
      </c>
      <c r="L1586" s="5" t="str">
        <f>IF(OR(K1586&lt;Answers!$C$16,Orders!K1586&gt;Answers!$C$17),"Yes","No")</f>
        <v>No</v>
      </c>
      <c r="M1586" s="14">
        <f>VLOOKUP(B1586,Customers!$A$1:$E$2501,4,0)</f>
        <v>74</v>
      </c>
    </row>
    <row r="1587" spans="1:13" x14ac:dyDescent="0.3">
      <c r="A1587">
        <v>1053680</v>
      </c>
      <c r="B1587">
        <v>1618</v>
      </c>
      <c r="C1587" s="1" t="s">
        <v>98</v>
      </c>
      <c r="D1587" s="7">
        <v>45233</v>
      </c>
      <c r="E1587" s="11">
        <v>8.2638888888888887E-2</v>
      </c>
      <c r="F1587" s="15">
        <f t="shared" si="72"/>
        <v>11</v>
      </c>
      <c r="G1587" s="10" t="str">
        <f t="shared" si="73"/>
        <v>Friday</v>
      </c>
      <c r="H1587" s="9" t="str">
        <f t="shared" si="74"/>
        <v>November</v>
      </c>
      <c r="I1587" t="s">
        <v>95</v>
      </c>
      <c r="J1587" t="s">
        <v>76</v>
      </c>
      <c r="K1587">
        <v>6474</v>
      </c>
      <c r="L1587" s="5" t="str">
        <f>IF(OR(K1587&lt;Answers!$C$16,Orders!K1587&gt;Answers!$C$17),"Yes","No")</f>
        <v>No</v>
      </c>
      <c r="M1587" s="14">
        <f>VLOOKUP(B1587,Customers!$A$1:$E$2501,4,0)</f>
        <v>50</v>
      </c>
    </row>
    <row r="1588" spans="1:13" x14ac:dyDescent="0.3">
      <c r="A1588">
        <v>1054349</v>
      </c>
      <c r="B1588">
        <v>1473</v>
      </c>
      <c r="C1588" s="1" t="s">
        <v>98</v>
      </c>
      <c r="D1588" s="7">
        <v>45026</v>
      </c>
      <c r="E1588" s="11">
        <v>0.47847222222222224</v>
      </c>
      <c r="F1588" s="15">
        <f t="shared" si="72"/>
        <v>4</v>
      </c>
      <c r="G1588" s="10" t="str">
        <f t="shared" si="73"/>
        <v>Monday</v>
      </c>
      <c r="H1588" s="9" t="str">
        <f t="shared" si="74"/>
        <v>April</v>
      </c>
      <c r="I1588" t="s">
        <v>95</v>
      </c>
      <c r="J1588" t="s">
        <v>17</v>
      </c>
      <c r="K1588">
        <v>4060</v>
      </c>
      <c r="L1588" s="5" t="str">
        <f>IF(OR(K1588&lt;Answers!$C$16,Orders!K1588&gt;Answers!$C$17),"Yes","No")</f>
        <v>No</v>
      </c>
      <c r="M1588" s="14">
        <f>VLOOKUP(B1588,Customers!$A$1:$E$2501,4,0)</f>
        <v>40</v>
      </c>
    </row>
    <row r="1589" spans="1:13" x14ac:dyDescent="0.3">
      <c r="A1589">
        <v>1054639</v>
      </c>
      <c r="B1589">
        <v>1865</v>
      </c>
      <c r="C1589" s="1" t="s">
        <v>99</v>
      </c>
      <c r="D1589" s="7">
        <v>44983</v>
      </c>
      <c r="E1589" s="11">
        <v>0.5</v>
      </c>
      <c r="F1589" s="15">
        <f t="shared" si="72"/>
        <v>2</v>
      </c>
      <c r="G1589" s="10" t="str">
        <f t="shared" si="73"/>
        <v>Sunday</v>
      </c>
      <c r="H1589" s="9" t="str">
        <f t="shared" si="74"/>
        <v>February</v>
      </c>
      <c r="I1589" t="s">
        <v>190</v>
      </c>
      <c r="J1589" t="s">
        <v>40</v>
      </c>
      <c r="K1589">
        <v>4421</v>
      </c>
      <c r="L1589" s="5" t="str">
        <f>IF(OR(K1589&lt;Answers!$C$16,Orders!K1589&gt;Answers!$C$17),"Yes","No")</f>
        <v>No</v>
      </c>
      <c r="M1589" s="14">
        <f>VLOOKUP(B1589,Customers!$A$1:$E$2501,4,0)</f>
        <v>90</v>
      </c>
    </row>
    <row r="1590" spans="1:13" x14ac:dyDescent="0.3">
      <c r="A1590">
        <v>1055786</v>
      </c>
      <c r="B1590">
        <v>1205</v>
      </c>
      <c r="C1590" s="1" t="s">
        <v>104</v>
      </c>
      <c r="D1590" s="7">
        <v>45143</v>
      </c>
      <c r="E1590" s="11">
        <v>5.2777777777777778E-2</v>
      </c>
      <c r="F1590" s="15">
        <f t="shared" si="72"/>
        <v>8</v>
      </c>
      <c r="G1590" s="10" t="str">
        <f t="shared" si="73"/>
        <v>Saturday</v>
      </c>
      <c r="H1590" s="9" t="str">
        <f t="shared" si="74"/>
        <v>August</v>
      </c>
      <c r="I1590" t="s">
        <v>96</v>
      </c>
      <c r="J1590" t="s">
        <v>12</v>
      </c>
      <c r="K1590">
        <v>7809</v>
      </c>
      <c r="L1590" s="5" t="str">
        <f>IF(OR(K1590&lt;Answers!$C$16,Orders!K1590&gt;Answers!$C$17),"Yes","No")</f>
        <v>No</v>
      </c>
      <c r="M1590" s="14">
        <f>VLOOKUP(B1590,Customers!$A$1:$E$2501,4,0)</f>
        <v>89</v>
      </c>
    </row>
    <row r="1591" spans="1:13" x14ac:dyDescent="0.3">
      <c r="A1591">
        <v>1055810</v>
      </c>
      <c r="B1591">
        <v>1362</v>
      </c>
      <c r="C1591" s="1" t="s">
        <v>101</v>
      </c>
      <c r="D1591" s="7">
        <v>44935</v>
      </c>
      <c r="E1591" s="11">
        <v>0.49236111111111114</v>
      </c>
      <c r="F1591" s="15">
        <f t="shared" si="72"/>
        <v>1</v>
      </c>
      <c r="G1591" s="10" t="str">
        <f t="shared" si="73"/>
        <v>Monday</v>
      </c>
      <c r="H1591" s="9" t="str">
        <f t="shared" si="74"/>
        <v>January</v>
      </c>
      <c r="I1591" t="s">
        <v>96</v>
      </c>
      <c r="J1591" t="s">
        <v>73</v>
      </c>
      <c r="K1591">
        <v>563</v>
      </c>
      <c r="L1591" s="5" t="str">
        <f>IF(OR(K1591&lt;Answers!$C$16,Orders!K1591&gt;Answers!$C$17),"Yes","No")</f>
        <v>No</v>
      </c>
      <c r="M1591" s="14">
        <f>VLOOKUP(B1591,Customers!$A$1:$E$2501,4,0)</f>
        <v>40</v>
      </c>
    </row>
    <row r="1592" spans="1:13" x14ac:dyDescent="0.3">
      <c r="A1592">
        <v>1055817</v>
      </c>
      <c r="B1592">
        <v>1697</v>
      </c>
      <c r="C1592" s="1" t="s">
        <v>99</v>
      </c>
      <c r="D1592" s="7">
        <v>45079</v>
      </c>
      <c r="E1592" s="11">
        <v>0.45833333333333331</v>
      </c>
      <c r="F1592" s="15">
        <f t="shared" si="72"/>
        <v>6</v>
      </c>
      <c r="G1592" s="10" t="str">
        <f t="shared" si="73"/>
        <v>Friday</v>
      </c>
      <c r="H1592" s="9" t="str">
        <f t="shared" si="74"/>
        <v>June</v>
      </c>
      <c r="I1592" t="s">
        <v>97</v>
      </c>
      <c r="J1592" t="s">
        <v>51</v>
      </c>
      <c r="K1592">
        <v>8477</v>
      </c>
      <c r="L1592" s="5" t="str">
        <f>IF(OR(K1592&lt;Answers!$C$16,Orders!K1592&gt;Answers!$C$17),"Yes","No")</f>
        <v>No</v>
      </c>
      <c r="M1592" s="14">
        <f>VLOOKUP(B1592,Customers!$A$1:$E$2501,4,0)</f>
        <v>65</v>
      </c>
    </row>
    <row r="1593" spans="1:13" x14ac:dyDescent="0.3">
      <c r="A1593">
        <v>1056320</v>
      </c>
      <c r="B1593">
        <v>856</v>
      </c>
      <c r="C1593" s="1" t="s">
        <v>98</v>
      </c>
      <c r="D1593" s="7">
        <v>45024</v>
      </c>
      <c r="E1593" s="11">
        <v>5.0694444444444445E-2</v>
      </c>
      <c r="F1593" s="15">
        <f t="shared" si="72"/>
        <v>4</v>
      </c>
      <c r="G1593" s="10" t="str">
        <f t="shared" si="73"/>
        <v>Saturday</v>
      </c>
      <c r="H1593" s="9" t="str">
        <f t="shared" si="74"/>
        <v>April</v>
      </c>
      <c r="I1593" t="s">
        <v>190</v>
      </c>
      <c r="J1593" t="s">
        <v>29</v>
      </c>
      <c r="K1593">
        <v>6535</v>
      </c>
      <c r="L1593" s="5" t="str">
        <f>IF(OR(K1593&lt;Answers!$C$16,Orders!K1593&gt;Answers!$C$17),"Yes","No")</f>
        <v>No</v>
      </c>
      <c r="M1593" s="14">
        <f>VLOOKUP(B1593,Customers!$A$1:$E$2501,4,0)</f>
        <v>59</v>
      </c>
    </row>
    <row r="1594" spans="1:13" x14ac:dyDescent="0.3">
      <c r="A1594">
        <v>1056575</v>
      </c>
      <c r="B1594">
        <v>1149</v>
      </c>
      <c r="C1594" s="1" t="s">
        <v>98</v>
      </c>
      <c r="D1594" s="7">
        <v>45017</v>
      </c>
      <c r="E1594" s="11">
        <v>5.7638888888888892E-2</v>
      </c>
      <c r="F1594" s="15">
        <f t="shared" si="72"/>
        <v>4</v>
      </c>
      <c r="G1594" s="10" t="str">
        <f t="shared" si="73"/>
        <v>Saturday</v>
      </c>
      <c r="H1594" s="9" t="str">
        <f t="shared" si="74"/>
        <v>April</v>
      </c>
      <c r="I1594" t="s">
        <v>95</v>
      </c>
      <c r="J1594" t="s">
        <v>52</v>
      </c>
      <c r="K1594">
        <v>1439</v>
      </c>
      <c r="L1594" s="5" t="str">
        <f>IF(OR(K1594&lt;Answers!$C$16,Orders!K1594&gt;Answers!$C$17),"Yes","No")</f>
        <v>No</v>
      </c>
      <c r="M1594" s="14">
        <f>VLOOKUP(B1594,Customers!$A$1:$E$2501,4,0)</f>
        <v>31</v>
      </c>
    </row>
    <row r="1595" spans="1:13" x14ac:dyDescent="0.3">
      <c r="A1595">
        <v>1056710</v>
      </c>
      <c r="B1595">
        <v>1243</v>
      </c>
      <c r="C1595" s="1" t="s">
        <v>104</v>
      </c>
      <c r="D1595" s="7">
        <v>45138</v>
      </c>
      <c r="E1595" s="11">
        <v>0.52777777777777779</v>
      </c>
      <c r="F1595" s="15">
        <f t="shared" si="72"/>
        <v>7</v>
      </c>
      <c r="G1595" s="10" t="str">
        <f t="shared" si="73"/>
        <v>Monday</v>
      </c>
      <c r="H1595" s="9" t="str">
        <f t="shared" si="74"/>
        <v>July</v>
      </c>
      <c r="I1595" t="s">
        <v>190</v>
      </c>
      <c r="J1595" t="s">
        <v>42</v>
      </c>
      <c r="K1595">
        <v>1855</v>
      </c>
      <c r="L1595" s="5" t="str">
        <f>IF(OR(K1595&lt;Answers!$C$16,Orders!K1595&gt;Answers!$C$17),"Yes","No")</f>
        <v>No</v>
      </c>
      <c r="M1595" s="14">
        <f>VLOOKUP(B1595,Customers!$A$1:$E$2501,4,0)</f>
        <v>24</v>
      </c>
    </row>
    <row r="1596" spans="1:13" x14ac:dyDescent="0.3">
      <c r="A1596">
        <v>1057228</v>
      </c>
      <c r="B1596">
        <v>1029</v>
      </c>
      <c r="C1596" s="1" t="s">
        <v>104</v>
      </c>
      <c r="D1596" s="7">
        <v>45199</v>
      </c>
      <c r="E1596" s="11">
        <v>0.49305555555555558</v>
      </c>
      <c r="F1596" s="15">
        <f t="shared" si="72"/>
        <v>9</v>
      </c>
      <c r="G1596" s="10" t="str">
        <f t="shared" si="73"/>
        <v>Saturday</v>
      </c>
      <c r="H1596" s="9" t="str">
        <f t="shared" si="74"/>
        <v>September</v>
      </c>
      <c r="I1596" t="s">
        <v>97</v>
      </c>
      <c r="J1596" t="s">
        <v>26</v>
      </c>
      <c r="K1596">
        <v>9442</v>
      </c>
      <c r="L1596" s="5" t="str">
        <f>IF(OR(K1596&lt;Answers!$C$16,Orders!K1596&gt;Answers!$C$17),"Yes","No")</f>
        <v>No</v>
      </c>
      <c r="M1596" s="14">
        <f>VLOOKUP(B1596,Customers!$A$1:$E$2501,4,0)</f>
        <v>45</v>
      </c>
    </row>
    <row r="1597" spans="1:13" x14ac:dyDescent="0.3">
      <c r="A1597">
        <v>1058164</v>
      </c>
      <c r="B1597">
        <v>1215</v>
      </c>
      <c r="C1597" s="1" t="s">
        <v>98</v>
      </c>
      <c r="D1597" s="7">
        <v>45129</v>
      </c>
      <c r="E1597" s="11">
        <v>6.9444444444444448E-2</v>
      </c>
      <c r="F1597" s="15">
        <f t="shared" si="72"/>
        <v>7</v>
      </c>
      <c r="G1597" s="10" t="str">
        <f t="shared" si="73"/>
        <v>Saturday</v>
      </c>
      <c r="H1597" s="9" t="str">
        <f t="shared" si="74"/>
        <v>July</v>
      </c>
      <c r="I1597" t="s">
        <v>96</v>
      </c>
      <c r="J1597" t="s">
        <v>40</v>
      </c>
      <c r="K1597">
        <v>4073</v>
      </c>
      <c r="L1597" s="5" t="str">
        <f>IF(OR(K1597&lt;Answers!$C$16,Orders!K1597&gt;Answers!$C$17),"Yes","No")</f>
        <v>No</v>
      </c>
      <c r="M1597" s="14">
        <f>VLOOKUP(B1597,Customers!$A$1:$E$2501,4,0)</f>
        <v>33</v>
      </c>
    </row>
    <row r="1598" spans="1:13" x14ac:dyDescent="0.3">
      <c r="A1598">
        <v>1058847</v>
      </c>
      <c r="B1598">
        <v>977</v>
      </c>
      <c r="C1598" s="1" t="s">
        <v>112</v>
      </c>
      <c r="D1598" s="7">
        <v>45178</v>
      </c>
      <c r="E1598" s="11">
        <v>36810</v>
      </c>
      <c r="F1598" s="15">
        <f t="shared" si="72"/>
        <v>9</v>
      </c>
      <c r="G1598" s="10" t="str">
        <f t="shared" si="73"/>
        <v>Saturday</v>
      </c>
      <c r="H1598" s="9" t="str">
        <f t="shared" si="74"/>
        <v>September</v>
      </c>
      <c r="I1598" t="s">
        <v>97</v>
      </c>
      <c r="J1598" t="s">
        <v>79</v>
      </c>
      <c r="K1598">
        <v>2786</v>
      </c>
      <c r="L1598" s="5" t="str">
        <f>IF(OR(K1598&lt;Answers!$C$16,Orders!K1598&gt;Answers!$C$17),"Yes","No")</f>
        <v>No</v>
      </c>
      <c r="M1598" s="14">
        <f>VLOOKUP(B1598,Customers!$A$1:$E$2501,4,0)</f>
        <v>31</v>
      </c>
    </row>
    <row r="1599" spans="1:13" x14ac:dyDescent="0.3">
      <c r="A1599">
        <v>1059637</v>
      </c>
      <c r="B1599">
        <v>463</v>
      </c>
      <c r="C1599" s="1" t="s">
        <v>108</v>
      </c>
      <c r="D1599" s="7">
        <v>45147</v>
      </c>
      <c r="E1599" s="11">
        <v>5.9722222222222225E-2</v>
      </c>
      <c r="F1599" s="15">
        <f t="shared" si="72"/>
        <v>8</v>
      </c>
      <c r="G1599" s="10" t="str">
        <f t="shared" si="73"/>
        <v>Wednesday</v>
      </c>
      <c r="H1599" s="9" t="str">
        <f t="shared" si="74"/>
        <v>August</v>
      </c>
      <c r="I1599" t="s">
        <v>96</v>
      </c>
      <c r="J1599" t="s">
        <v>53</v>
      </c>
      <c r="K1599">
        <v>3285</v>
      </c>
      <c r="L1599" s="5" t="str">
        <f>IF(OR(K1599&lt;Answers!$C$16,Orders!K1599&gt;Answers!$C$17),"Yes","No")</f>
        <v>No</v>
      </c>
      <c r="M1599" s="14">
        <f>VLOOKUP(B1599,Customers!$A$1:$E$2501,4,0)</f>
        <v>55</v>
      </c>
    </row>
    <row r="1600" spans="1:13" x14ac:dyDescent="0.3">
      <c r="A1600">
        <v>1059711</v>
      </c>
      <c r="B1600">
        <v>1479</v>
      </c>
      <c r="C1600" s="1" t="s">
        <v>98</v>
      </c>
      <c r="D1600" s="7">
        <v>45000</v>
      </c>
      <c r="E1600" s="11">
        <v>36526</v>
      </c>
      <c r="F1600" s="15">
        <f t="shared" si="72"/>
        <v>3</v>
      </c>
      <c r="G1600" s="10" t="str">
        <f t="shared" si="73"/>
        <v>Wednesday</v>
      </c>
      <c r="H1600" s="9" t="str">
        <f t="shared" si="74"/>
        <v>March</v>
      </c>
      <c r="I1600" t="s">
        <v>95</v>
      </c>
      <c r="J1600" t="s">
        <v>56</v>
      </c>
      <c r="K1600">
        <v>5593</v>
      </c>
      <c r="L1600" s="5" t="str">
        <f>IF(OR(K1600&lt;Answers!$C$16,Orders!K1600&gt;Answers!$C$17),"Yes","No")</f>
        <v>No</v>
      </c>
      <c r="M1600" s="14">
        <f>VLOOKUP(B1600,Customers!$A$1:$E$2501,4,0)</f>
        <v>87</v>
      </c>
    </row>
    <row r="1601" spans="1:13" x14ac:dyDescent="0.3">
      <c r="A1601">
        <v>1060684</v>
      </c>
      <c r="B1601">
        <v>1252</v>
      </c>
      <c r="C1601" s="1" t="s">
        <v>98</v>
      </c>
      <c r="D1601" s="7">
        <v>45023</v>
      </c>
      <c r="E1601" s="11">
        <v>0.49305555555555558</v>
      </c>
      <c r="F1601" s="15">
        <f t="shared" si="72"/>
        <v>4</v>
      </c>
      <c r="G1601" s="10" t="str">
        <f t="shared" si="73"/>
        <v>Friday</v>
      </c>
      <c r="H1601" s="9" t="str">
        <f t="shared" si="74"/>
        <v>April</v>
      </c>
      <c r="I1601" t="s">
        <v>95</v>
      </c>
      <c r="J1601" t="s">
        <v>33</v>
      </c>
      <c r="K1601">
        <v>4684</v>
      </c>
      <c r="L1601" s="5" t="str">
        <f>IF(OR(K1601&lt;Answers!$C$16,Orders!K1601&gt;Answers!$C$17),"Yes","No")</f>
        <v>No</v>
      </c>
      <c r="M1601" s="14">
        <f>VLOOKUP(B1601,Customers!$A$1:$E$2501,4,0)</f>
        <v>66</v>
      </c>
    </row>
    <row r="1602" spans="1:13" x14ac:dyDescent="0.3">
      <c r="A1602">
        <v>1061016</v>
      </c>
      <c r="B1602">
        <v>1561</v>
      </c>
      <c r="C1602" s="1" t="s">
        <v>109</v>
      </c>
      <c r="D1602" s="7">
        <v>45179</v>
      </c>
      <c r="E1602" s="11">
        <v>6.3194444444444442E-2</v>
      </c>
      <c r="F1602" s="15">
        <f t="shared" si="72"/>
        <v>9</v>
      </c>
      <c r="G1602" s="10" t="str">
        <f t="shared" si="73"/>
        <v>Sunday</v>
      </c>
      <c r="H1602" s="9" t="str">
        <f t="shared" si="74"/>
        <v>September</v>
      </c>
      <c r="I1602" t="s">
        <v>96</v>
      </c>
      <c r="J1602" t="s">
        <v>59</v>
      </c>
      <c r="K1602">
        <v>7486</v>
      </c>
      <c r="L1602" s="5" t="str">
        <f>IF(OR(K1602&lt;Answers!$C$16,Orders!K1602&gt;Answers!$C$17),"Yes","No")</f>
        <v>No</v>
      </c>
      <c r="M1602" s="14">
        <f>VLOOKUP(B1602,Customers!$A$1:$E$2501,4,0)</f>
        <v>28</v>
      </c>
    </row>
    <row r="1603" spans="1:13" x14ac:dyDescent="0.3">
      <c r="A1603">
        <v>1061210</v>
      </c>
      <c r="B1603">
        <v>721</v>
      </c>
      <c r="C1603" s="1" t="s">
        <v>112</v>
      </c>
      <c r="D1603" s="7">
        <v>45267</v>
      </c>
      <c r="E1603" s="11">
        <v>36781</v>
      </c>
      <c r="F1603" s="15">
        <f t="shared" ref="F1603:F1666" si="75">MONTH(D1603)</f>
        <v>12</v>
      </c>
      <c r="G1603" s="10" t="str">
        <f t="shared" ref="G1603:G1666" si="76">TEXT(D1603,"dddd")</f>
        <v>Thursday</v>
      </c>
      <c r="H1603" s="9" t="str">
        <f t="shared" ref="H1603:H1666" si="77">TEXT(D1603,"mmmm")</f>
        <v>December</v>
      </c>
      <c r="I1603" t="s">
        <v>190</v>
      </c>
      <c r="J1603" t="s">
        <v>62</v>
      </c>
      <c r="K1603">
        <v>1496</v>
      </c>
      <c r="L1603" s="5" t="str">
        <f>IF(OR(K1603&lt;Answers!$C$16,Orders!K1603&gt;Answers!$C$17),"Yes","No")</f>
        <v>No</v>
      </c>
      <c r="M1603" s="14">
        <f>VLOOKUP(B1603,Customers!$A$1:$E$2501,4,0)</f>
        <v>46</v>
      </c>
    </row>
    <row r="1604" spans="1:13" x14ac:dyDescent="0.3">
      <c r="A1604">
        <v>1061320</v>
      </c>
      <c r="B1604">
        <v>1874</v>
      </c>
      <c r="C1604" s="1" t="s">
        <v>98</v>
      </c>
      <c r="D1604" s="7">
        <v>45102</v>
      </c>
      <c r="E1604" s="11">
        <v>0.52638888888888891</v>
      </c>
      <c r="F1604" s="15">
        <f t="shared" si="75"/>
        <v>6</v>
      </c>
      <c r="G1604" s="10" t="str">
        <f t="shared" si="76"/>
        <v>Sunday</v>
      </c>
      <c r="H1604" s="9" t="str">
        <f t="shared" si="77"/>
        <v>June</v>
      </c>
      <c r="I1604" t="s">
        <v>190</v>
      </c>
      <c r="J1604" t="s">
        <v>3</v>
      </c>
      <c r="K1604">
        <v>2899</v>
      </c>
      <c r="L1604" s="5" t="str">
        <f>IF(OR(K1604&lt;Answers!$C$16,Orders!K1604&gt;Answers!$C$17),"Yes","No")</f>
        <v>No</v>
      </c>
      <c r="M1604" s="14">
        <f>VLOOKUP(B1604,Customers!$A$1:$E$2501,4,0)</f>
        <v>51</v>
      </c>
    </row>
    <row r="1605" spans="1:13" x14ac:dyDescent="0.3">
      <c r="A1605">
        <v>1061512</v>
      </c>
      <c r="B1605">
        <v>666</v>
      </c>
      <c r="C1605" s="1" t="s">
        <v>99</v>
      </c>
      <c r="D1605" s="7">
        <v>44987</v>
      </c>
      <c r="E1605" s="11">
        <v>5.8333333333333334E-2</v>
      </c>
      <c r="F1605" s="15">
        <f t="shared" si="75"/>
        <v>3</v>
      </c>
      <c r="G1605" s="10" t="str">
        <f t="shared" si="76"/>
        <v>Thursday</v>
      </c>
      <c r="H1605" s="9" t="str">
        <f t="shared" si="77"/>
        <v>March</v>
      </c>
      <c r="I1605" t="s">
        <v>190</v>
      </c>
      <c r="J1605" t="s">
        <v>46</v>
      </c>
      <c r="K1605">
        <v>1743</v>
      </c>
      <c r="L1605" s="5" t="str">
        <f>IF(OR(K1605&lt;Answers!$C$16,Orders!K1605&gt;Answers!$C$17),"Yes","No")</f>
        <v>No</v>
      </c>
      <c r="M1605" s="14">
        <f>VLOOKUP(B1605,Customers!$A$1:$E$2501,4,0)</f>
        <v>24</v>
      </c>
    </row>
    <row r="1606" spans="1:13" x14ac:dyDescent="0.3">
      <c r="A1606">
        <v>1062871</v>
      </c>
      <c r="B1606">
        <v>1248</v>
      </c>
      <c r="C1606" s="1" t="s">
        <v>98</v>
      </c>
      <c r="D1606" s="7">
        <v>44963</v>
      </c>
      <c r="E1606" s="11">
        <v>5.9027777777777776E-2</v>
      </c>
      <c r="F1606" s="15">
        <f t="shared" si="75"/>
        <v>2</v>
      </c>
      <c r="G1606" s="10" t="str">
        <f t="shared" si="76"/>
        <v>Monday</v>
      </c>
      <c r="H1606" s="9" t="str">
        <f t="shared" si="77"/>
        <v>February</v>
      </c>
      <c r="I1606" t="s">
        <v>97</v>
      </c>
      <c r="J1606" t="s">
        <v>59</v>
      </c>
      <c r="K1606">
        <v>6459</v>
      </c>
      <c r="L1606" s="5" t="str">
        <f>IF(OR(K1606&lt;Answers!$C$16,Orders!K1606&gt;Answers!$C$17),"Yes","No")</f>
        <v>No</v>
      </c>
      <c r="M1606" s="14">
        <f>VLOOKUP(B1606,Customers!$A$1:$E$2501,4,0)</f>
        <v>87</v>
      </c>
    </row>
    <row r="1607" spans="1:13" x14ac:dyDescent="0.3">
      <c r="A1607">
        <v>1063239</v>
      </c>
      <c r="B1607">
        <v>1639</v>
      </c>
      <c r="C1607" s="1" t="s">
        <v>100</v>
      </c>
      <c r="D1607" s="7">
        <v>45194</v>
      </c>
      <c r="E1607" s="11">
        <v>0.47708333333333336</v>
      </c>
      <c r="F1607" s="15">
        <f t="shared" si="75"/>
        <v>9</v>
      </c>
      <c r="G1607" s="10" t="str">
        <f t="shared" si="76"/>
        <v>Monday</v>
      </c>
      <c r="H1607" s="9" t="str">
        <f t="shared" si="77"/>
        <v>September</v>
      </c>
      <c r="I1607" t="s">
        <v>95</v>
      </c>
      <c r="J1607" t="s">
        <v>60</v>
      </c>
      <c r="K1607">
        <v>3101</v>
      </c>
      <c r="L1607" s="5" t="str">
        <f>IF(OR(K1607&lt;Answers!$C$16,Orders!K1607&gt;Answers!$C$17),"Yes","No")</f>
        <v>No</v>
      </c>
      <c r="M1607" s="14">
        <f>VLOOKUP(B1607,Customers!$A$1:$E$2501,4,0)</f>
        <v>57</v>
      </c>
    </row>
    <row r="1608" spans="1:13" x14ac:dyDescent="0.3">
      <c r="A1608">
        <v>1063742</v>
      </c>
      <c r="B1608">
        <v>212</v>
      </c>
      <c r="C1608" s="1" t="s">
        <v>108</v>
      </c>
      <c r="D1608" s="7">
        <v>45216</v>
      </c>
      <c r="E1608" s="11">
        <v>0.53055555555555556</v>
      </c>
      <c r="F1608" s="15">
        <f t="shared" si="75"/>
        <v>10</v>
      </c>
      <c r="G1608" s="10" t="str">
        <f t="shared" si="76"/>
        <v>Tuesday</v>
      </c>
      <c r="H1608" s="9" t="str">
        <f t="shared" si="77"/>
        <v>October</v>
      </c>
      <c r="I1608" t="s">
        <v>190</v>
      </c>
      <c r="J1608" t="s">
        <v>39</v>
      </c>
      <c r="K1608">
        <v>359</v>
      </c>
      <c r="L1608" s="5" t="str">
        <f>IF(OR(K1608&lt;Answers!$C$16,Orders!K1608&gt;Answers!$C$17),"Yes","No")</f>
        <v>No</v>
      </c>
      <c r="M1608" s="14">
        <f>VLOOKUP(B1608,Customers!$A$1:$E$2501,4,0)</f>
        <v>19</v>
      </c>
    </row>
    <row r="1609" spans="1:13" x14ac:dyDescent="0.3">
      <c r="A1609">
        <v>1063767</v>
      </c>
      <c r="B1609">
        <v>1616</v>
      </c>
      <c r="C1609" s="1" t="s">
        <v>98</v>
      </c>
      <c r="D1609" s="7">
        <v>45133</v>
      </c>
      <c r="E1609" s="11">
        <v>0.48888888888888887</v>
      </c>
      <c r="F1609" s="15">
        <f t="shared" si="75"/>
        <v>7</v>
      </c>
      <c r="G1609" s="10" t="str">
        <f t="shared" si="76"/>
        <v>Wednesday</v>
      </c>
      <c r="H1609" s="9" t="str">
        <f t="shared" si="77"/>
        <v>July</v>
      </c>
      <c r="I1609" t="s">
        <v>96</v>
      </c>
      <c r="J1609" t="s">
        <v>80</v>
      </c>
      <c r="K1609">
        <v>1893</v>
      </c>
      <c r="L1609" s="5" t="str">
        <f>IF(OR(K1609&lt;Answers!$C$16,Orders!K1609&gt;Answers!$C$17),"Yes","No")</f>
        <v>No</v>
      </c>
      <c r="M1609" s="14">
        <f>VLOOKUP(B1609,Customers!$A$1:$E$2501,4,0)</f>
        <v>38</v>
      </c>
    </row>
    <row r="1610" spans="1:13" x14ac:dyDescent="0.3">
      <c r="A1610">
        <v>1064483</v>
      </c>
      <c r="B1610">
        <v>1571</v>
      </c>
      <c r="C1610" s="1" t="s">
        <v>98</v>
      </c>
      <c r="D1610" s="7">
        <v>45097</v>
      </c>
      <c r="E1610" s="11">
        <v>7.6388888888888895E-2</v>
      </c>
      <c r="F1610" s="15">
        <f t="shared" si="75"/>
        <v>6</v>
      </c>
      <c r="G1610" s="10" t="str">
        <f t="shared" si="76"/>
        <v>Tuesday</v>
      </c>
      <c r="H1610" s="9" t="str">
        <f t="shared" si="77"/>
        <v>June</v>
      </c>
      <c r="I1610" t="s">
        <v>95</v>
      </c>
      <c r="J1610" t="s">
        <v>17</v>
      </c>
      <c r="K1610">
        <v>6345</v>
      </c>
      <c r="L1610" s="5" t="str">
        <f>IF(OR(K1610&lt;Answers!$C$16,Orders!K1610&gt;Answers!$C$17),"Yes","No")</f>
        <v>No</v>
      </c>
      <c r="M1610" s="14">
        <f>VLOOKUP(B1610,Customers!$A$1:$E$2501,4,0)</f>
        <v>71</v>
      </c>
    </row>
    <row r="1611" spans="1:13" x14ac:dyDescent="0.3">
      <c r="A1611">
        <v>1064762</v>
      </c>
      <c r="B1611">
        <v>1018</v>
      </c>
      <c r="C1611" s="1" t="s">
        <v>99</v>
      </c>
      <c r="D1611" s="7">
        <v>45224</v>
      </c>
      <c r="E1611" s="11">
        <v>0.53680555555555554</v>
      </c>
      <c r="F1611" s="15">
        <f t="shared" si="75"/>
        <v>10</v>
      </c>
      <c r="G1611" s="10" t="str">
        <f t="shared" si="76"/>
        <v>Wednesday</v>
      </c>
      <c r="H1611" s="9" t="str">
        <f t="shared" si="77"/>
        <v>October</v>
      </c>
      <c r="I1611" t="s">
        <v>190</v>
      </c>
      <c r="J1611" t="s">
        <v>27</v>
      </c>
      <c r="K1611">
        <v>1726</v>
      </c>
      <c r="L1611" s="5" t="str">
        <f>IF(OR(K1611&lt;Answers!$C$16,Orders!K1611&gt;Answers!$C$17),"Yes","No")</f>
        <v>No</v>
      </c>
      <c r="M1611" s="14">
        <f>VLOOKUP(B1611,Customers!$A$1:$E$2501,4,0)</f>
        <v>52</v>
      </c>
    </row>
    <row r="1612" spans="1:13" x14ac:dyDescent="0.3">
      <c r="A1612">
        <v>1064785</v>
      </c>
      <c r="B1612">
        <v>1063</v>
      </c>
      <c r="C1612" s="1" t="s">
        <v>112</v>
      </c>
      <c r="D1612" s="7">
        <v>45010</v>
      </c>
      <c r="E1612" s="11">
        <v>0.54027777777777775</v>
      </c>
      <c r="F1612" s="15">
        <f t="shared" si="75"/>
        <v>3</v>
      </c>
      <c r="G1612" s="10" t="str">
        <f t="shared" si="76"/>
        <v>Saturday</v>
      </c>
      <c r="H1612" s="9" t="str">
        <f t="shared" si="77"/>
        <v>March</v>
      </c>
      <c r="I1612" t="s">
        <v>190</v>
      </c>
      <c r="J1612" t="s">
        <v>30</v>
      </c>
      <c r="K1612">
        <v>9830</v>
      </c>
      <c r="L1612" s="5" t="str">
        <f>IF(OR(K1612&lt;Answers!$C$16,Orders!K1612&gt;Answers!$C$17),"Yes","No")</f>
        <v>No</v>
      </c>
      <c r="M1612" s="14">
        <f>VLOOKUP(B1612,Customers!$A$1:$E$2501,4,0)</f>
        <v>82</v>
      </c>
    </row>
    <row r="1613" spans="1:13" x14ac:dyDescent="0.3">
      <c r="A1613">
        <v>1064900</v>
      </c>
      <c r="B1613">
        <v>1928</v>
      </c>
      <c r="C1613" s="1" t="s">
        <v>100</v>
      </c>
      <c r="D1613" s="7">
        <v>45211</v>
      </c>
      <c r="E1613" s="11">
        <v>0.53055555555555556</v>
      </c>
      <c r="F1613" s="15">
        <f t="shared" si="75"/>
        <v>10</v>
      </c>
      <c r="G1613" s="10" t="str">
        <f t="shared" si="76"/>
        <v>Thursday</v>
      </c>
      <c r="H1613" s="9" t="str">
        <f t="shared" si="77"/>
        <v>October</v>
      </c>
      <c r="I1613" t="s">
        <v>97</v>
      </c>
      <c r="J1613" t="s">
        <v>26</v>
      </c>
      <c r="K1613">
        <v>7612</v>
      </c>
      <c r="L1613" s="5" t="str">
        <f>IF(OR(K1613&lt;Answers!$C$16,Orders!K1613&gt;Answers!$C$17),"Yes","No")</f>
        <v>No</v>
      </c>
      <c r="M1613" s="14">
        <f>VLOOKUP(B1613,Customers!$A$1:$E$2501,4,0)</f>
        <v>62</v>
      </c>
    </row>
    <row r="1614" spans="1:13" x14ac:dyDescent="0.3">
      <c r="A1614">
        <v>1068168</v>
      </c>
      <c r="B1614">
        <v>1101</v>
      </c>
      <c r="C1614" s="1" t="s">
        <v>112</v>
      </c>
      <c r="D1614" s="7">
        <v>44993</v>
      </c>
      <c r="E1614" s="11">
        <v>5.6944444444444443E-2</v>
      </c>
      <c r="F1614" s="15">
        <f t="shared" si="75"/>
        <v>3</v>
      </c>
      <c r="G1614" s="10" t="str">
        <f t="shared" si="76"/>
        <v>Wednesday</v>
      </c>
      <c r="H1614" s="9" t="str">
        <f t="shared" si="77"/>
        <v>March</v>
      </c>
      <c r="I1614" t="s">
        <v>96</v>
      </c>
      <c r="J1614" t="s">
        <v>38</v>
      </c>
      <c r="K1614">
        <v>5967</v>
      </c>
      <c r="L1614" s="5" t="str">
        <f>IF(OR(K1614&lt;Answers!$C$16,Orders!K1614&gt;Answers!$C$17),"Yes","No")</f>
        <v>No</v>
      </c>
      <c r="M1614" s="14">
        <f>VLOOKUP(B1614,Customers!$A$1:$E$2501,4,0)</f>
        <v>27</v>
      </c>
    </row>
    <row r="1615" spans="1:13" x14ac:dyDescent="0.3">
      <c r="A1615">
        <v>1068397</v>
      </c>
      <c r="B1615">
        <v>3</v>
      </c>
      <c r="C1615" s="1" t="s">
        <v>98</v>
      </c>
      <c r="D1615" s="7">
        <v>45028</v>
      </c>
      <c r="E1615" s="11">
        <v>36526</v>
      </c>
      <c r="F1615" s="15">
        <f t="shared" si="75"/>
        <v>4</v>
      </c>
      <c r="G1615" s="10" t="str">
        <f t="shared" si="76"/>
        <v>Wednesday</v>
      </c>
      <c r="H1615" s="9" t="str">
        <f t="shared" si="77"/>
        <v>April</v>
      </c>
      <c r="I1615" t="s">
        <v>95</v>
      </c>
      <c r="J1615" t="s">
        <v>7</v>
      </c>
      <c r="K1615">
        <v>9183</v>
      </c>
      <c r="L1615" s="5" t="str">
        <f>IF(OR(K1615&lt;Answers!$C$16,Orders!K1615&gt;Answers!$C$17),"Yes","No")</f>
        <v>No</v>
      </c>
      <c r="M1615" s="14">
        <f>VLOOKUP(B1615,Customers!$A$1:$E$2501,4,0)</f>
        <v>39</v>
      </c>
    </row>
    <row r="1616" spans="1:13" x14ac:dyDescent="0.3">
      <c r="A1616">
        <v>1069023</v>
      </c>
      <c r="B1616">
        <v>739</v>
      </c>
      <c r="C1616" s="1" t="s">
        <v>112</v>
      </c>
      <c r="D1616" s="7">
        <v>44971</v>
      </c>
      <c r="E1616" s="11">
        <v>0.52847222222222223</v>
      </c>
      <c r="F1616" s="15">
        <f t="shared" si="75"/>
        <v>2</v>
      </c>
      <c r="G1616" s="10" t="str">
        <f t="shared" si="76"/>
        <v>Tuesday</v>
      </c>
      <c r="H1616" s="9" t="str">
        <f t="shared" si="77"/>
        <v>February</v>
      </c>
      <c r="I1616" t="s">
        <v>96</v>
      </c>
      <c r="J1616" t="s">
        <v>42</v>
      </c>
      <c r="K1616">
        <v>4804</v>
      </c>
      <c r="L1616" s="5" t="str">
        <f>IF(OR(K1616&lt;Answers!$C$16,Orders!K1616&gt;Answers!$C$17),"Yes","No")</f>
        <v>No</v>
      </c>
      <c r="M1616" s="14">
        <f>VLOOKUP(B1616,Customers!$A$1:$E$2501,4,0)</f>
        <v>51</v>
      </c>
    </row>
    <row r="1617" spans="1:13" x14ac:dyDescent="0.3">
      <c r="A1617">
        <v>1069094</v>
      </c>
      <c r="B1617">
        <v>1854</v>
      </c>
      <c r="C1617" s="1" t="s">
        <v>98</v>
      </c>
      <c r="D1617" s="7">
        <v>45165</v>
      </c>
      <c r="E1617" s="11">
        <v>36831</v>
      </c>
      <c r="F1617" s="15">
        <f t="shared" si="75"/>
        <v>8</v>
      </c>
      <c r="G1617" s="10" t="str">
        <f t="shared" si="76"/>
        <v>Sunday</v>
      </c>
      <c r="H1617" s="9" t="str">
        <f t="shared" si="77"/>
        <v>August</v>
      </c>
      <c r="I1617" t="s">
        <v>95</v>
      </c>
      <c r="J1617" t="s">
        <v>61</v>
      </c>
      <c r="K1617">
        <v>8536</v>
      </c>
      <c r="L1617" s="5" t="str">
        <f>IF(OR(K1617&lt;Answers!$C$16,Orders!K1617&gt;Answers!$C$17),"Yes","No")</f>
        <v>No</v>
      </c>
      <c r="M1617" s="14">
        <f>VLOOKUP(B1617,Customers!$A$1:$E$2501,4,0)</f>
        <v>87</v>
      </c>
    </row>
    <row r="1618" spans="1:13" x14ac:dyDescent="0.3">
      <c r="A1618">
        <v>1069668</v>
      </c>
      <c r="B1618">
        <v>517</v>
      </c>
      <c r="C1618" s="1" t="s">
        <v>100</v>
      </c>
      <c r="D1618" s="7">
        <v>45023</v>
      </c>
      <c r="E1618" s="11">
        <v>4.1666666666666664E-2</v>
      </c>
      <c r="F1618" s="15">
        <f t="shared" si="75"/>
        <v>4</v>
      </c>
      <c r="G1618" s="10" t="str">
        <f t="shared" si="76"/>
        <v>Friday</v>
      </c>
      <c r="H1618" s="9" t="str">
        <f t="shared" si="77"/>
        <v>April</v>
      </c>
      <c r="I1618" t="s">
        <v>97</v>
      </c>
      <c r="J1618" t="s">
        <v>75</v>
      </c>
      <c r="K1618">
        <v>8146</v>
      </c>
      <c r="L1618" s="5" t="str">
        <f>IF(OR(K1618&lt;Answers!$C$16,Orders!K1618&gt;Answers!$C$17),"Yes","No")</f>
        <v>No</v>
      </c>
      <c r="M1618" s="14">
        <f>VLOOKUP(B1618,Customers!$A$1:$E$2501,4,0)</f>
        <v>77</v>
      </c>
    </row>
    <row r="1619" spans="1:13" x14ac:dyDescent="0.3">
      <c r="A1619">
        <v>1070209</v>
      </c>
      <c r="B1619">
        <v>973</v>
      </c>
      <c r="C1619" s="1" t="s">
        <v>98</v>
      </c>
      <c r="D1619" s="7">
        <v>45148</v>
      </c>
      <c r="E1619" s="11">
        <v>0.52222222222222225</v>
      </c>
      <c r="F1619" s="15">
        <f t="shared" si="75"/>
        <v>8</v>
      </c>
      <c r="G1619" s="10" t="str">
        <f t="shared" si="76"/>
        <v>Thursday</v>
      </c>
      <c r="H1619" s="9" t="str">
        <f t="shared" si="77"/>
        <v>August</v>
      </c>
      <c r="I1619" t="s">
        <v>95</v>
      </c>
      <c r="J1619" t="s">
        <v>80</v>
      </c>
      <c r="K1619">
        <v>7741</v>
      </c>
      <c r="L1619" s="5" t="str">
        <f>IF(OR(K1619&lt;Answers!$C$16,Orders!K1619&gt;Answers!$C$17),"Yes","No")</f>
        <v>No</v>
      </c>
      <c r="M1619" s="14">
        <f>VLOOKUP(B1619,Customers!$A$1:$E$2501,4,0)</f>
        <v>50</v>
      </c>
    </row>
    <row r="1620" spans="1:13" x14ac:dyDescent="0.3">
      <c r="A1620">
        <v>1070297</v>
      </c>
      <c r="B1620">
        <v>1978</v>
      </c>
      <c r="C1620" s="1" t="s">
        <v>104</v>
      </c>
      <c r="D1620" s="7">
        <v>44993</v>
      </c>
      <c r="E1620" s="11">
        <v>0.44027777777777777</v>
      </c>
      <c r="F1620" s="15">
        <f t="shared" si="75"/>
        <v>3</v>
      </c>
      <c r="G1620" s="10" t="str">
        <f t="shared" si="76"/>
        <v>Wednesday</v>
      </c>
      <c r="H1620" s="9" t="str">
        <f t="shared" si="77"/>
        <v>March</v>
      </c>
      <c r="I1620" t="s">
        <v>190</v>
      </c>
      <c r="J1620" t="s">
        <v>87</v>
      </c>
      <c r="K1620">
        <v>904</v>
      </c>
      <c r="L1620" s="5" t="str">
        <f>IF(OR(K1620&lt;Answers!$C$16,Orders!K1620&gt;Answers!$C$17),"Yes","No")</f>
        <v>No</v>
      </c>
      <c r="M1620" s="14">
        <f>VLOOKUP(B1620,Customers!$A$1:$E$2501,4,0)</f>
        <v>23</v>
      </c>
    </row>
    <row r="1621" spans="1:13" x14ac:dyDescent="0.3">
      <c r="A1621">
        <v>1070438</v>
      </c>
      <c r="B1621">
        <v>1420</v>
      </c>
      <c r="C1621" s="1" t="s">
        <v>98</v>
      </c>
      <c r="D1621" s="7">
        <v>45196</v>
      </c>
      <c r="E1621" s="11">
        <v>9.930555555555555E-2</v>
      </c>
      <c r="F1621" s="15">
        <f t="shared" si="75"/>
        <v>9</v>
      </c>
      <c r="G1621" s="10" t="str">
        <f t="shared" si="76"/>
        <v>Wednesday</v>
      </c>
      <c r="H1621" s="9" t="str">
        <f t="shared" si="77"/>
        <v>September</v>
      </c>
      <c r="I1621" t="s">
        <v>97</v>
      </c>
      <c r="J1621" t="s">
        <v>85</v>
      </c>
      <c r="K1621">
        <v>9991</v>
      </c>
      <c r="L1621" s="5" t="str">
        <f>IF(OR(K1621&lt;Answers!$C$16,Orders!K1621&gt;Answers!$C$17),"Yes","No")</f>
        <v>No</v>
      </c>
      <c r="M1621" s="14">
        <f>VLOOKUP(B1621,Customers!$A$1:$E$2501,4,0)</f>
        <v>28</v>
      </c>
    </row>
    <row r="1622" spans="1:13" x14ac:dyDescent="0.3">
      <c r="A1622">
        <v>1071701</v>
      </c>
      <c r="B1622">
        <v>1367</v>
      </c>
      <c r="C1622" s="1" t="s">
        <v>106</v>
      </c>
      <c r="D1622" s="7">
        <v>44942</v>
      </c>
      <c r="E1622" s="11">
        <v>0.53680555555555554</v>
      </c>
      <c r="F1622" s="15">
        <f t="shared" si="75"/>
        <v>1</v>
      </c>
      <c r="G1622" s="10" t="str">
        <f t="shared" si="76"/>
        <v>Monday</v>
      </c>
      <c r="H1622" s="9" t="str">
        <f t="shared" si="77"/>
        <v>January</v>
      </c>
      <c r="I1622" t="s">
        <v>97</v>
      </c>
      <c r="J1622" t="s">
        <v>7</v>
      </c>
      <c r="K1622">
        <v>1445</v>
      </c>
      <c r="L1622" s="5" t="str">
        <f>IF(OR(K1622&lt;Answers!$C$16,Orders!K1622&gt;Answers!$C$17),"Yes","No")</f>
        <v>No</v>
      </c>
      <c r="M1622" s="14">
        <f>VLOOKUP(B1622,Customers!$A$1:$E$2501,4,0)</f>
        <v>25</v>
      </c>
    </row>
    <row r="1623" spans="1:13" x14ac:dyDescent="0.3">
      <c r="A1623">
        <v>1074617</v>
      </c>
      <c r="B1623">
        <v>158</v>
      </c>
      <c r="C1623" s="1" t="s">
        <v>98</v>
      </c>
      <c r="D1623" s="7">
        <v>45050</v>
      </c>
      <c r="E1623" s="11">
        <v>0.5131944444444444</v>
      </c>
      <c r="F1623" s="15">
        <f t="shared" si="75"/>
        <v>5</v>
      </c>
      <c r="G1623" s="10" t="str">
        <f t="shared" si="76"/>
        <v>Thursday</v>
      </c>
      <c r="H1623" s="9" t="str">
        <f t="shared" si="77"/>
        <v>May</v>
      </c>
      <c r="I1623" t="s">
        <v>190</v>
      </c>
      <c r="J1623" t="s">
        <v>89</v>
      </c>
      <c r="K1623">
        <v>4729</v>
      </c>
      <c r="L1623" s="5" t="str">
        <f>IF(OR(K1623&lt;Answers!$C$16,Orders!K1623&gt;Answers!$C$17),"Yes","No")</f>
        <v>No</v>
      </c>
      <c r="M1623" s="14">
        <f>VLOOKUP(B1623,Customers!$A$1:$E$2501,4,0)</f>
        <v>41</v>
      </c>
    </row>
    <row r="1624" spans="1:13" x14ac:dyDescent="0.3">
      <c r="A1624">
        <v>1074708</v>
      </c>
      <c r="B1624">
        <v>647</v>
      </c>
      <c r="C1624" s="1" t="s">
        <v>100</v>
      </c>
      <c r="D1624" s="7">
        <v>44997</v>
      </c>
      <c r="E1624" s="11">
        <v>0.48333333333333334</v>
      </c>
      <c r="F1624" s="15">
        <f t="shared" si="75"/>
        <v>3</v>
      </c>
      <c r="G1624" s="10" t="str">
        <f t="shared" si="76"/>
        <v>Sunday</v>
      </c>
      <c r="H1624" s="9" t="str">
        <f t="shared" si="77"/>
        <v>March</v>
      </c>
      <c r="I1624" t="s">
        <v>96</v>
      </c>
      <c r="J1624" t="s">
        <v>42</v>
      </c>
      <c r="K1624">
        <v>7648</v>
      </c>
      <c r="L1624" s="5" t="str">
        <f>IF(OR(K1624&lt;Answers!$C$16,Orders!K1624&gt;Answers!$C$17),"Yes","No")</f>
        <v>No</v>
      </c>
      <c r="M1624" s="14">
        <f>VLOOKUP(B1624,Customers!$A$1:$E$2501,4,0)</f>
        <v>76</v>
      </c>
    </row>
    <row r="1625" spans="1:13" x14ac:dyDescent="0.3">
      <c r="A1625">
        <v>1075036</v>
      </c>
      <c r="B1625">
        <v>587</v>
      </c>
      <c r="C1625" s="1" t="s">
        <v>98</v>
      </c>
      <c r="D1625" s="7">
        <v>45062</v>
      </c>
      <c r="E1625" s="11">
        <v>0.47847222222222224</v>
      </c>
      <c r="F1625" s="15">
        <f t="shared" si="75"/>
        <v>5</v>
      </c>
      <c r="G1625" s="10" t="str">
        <f t="shared" si="76"/>
        <v>Tuesday</v>
      </c>
      <c r="H1625" s="9" t="str">
        <f t="shared" si="77"/>
        <v>May</v>
      </c>
      <c r="I1625" t="s">
        <v>190</v>
      </c>
      <c r="J1625" t="s">
        <v>90</v>
      </c>
      <c r="K1625">
        <v>5378</v>
      </c>
      <c r="L1625" s="5" t="str">
        <f>IF(OR(K1625&lt;Answers!$C$16,Orders!K1625&gt;Answers!$C$17),"Yes","No")</f>
        <v>No</v>
      </c>
      <c r="M1625" s="14">
        <f>VLOOKUP(B1625,Customers!$A$1:$E$2501,4,0)</f>
        <v>51</v>
      </c>
    </row>
    <row r="1626" spans="1:13" x14ac:dyDescent="0.3">
      <c r="A1626">
        <v>1075177</v>
      </c>
      <c r="B1626">
        <v>161</v>
      </c>
      <c r="C1626" s="1" t="s">
        <v>99</v>
      </c>
      <c r="D1626" s="7">
        <v>44992</v>
      </c>
      <c r="E1626" s="11">
        <v>0.44166666666666665</v>
      </c>
      <c r="F1626" s="15">
        <f t="shared" si="75"/>
        <v>3</v>
      </c>
      <c r="G1626" s="10" t="str">
        <f t="shared" si="76"/>
        <v>Tuesday</v>
      </c>
      <c r="H1626" s="9" t="str">
        <f t="shared" si="77"/>
        <v>March</v>
      </c>
      <c r="I1626" t="s">
        <v>96</v>
      </c>
      <c r="J1626" t="s">
        <v>26</v>
      </c>
      <c r="K1626">
        <v>1124</v>
      </c>
      <c r="L1626" s="5" t="str">
        <f>IF(OR(K1626&lt;Answers!$C$16,Orders!K1626&gt;Answers!$C$17),"Yes","No")</f>
        <v>No</v>
      </c>
      <c r="M1626" s="14">
        <f>VLOOKUP(B1626,Customers!$A$1:$E$2501,4,0)</f>
        <v>68</v>
      </c>
    </row>
    <row r="1627" spans="1:13" x14ac:dyDescent="0.3">
      <c r="A1627">
        <v>1075183</v>
      </c>
      <c r="B1627">
        <v>1971</v>
      </c>
      <c r="C1627" s="1" t="s">
        <v>104</v>
      </c>
      <c r="D1627" s="7">
        <v>45040</v>
      </c>
      <c r="E1627" s="11">
        <v>0.4513888888888889</v>
      </c>
      <c r="F1627" s="15">
        <f t="shared" si="75"/>
        <v>4</v>
      </c>
      <c r="G1627" s="10" t="str">
        <f t="shared" si="76"/>
        <v>Monday</v>
      </c>
      <c r="H1627" s="9" t="str">
        <f t="shared" si="77"/>
        <v>April</v>
      </c>
      <c r="I1627" t="s">
        <v>190</v>
      </c>
      <c r="J1627" t="s">
        <v>28</v>
      </c>
      <c r="K1627">
        <v>3747</v>
      </c>
      <c r="L1627" s="5" t="str">
        <f>IF(OR(K1627&lt;Answers!$C$16,Orders!K1627&gt;Answers!$C$17),"Yes","No")</f>
        <v>No</v>
      </c>
      <c r="M1627" s="14">
        <f>VLOOKUP(B1627,Customers!$A$1:$E$2501,4,0)</f>
        <v>44</v>
      </c>
    </row>
    <row r="1628" spans="1:13" x14ac:dyDescent="0.3">
      <c r="A1628">
        <v>1075762</v>
      </c>
      <c r="B1628">
        <v>1612</v>
      </c>
      <c r="C1628" s="1" t="s">
        <v>104</v>
      </c>
      <c r="D1628" s="7">
        <v>45201</v>
      </c>
      <c r="E1628" s="11">
        <v>9.3055555555555558E-2</v>
      </c>
      <c r="F1628" s="15">
        <f t="shared" si="75"/>
        <v>10</v>
      </c>
      <c r="G1628" s="10" t="str">
        <f t="shared" si="76"/>
        <v>Monday</v>
      </c>
      <c r="H1628" s="9" t="str">
        <f t="shared" si="77"/>
        <v>October</v>
      </c>
      <c r="I1628" t="s">
        <v>96</v>
      </c>
      <c r="J1628" t="s">
        <v>33</v>
      </c>
      <c r="K1628">
        <v>3402</v>
      </c>
      <c r="L1628" s="5" t="str">
        <f>IF(OR(K1628&lt;Answers!$C$16,Orders!K1628&gt;Answers!$C$17),"Yes","No")</f>
        <v>No</v>
      </c>
      <c r="M1628" s="14">
        <f>VLOOKUP(B1628,Customers!$A$1:$E$2501,4,0)</f>
        <v>75</v>
      </c>
    </row>
    <row r="1629" spans="1:13" x14ac:dyDescent="0.3">
      <c r="A1629">
        <v>1076092</v>
      </c>
      <c r="B1629">
        <v>1938</v>
      </c>
      <c r="C1629" s="1" t="s">
        <v>98</v>
      </c>
      <c r="D1629" s="7">
        <v>44986</v>
      </c>
      <c r="E1629" s="11">
        <v>6.5277777777777782E-2</v>
      </c>
      <c r="F1629" s="15">
        <f t="shared" si="75"/>
        <v>3</v>
      </c>
      <c r="G1629" s="10" t="str">
        <f t="shared" si="76"/>
        <v>Wednesday</v>
      </c>
      <c r="H1629" s="9" t="str">
        <f t="shared" si="77"/>
        <v>March</v>
      </c>
      <c r="I1629" t="s">
        <v>95</v>
      </c>
      <c r="J1629" t="s">
        <v>26</v>
      </c>
      <c r="K1629">
        <v>698</v>
      </c>
      <c r="L1629" s="5" t="str">
        <f>IF(OR(K1629&lt;Answers!$C$16,Orders!K1629&gt;Answers!$C$17),"Yes","No")</f>
        <v>No</v>
      </c>
      <c r="M1629" s="14">
        <f>VLOOKUP(B1629,Customers!$A$1:$E$2501,4,0)</f>
        <v>70</v>
      </c>
    </row>
    <row r="1630" spans="1:13" x14ac:dyDescent="0.3">
      <c r="A1630">
        <v>1076764</v>
      </c>
      <c r="B1630">
        <v>1162</v>
      </c>
      <c r="C1630" s="1" t="s">
        <v>98</v>
      </c>
      <c r="D1630" s="7">
        <v>45264</v>
      </c>
      <c r="E1630" s="11">
        <v>0.52708333333333335</v>
      </c>
      <c r="F1630" s="15">
        <f t="shared" si="75"/>
        <v>12</v>
      </c>
      <c r="G1630" s="10" t="str">
        <f t="shared" si="76"/>
        <v>Monday</v>
      </c>
      <c r="H1630" s="9" t="str">
        <f t="shared" si="77"/>
        <v>December</v>
      </c>
      <c r="I1630" t="s">
        <v>97</v>
      </c>
      <c r="J1630" t="s">
        <v>86</v>
      </c>
      <c r="K1630">
        <v>1938</v>
      </c>
      <c r="L1630" s="5" t="str">
        <f>IF(OR(K1630&lt;Answers!$C$16,Orders!K1630&gt;Answers!$C$17),"Yes","No")</f>
        <v>No</v>
      </c>
      <c r="M1630" s="14">
        <f>VLOOKUP(B1630,Customers!$A$1:$E$2501,4,0)</f>
        <v>87</v>
      </c>
    </row>
    <row r="1631" spans="1:13" x14ac:dyDescent="0.3">
      <c r="A1631">
        <v>1077723</v>
      </c>
      <c r="B1631">
        <v>868</v>
      </c>
      <c r="C1631" s="1" t="s">
        <v>109</v>
      </c>
      <c r="D1631" s="7">
        <v>44928</v>
      </c>
      <c r="E1631" s="11">
        <v>0.51666666666666672</v>
      </c>
      <c r="F1631" s="15">
        <f t="shared" si="75"/>
        <v>1</v>
      </c>
      <c r="G1631" s="10" t="str">
        <f t="shared" si="76"/>
        <v>Monday</v>
      </c>
      <c r="H1631" s="9" t="str">
        <f t="shared" si="77"/>
        <v>January</v>
      </c>
      <c r="I1631" t="s">
        <v>190</v>
      </c>
      <c r="J1631" t="s">
        <v>39</v>
      </c>
      <c r="K1631">
        <v>3711</v>
      </c>
      <c r="L1631" s="5" t="str">
        <f>IF(OR(K1631&lt;Answers!$C$16,Orders!K1631&gt;Answers!$C$17),"Yes","No")</f>
        <v>No</v>
      </c>
      <c r="M1631" s="14">
        <f>VLOOKUP(B1631,Customers!$A$1:$E$2501,4,0)</f>
        <v>31</v>
      </c>
    </row>
    <row r="1632" spans="1:13" x14ac:dyDescent="0.3">
      <c r="A1632">
        <v>1078422</v>
      </c>
      <c r="B1632">
        <v>1917</v>
      </c>
      <c r="C1632" s="1" t="s">
        <v>98</v>
      </c>
      <c r="D1632" s="7">
        <v>45266</v>
      </c>
      <c r="E1632" s="11">
        <v>36801</v>
      </c>
      <c r="F1632" s="15">
        <f t="shared" si="75"/>
        <v>12</v>
      </c>
      <c r="G1632" s="10" t="str">
        <f t="shared" si="76"/>
        <v>Wednesday</v>
      </c>
      <c r="H1632" s="9" t="str">
        <f t="shared" si="77"/>
        <v>December</v>
      </c>
      <c r="I1632" t="s">
        <v>190</v>
      </c>
      <c r="J1632" t="s">
        <v>10</v>
      </c>
      <c r="K1632">
        <v>3916</v>
      </c>
      <c r="L1632" s="5" t="str">
        <f>IF(OR(K1632&lt;Answers!$C$16,Orders!K1632&gt;Answers!$C$17),"Yes","No")</f>
        <v>No</v>
      </c>
      <c r="M1632" s="14">
        <f>VLOOKUP(B1632,Customers!$A$1:$E$2501,4,0)</f>
        <v>63</v>
      </c>
    </row>
    <row r="1633" spans="1:13" x14ac:dyDescent="0.3">
      <c r="A1633">
        <v>1078820</v>
      </c>
      <c r="B1633">
        <v>1431</v>
      </c>
      <c r="C1633" s="1" t="s">
        <v>98</v>
      </c>
      <c r="D1633" s="7">
        <v>45147</v>
      </c>
      <c r="E1633" s="11">
        <v>36557</v>
      </c>
      <c r="F1633" s="15">
        <f t="shared" si="75"/>
        <v>8</v>
      </c>
      <c r="G1633" s="10" t="str">
        <f t="shared" si="76"/>
        <v>Wednesday</v>
      </c>
      <c r="H1633" s="9" t="str">
        <f t="shared" si="77"/>
        <v>August</v>
      </c>
      <c r="I1633" t="s">
        <v>96</v>
      </c>
      <c r="J1633" t="s">
        <v>41</v>
      </c>
      <c r="K1633">
        <v>5495</v>
      </c>
      <c r="L1633" s="5" t="str">
        <f>IF(OR(K1633&lt;Answers!$C$16,Orders!K1633&gt;Answers!$C$17),"Yes","No")</f>
        <v>No</v>
      </c>
      <c r="M1633" s="14">
        <f>VLOOKUP(B1633,Customers!$A$1:$E$2501,4,0)</f>
        <v>63</v>
      </c>
    </row>
    <row r="1634" spans="1:13" x14ac:dyDescent="0.3">
      <c r="A1634">
        <v>1079090</v>
      </c>
      <c r="B1634">
        <v>1368</v>
      </c>
      <c r="C1634" s="1" t="s">
        <v>98</v>
      </c>
      <c r="D1634" s="7">
        <v>45018</v>
      </c>
      <c r="E1634" s="11">
        <v>0.51041666666666663</v>
      </c>
      <c r="F1634" s="15">
        <f t="shared" si="75"/>
        <v>4</v>
      </c>
      <c r="G1634" s="10" t="str">
        <f t="shared" si="76"/>
        <v>Sunday</v>
      </c>
      <c r="H1634" s="9" t="str">
        <f t="shared" si="77"/>
        <v>April</v>
      </c>
      <c r="I1634" t="s">
        <v>97</v>
      </c>
      <c r="J1634" t="s">
        <v>42</v>
      </c>
      <c r="K1634">
        <v>6597</v>
      </c>
      <c r="L1634" s="5" t="str">
        <f>IF(OR(K1634&lt;Answers!$C$16,Orders!K1634&gt;Answers!$C$17),"Yes","No")</f>
        <v>No</v>
      </c>
      <c r="M1634" s="14">
        <f>VLOOKUP(B1634,Customers!$A$1:$E$2501,4,0)</f>
        <v>54</v>
      </c>
    </row>
    <row r="1635" spans="1:13" x14ac:dyDescent="0.3">
      <c r="A1635">
        <v>1079225</v>
      </c>
      <c r="B1635">
        <v>1393</v>
      </c>
      <c r="C1635" s="1" t="s">
        <v>106</v>
      </c>
      <c r="D1635" s="7">
        <v>44981</v>
      </c>
      <c r="E1635" s="11">
        <v>36749</v>
      </c>
      <c r="F1635" s="15">
        <f t="shared" si="75"/>
        <v>2</v>
      </c>
      <c r="G1635" s="10" t="str">
        <f t="shared" si="76"/>
        <v>Friday</v>
      </c>
      <c r="H1635" s="9" t="str">
        <f t="shared" si="77"/>
        <v>February</v>
      </c>
      <c r="I1635" t="s">
        <v>95</v>
      </c>
      <c r="J1635" t="s">
        <v>43</v>
      </c>
      <c r="K1635">
        <v>3345</v>
      </c>
      <c r="L1635" s="5" t="str">
        <f>IF(OR(K1635&lt;Answers!$C$16,Orders!K1635&gt;Answers!$C$17),"Yes","No")</f>
        <v>No</v>
      </c>
      <c r="M1635" s="14">
        <f>VLOOKUP(B1635,Customers!$A$1:$E$2501,4,0)</f>
        <v>76</v>
      </c>
    </row>
    <row r="1636" spans="1:13" x14ac:dyDescent="0.3">
      <c r="A1636">
        <v>1079355</v>
      </c>
      <c r="B1636">
        <v>1469</v>
      </c>
      <c r="C1636" s="1" t="s">
        <v>106</v>
      </c>
      <c r="D1636" s="7">
        <v>45004</v>
      </c>
      <c r="E1636" s="11">
        <v>0.49027777777777776</v>
      </c>
      <c r="F1636" s="15">
        <f t="shared" si="75"/>
        <v>3</v>
      </c>
      <c r="G1636" s="10" t="str">
        <f t="shared" si="76"/>
        <v>Sunday</v>
      </c>
      <c r="H1636" s="9" t="str">
        <f t="shared" si="77"/>
        <v>March</v>
      </c>
      <c r="I1636" t="s">
        <v>97</v>
      </c>
      <c r="J1636" t="s">
        <v>80</v>
      </c>
      <c r="K1636">
        <v>3196</v>
      </c>
      <c r="L1636" s="5" t="str">
        <f>IF(OR(K1636&lt;Answers!$C$16,Orders!K1636&gt;Answers!$C$17),"Yes","No")</f>
        <v>No</v>
      </c>
      <c r="M1636" s="14">
        <f>VLOOKUP(B1636,Customers!$A$1:$E$2501,4,0)</f>
        <v>38</v>
      </c>
    </row>
    <row r="1637" spans="1:13" x14ac:dyDescent="0.3">
      <c r="A1637">
        <v>1079761</v>
      </c>
      <c r="B1637">
        <v>1873</v>
      </c>
      <c r="C1637" s="1" t="s">
        <v>100</v>
      </c>
      <c r="D1637" s="7">
        <v>45187</v>
      </c>
      <c r="E1637" s="11">
        <v>36861</v>
      </c>
      <c r="F1637" s="15">
        <f t="shared" si="75"/>
        <v>9</v>
      </c>
      <c r="G1637" s="10" t="str">
        <f t="shared" si="76"/>
        <v>Monday</v>
      </c>
      <c r="H1637" s="9" t="str">
        <f t="shared" si="77"/>
        <v>September</v>
      </c>
      <c r="I1637" t="s">
        <v>190</v>
      </c>
      <c r="J1637" t="s">
        <v>49</v>
      </c>
      <c r="K1637">
        <v>9752</v>
      </c>
      <c r="L1637" s="5" t="str">
        <f>IF(OR(K1637&lt;Answers!$C$16,Orders!K1637&gt;Answers!$C$17),"Yes","No")</f>
        <v>No</v>
      </c>
      <c r="M1637" s="14">
        <f>VLOOKUP(B1637,Customers!$A$1:$E$2501,4,0)</f>
        <v>20</v>
      </c>
    </row>
    <row r="1638" spans="1:13" x14ac:dyDescent="0.3">
      <c r="A1638">
        <v>1081409</v>
      </c>
      <c r="B1638">
        <v>1084</v>
      </c>
      <c r="C1638" s="1" t="s">
        <v>112</v>
      </c>
      <c r="D1638" s="7">
        <v>45200</v>
      </c>
      <c r="E1638" s="11">
        <v>0.54027777777777775</v>
      </c>
      <c r="F1638" s="15">
        <f t="shared" si="75"/>
        <v>10</v>
      </c>
      <c r="G1638" s="10" t="str">
        <f t="shared" si="76"/>
        <v>Sunday</v>
      </c>
      <c r="H1638" s="9" t="str">
        <f t="shared" si="77"/>
        <v>October</v>
      </c>
      <c r="I1638" t="s">
        <v>190</v>
      </c>
      <c r="J1638" t="s">
        <v>5</v>
      </c>
      <c r="K1638">
        <v>7433</v>
      </c>
      <c r="L1638" s="5" t="str">
        <f>IF(OR(K1638&lt;Answers!$C$16,Orders!K1638&gt;Answers!$C$17),"Yes","No")</f>
        <v>No</v>
      </c>
      <c r="M1638" s="14">
        <f>VLOOKUP(B1638,Customers!$A$1:$E$2501,4,0)</f>
        <v>75</v>
      </c>
    </row>
    <row r="1639" spans="1:13" x14ac:dyDescent="0.3">
      <c r="A1639">
        <v>1081894</v>
      </c>
      <c r="B1639">
        <v>787</v>
      </c>
      <c r="C1639" s="1" t="s">
        <v>103</v>
      </c>
      <c r="D1639" s="7">
        <v>44965</v>
      </c>
      <c r="E1639" s="11">
        <v>6.5972222222222224E-2</v>
      </c>
      <c r="F1639" s="15">
        <f t="shared" si="75"/>
        <v>2</v>
      </c>
      <c r="G1639" s="10" t="str">
        <f t="shared" si="76"/>
        <v>Wednesday</v>
      </c>
      <c r="H1639" s="9" t="str">
        <f t="shared" si="77"/>
        <v>February</v>
      </c>
      <c r="I1639" t="s">
        <v>95</v>
      </c>
      <c r="J1639" t="s">
        <v>6</v>
      </c>
      <c r="K1639">
        <v>5113</v>
      </c>
      <c r="L1639" s="5" t="str">
        <f>IF(OR(K1639&lt;Answers!$C$16,Orders!K1639&gt;Answers!$C$17),"Yes","No")</f>
        <v>No</v>
      </c>
      <c r="M1639" s="14">
        <f>VLOOKUP(B1639,Customers!$A$1:$E$2501,4,0)</f>
        <v>40</v>
      </c>
    </row>
    <row r="1640" spans="1:13" x14ac:dyDescent="0.3">
      <c r="A1640">
        <v>1083336</v>
      </c>
      <c r="B1640">
        <v>441</v>
      </c>
      <c r="C1640" s="1" t="s">
        <v>98</v>
      </c>
      <c r="D1640" s="7">
        <v>44976</v>
      </c>
      <c r="E1640" s="11">
        <v>36719</v>
      </c>
      <c r="F1640" s="15">
        <f t="shared" si="75"/>
        <v>2</v>
      </c>
      <c r="G1640" s="10" t="str">
        <f t="shared" si="76"/>
        <v>Sunday</v>
      </c>
      <c r="H1640" s="9" t="str">
        <f t="shared" si="77"/>
        <v>February</v>
      </c>
      <c r="I1640" t="s">
        <v>97</v>
      </c>
      <c r="J1640" t="s">
        <v>26</v>
      </c>
      <c r="K1640">
        <v>5859</v>
      </c>
      <c r="L1640" s="5" t="str">
        <f>IF(OR(K1640&lt;Answers!$C$16,Orders!K1640&gt;Answers!$C$17),"Yes","No")</f>
        <v>No</v>
      </c>
      <c r="M1640" s="14">
        <f>VLOOKUP(B1640,Customers!$A$1:$E$2501,4,0)</f>
        <v>77</v>
      </c>
    </row>
    <row r="1641" spans="1:13" x14ac:dyDescent="0.3">
      <c r="A1641">
        <v>1085382</v>
      </c>
      <c r="B1641">
        <v>969</v>
      </c>
      <c r="C1641" s="1" t="s">
        <v>98</v>
      </c>
      <c r="D1641" s="7">
        <v>44995</v>
      </c>
      <c r="E1641" s="11">
        <v>36800</v>
      </c>
      <c r="F1641" s="15">
        <f t="shared" si="75"/>
        <v>3</v>
      </c>
      <c r="G1641" s="10" t="str">
        <f t="shared" si="76"/>
        <v>Friday</v>
      </c>
      <c r="H1641" s="9" t="str">
        <f t="shared" si="77"/>
        <v>March</v>
      </c>
      <c r="I1641" t="s">
        <v>95</v>
      </c>
      <c r="J1641" t="s">
        <v>45</v>
      </c>
      <c r="K1641">
        <v>5959</v>
      </c>
      <c r="L1641" s="5" t="str">
        <f>IF(OR(K1641&lt;Answers!$C$16,Orders!K1641&gt;Answers!$C$17),"Yes","No")</f>
        <v>No</v>
      </c>
      <c r="M1641" s="14">
        <f>VLOOKUP(B1641,Customers!$A$1:$E$2501,4,0)</f>
        <v>27</v>
      </c>
    </row>
    <row r="1642" spans="1:13" x14ac:dyDescent="0.3">
      <c r="A1642">
        <v>1085556</v>
      </c>
      <c r="B1642">
        <v>217</v>
      </c>
      <c r="C1642" s="1" t="s">
        <v>98</v>
      </c>
      <c r="D1642" s="7">
        <v>45289</v>
      </c>
      <c r="E1642" s="11">
        <v>6.3194444444444442E-2</v>
      </c>
      <c r="F1642" s="15">
        <f t="shared" si="75"/>
        <v>12</v>
      </c>
      <c r="G1642" s="10" t="str">
        <f t="shared" si="76"/>
        <v>Friday</v>
      </c>
      <c r="H1642" s="9" t="str">
        <f t="shared" si="77"/>
        <v>December</v>
      </c>
      <c r="I1642" t="s">
        <v>96</v>
      </c>
      <c r="J1642" t="s">
        <v>42</v>
      </c>
      <c r="K1642">
        <v>6006</v>
      </c>
      <c r="L1642" s="5" t="str">
        <f>IF(OR(K1642&lt;Answers!$C$16,Orders!K1642&gt;Answers!$C$17),"Yes","No")</f>
        <v>No</v>
      </c>
      <c r="M1642" s="14">
        <f>VLOOKUP(B1642,Customers!$A$1:$E$2501,4,0)</f>
        <v>60</v>
      </c>
    </row>
    <row r="1643" spans="1:13" x14ac:dyDescent="0.3">
      <c r="A1643">
        <v>1086091</v>
      </c>
      <c r="B1643">
        <v>863</v>
      </c>
      <c r="C1643" s="1" t="s">
        <v>110</v>
      </c>
      <c r="D1643" s="7">
        <v>45179</v>
      </c>
      <c r="E1643" s="11">
        <v>0.48194444444444445</v>
      </c>
      <c r="F1643" s="15">
        <f t="shared" si="75"/>
        <v>9</v>
      </c>
      <c r="G1643" s="10" t="str">
        <f t="shared" si="76"/>
        <v>Sunday</v>
      </c>
      <c r="H1643" s="9" t="str">
        <f t="shared" si="77"/>
        <v>September</v>
      </c>
      <c r="I1643" t="s">
        <v>96</v>
      </c>
      <c r="J1643" t="s">
        <v>20</v>
      </c>
      <c r="K1643">
        <v>6063</v>
      </c>
      <c r="L1643" s="5" t="str">
        <f>IF(OR(K1643&lt;Answers!$C$16,Orders!K1643&gt;Answers!$C$17),"Yes","No")</f>
        <v>No</v>
      </c>
      <c r="M1643" s="14">
        <f>VLOOKUP(B1643,Customers!$A$1:$E$2501,4,0)</f>
        <v>63</v>
      </c>
    </row>
    <row r="1644" spans="1:13" x14ac:dyDescent="0.3">
      <c r="A1644">
        <v>1086104</v>
      </c>
      <c r="B1644">
        <v>654</v>
      </c>
      <c r="C1644" s="1" t="s">
        <v>99</v>
      </c>
      <c r="D1644" s="7">
        <v>45191</v>
      </c>
      <c r="E1644" s="11">
        <v>0.51527777777777772</v>
      </c>
      <c r="F1644" s="15">
        <f t="shared" si="75"/>
        <v>9</v>
      </c>
      <c r="G1644" s="10" t="str">
        <f t="shared" si="76"/>
        <v>Friday</v>
      </c>
      <c r="H1644" s="9" t="str">
        <f t="shared" si="77"/>
        <v>September</v>
      </c>
      <c r="I1644" t="s">
        <v>97</v>
      </c>
      <c r="J1644" t="s">
        <v>65</v>
      </c>
      <c r="K1644">
        <v>1737</v>
      </c>
      <c r="L1644" s="5" t="str">
        <f>IF(OR(K1644&lt;Answers!$C$16,Orders!K1644&gt;Answers!$C$17),"Yes","No")</f>
        <v>No</v>
      </c>
      <c r="M1644" s="14">
        <f>VLOOKUP(B1644,Customers!$A$1:$E$2501,4,0)</f>
        <v>51</v>
      </c>
    </row>
    <row r="1645" spans="1:13" x14ac:dyDescent="0.3">
      <c r="A1645">
        <v>1086327</v>
      </c>
      <c r="B1645">
        <v>62</v>
      </c>
      <c r="C1645" s="1" t="s">
        <v>98</v>
      </c>
      <c r="D1645" s="7">
        <v>44939</v>
      </c>
      <c r="E1645" s="11">
        <v>8.1944444444444445E-2</v>
      </c>
      <c r="F1645" s="15">
        <f t="shared" si="75"/>
        <v>1</v>
      </c>
      <c r="G1645" s="10" t="str">
        <f t="shared" si="76"/>
        <v>Friday</v>
      </c>
      <c r="H1645" s="9" t="str">
        <f t="shared" si="77"/>
        <v>January</v>
      </c>
      <c r="I1645" t="s">
        <v>96</v>
      </c>
      <c r="J1645" t="s">
        <v>28</v>
      </c>
      <c r="K1645">
        <v>4910</v>
      </c>
      <c r="L1645" s="5" t="str">
        <f>IF(OR(K1645&lt;Answers!$C$16,Orders!K1645&gt;Answers!$C$17),"Yes","No")</f>
        <v>No</v>
      </c>
      <c r="M1645" s="14">
        <f>VLOOKUP(B1645,Customers!$A$1:$E$2501,4,0)</f>
        <v>42</v>
      </c>
    </row>
    <row r="1646" spans="1:13" x14ac:dyDescent="0.3">
      <c r="A1646">
        <v>1086644</v>
      </c>
      <c r="B1646">
        <v>940</v>
      </c>
      <c r="C1646" s="1" t="s">
        <v>98</v>
      </c>
      <c r="D1646" s="7">
        <v>45159</v>
      </c>
      <c r="E1646" s="11">
        <v>5.7638888888888892E-2</v>
      </c>
      <c r="F1646" s="15">
        <f t="shared" si="75"/>
        <v>8</v>
      </c>
      <c r="G1646" s="10" t="str">
        <f t="shared" si="76"/>
        <v>Monday</v>
      </c>
      <c r="H1646" s="9" t="str">
        <f t="shared" si="77"/>
        <v>August</v>
      </c>
      <c r="I1646" t="s">
        <v>97</v>
      </c>
      <c r="J1646" t="s">
        <v>8</v>
      </c>
      <c r="K1646">
        <v>9735</v>
      </c>
      <c r="L1646" s="5" t="str">
        <f>IF(OR(K1646&lt;Answers!$C$16,Orders!K1646&gt;Answers!$C$17),"Yes","No")</f>
        <v>No</v>
      </c>
      <c r="M1646" s="14">
        <f>VLOOKUP(B1646,Customers!$A$1:$E$2501,4,0)</f>
        <v>79</v>
      </c>
    </row>
    <row r="1647" spans="1:13" x14ac:dyDescent="0.3">
      <c r="A1647">
        <v>1087661</v>
      </c>
      <c r="B1647">
        <v>1776</v>
      </c>
      <c r="C1647" s="1" t="s">
        <v>98</v>
      </c>
      <c r="D1647" s="7">
        <v>45283</v>
      </c>
      <c r="E1647" s="11">
        <v>36780</v>
      </c>
      <c r="F1647" s="15">
        <f t="shared" si="75"/>
        <v>12</v>
      </c>
      <c r="G1647" s="10" t="str">
        <f t="shared" si="76"/>
        <v>Saturday</v>
      </c>
      <c r="H1647" s="9" t="str">
        <f t="shared" si="77"/>
        <v>December</v>
      </c>
      <c r="I1647" t="s">
        <v>190</v>
      </c>
      <c r="J1647" t="s">
        <v>63</v>
      </c>
      <c r="K1647">
        <v>10</v>
      </c>
      <c r="L1647" s="5" t="str">
        <f>IF(OR(K1647&lt;Answers!$C$16,Orders!K1647&gt;Answers!$C$17),"Yes","No")</f>
        <v>No</v>
      </c>
      <c r="M1647" s="14">
        <f>VLOOKUP(B1647,Customers!$A$1:$E$2501,4,0)</f>
        <v>77</v>
      </c>
    </row>
    <row r="1648" spans="1:13" x14ac:dyDescent="0.3">
      <c r="A1648">
        <v>1088292</v>
      </c>
      <c r="B1648">
        <v>337</v>
      </c>
      <c r="C1648" s="1" t="s">
        <v>105</v>
      </c>
      <c r="D1648" s="7">
        <v>44944</v>
      </c>
      <c r="E1648" s="11">
        <v>0.51388888888888884</v>
      </c>
      <c r="F1648" s="15">
        <f t="shared" si="75"/>
        <v>1</v>
      </c>
      <c r="G1648" s="10" t="str">
        <f t="shared" si="76"/>
        <v>Wednesday</v>
      </c>
      <c r="H1648" s="9" t="str">
        <f t="shared" si="77"/>
        <v>January</v>
      </c>
      <c r="I1648" t="s">
        <v>190</v>
      </c>
      <c r="J1648" t="s">
        <v>29</v>
      </c>
      <c r="K1648">
        <v>3551</v>
      </c>
      <c r="L1648" s="5" t="str">
        <f>IF(OR(K1648&lt;Answers!$C$16,Orders!K1648&gt;Answers!$C$17),"Yes","No")</f>
        <v>No</v>
      </c>
      <c r="M1648" s="14">
        <f>VLOOKUP(B1648,Customers!$A$1:$E$2501,4,0)</f>
        <v>58</v>
      </c>
    </row>
    <row r="1649" spans="1:13" x14ac:dyDescent="0.3">
      <c r="A1649">
        <v>1088350</v>
      </c>
      <c r="B1649">
        <v>606</v>
      </c>
      <c r="C1649" s="1" t="s">
        <v>98</v>
      </c>
      <c r="D1649" s="7">
        <v>45256</v>
      </c>
      <c r="E1649" s="11">
        <v>0.52569444444444446</v>
      </c>
      <c r="F1649" s="15">
        <f t="shared" si="75"/>
        <v>11</v>
      </c>
      <c r="G1649" s="10" t="str">
        <f t="shared" si="76"/>
        <v>Sunday</v>
      </c>
      <c r="H1649" s="9" t="str">
        <f t="shared" si="77"/>
        <v>November</v>
      </c>
      <c r="I1649" t="s">
        <v>97</v>
      </c>
      <c r="J1649" t="s">
        <v>52</v>
      </c>
      <c r="K1649">
        <v>3144</v>
      </c>
      <c r="L1649" s="5" t="str">
        <f>IF(OR(K1649&lt;Answers!$C$16,Orders!K1649&gt;Answers!$C$17),"Yes","No")</f>
        <v>No</v>
      </c>
      <c r="M1649" s="14">
        <f>VLOOKUP(B1649,Customers!$A$1:$E$2501,4,0)</f>
        <v>18</v>
      </c>
    </row>
    <row r="1650" spans="1:13" x14ac:dyDescent="0.3">
      <c r="A1650">
        <v>1089032</v>
      </c>
      <c r="B1650">
        <v>144</v>
      </c>
      <c r="C1650" s="1" t="s">
        <v>107</v>
      </c>
      <c r="D1650" s="7">
        <v>45085</v>
      </c>
      <c r="E1650" s="11">
        <v>0.5229166666666667</v>
      </c>
      <c r="F1650" s="15">
        <f t="shared" si="75"/>
        <v>6</v>
      </c>
      <c r="G1650" s="10" t="str">
        <f t="shared" si="76"/>
        <v>Thursday</v>
      </c>
      <c r="H1650" s="9" t="str">
        <f t="shared" si="77"/>
        <v>June</v>
      </c>
      <c r="I1650" t="s">
        <v>95</v>
      </c>
      <c r="J1650" t="s">
        <v>84</v>
      </c>
      <c r="K1650">
        <v>9067</v>
      </c>
      <c r="L1650" s="5" t="str">
        <f>IF(OR(K1650&lt;Answers!$C$16,Orders!K1650&gt;Answers!$C$17),"Yes","No")</f>
        <v>No</v>
      </c>
      <c r="M1650" s="14">
        <f>VLOOKUP(B1650,Customers!$A$1:$E$2501,4,0)</f>
        <v>27</v>
      </c>
    </row>
    <row r="1651" spans="1:13" x14ac:dyDescent="0.3">
      <c r="A1651">
        <v>1091560</v>
      </c>
      <c r="B1651">
        <v>1294</v>
      </c>
      <c r="C1651" s="1" t="s">
        <v>99</v>
      </c>
      <c r="D1651" s="7">
        <v>45070</v>
      </c>
      <c r="E1651" s="11">
        <v>0.47083333333333333</v>
      </c>
      <c r="F1651" s="15">
        <f t="shared" si="75"/>
        <v>5</v>
      </c>
      <c r="G1651" s="10" t="str">
        <f t="shared" si="76"/>
        <v>Wednesday</v>
      </c>
      <c r="H1651" s="9" t="str">
        <f t="shared" si="77"/>
        <v>May</v>
      </c>
      <c r="I1651" t="s">
        <v>96</v>
      </c>
      <c r="J1651" t="s">
        <v>33</v>
      </c>
      <c r="K1651">
        <v>8903</v>
      </c>
      <c r="L1651" s="5" t="str">
        <f>IF(OR(K1651&lt;Answers!$C$16,Orders!K1651&gt;Answers!$C$17),"Yes","No")</f>
        <v>No</v>
      </c>
      <c r="M1651" s="14">
        <f>VLOOKUP(B1651,Customers!$A$1:$E$2501,4,0)</f>
        <v>54</v>
      </c>
    </row>
    <row r="1652" spans="1:13" x14ac:dyDescent="0.3">
      <c r="A1652">
        <v>1093212</v>
      </c>
      <c r="B1652">
        <v>60</v>
      </c>
      <c r="C1652" s="1" t="s">
        <v>98</v>
      </c>
      <c r="D1652" s="7">
        <v>45129</v>
      </c>
      <c r="E1652" s="11">
        <v>36617</v>
      </c>
      <c r="F1652" s="15">
        <f t="shared" si="75"/>
        <v>7</v>
      </c>
      <c r="G1652" s="10" t="str">
        <f t="shared" si="76"/>
        <v>Saturday</v>
      </c>
      <c r="H1652" s="9" t="str">
        <f t="shared" si="77"/>
        <v>July</v>
      </c>
      <c r="I1652" t="s">
        <v>95</v>
      </c>
      <c r="J1652" t="s">
        <v>67</v>
      </c>
      <c r="K1652">
        <v>799</v>
      </c>
      <c r="L1652" s="5" t="str">
        <f>IF(OR(K1652&lt;Answers!$C$16,Orders!K1652&gt;Answers!$C$17),"Yes","No")</f>
        <v>No</v>
      </c>
      <c r="M1652" s="14">
        <f>VLOOKUP(B1652,Customers!$A$1:$E$2501,4,0)</f>
        <v>60</v>
      </c>
    </row>
    <row r="1653" spans="1:13" x14ac:dyDescent="0.3">
      <c r="A1653">
        <v>1093314</v>
      </c>
      <c r="B1653">
        <v>1576</v>
      </c>
      <c r="C1653" s="1" t="s">
        <v>98</v>
      </c>
      <c r="D1653" s="7">
        <v>45035</v>
      </c>
      <c r="E1653" s="11">
        <v>0.53055555555555556</v>
      </c>
      <c r="F1653" s="15">
        <f t="shared" si="75"/>
        <v>4</v>
      </c>
      <c r="G1653" s="10" t="str">
        <f t="shared" si="76"/>
        <v>Wednesday</v>
      </c>
      <c r="H1653" s="9" t="str">
        <f t="shared" si="77"/>
        <v>April</v>
      </c>
      <c r="I1653" t="s">
        <v>97</v>
      </c>
      <c r="J1653" t="s">
        <v>68</v>
      </c>
      <c r="K1653">
        <v>1562</v>
      </c>
      <c r="L1653" s="5" t="str">
        <f>IF(OR(K1653&lt;Answers!$C$16,Orders!K1653&gt;Answers!$C$17),"Yes","No")</f>
        <v>No</v>
      </c>
      <c r="M1653" s="14">
        <f>VLOOKUP(B1653,Customers!$A$1:$E$2501,4,0)</f>
        <v>70</v>
      </c>
    </row>
    <row r="1654" spans="1:13" x14ac:dyDescent="0.3">
      <c r="A1654">
        <v>1093757</v>
      </c>
      <c r="B1654">
        <v>127</v>
      </c>
      <c r="C1654" s="1" t="s">
        <v>107</v>
      </c>
      <c r="D1654" s="7">
        <v>45264</v>
      </c>
      <c r="E1654" s="11">
        <v>0.5</v>
      </c>
      <c r="F1654" s="15">
        <f t="shared" si="75"/>
        <v>12</v>
      </c>
      <c r="G1654" s="10" t="str">
        <f t="shared" si="76"/>
        <v>Monday</v>
      </c>
      <c r="H1654" s="9" t="str">
        <f t="shared" si="77"/>
        <v>December</v>
      </c>
      <c r="I1654" t="s">
        <v>97</v>
      </c>
      <c r="J1654" t="s">
        <v>42</v>
      </c>
      <c r="K1654">
        <v>5671</v>
      </c>
      <c r="L1654" s="5" t="str">
        <f>IF(OR(K1654&lt;Answers!$C$16,Orders!K1654&gt;Answers!$C$17),"Yes","No")</f>
        <v>No</v>
      </c>
      <c r="M1654" s="14">
        <f>VLOOKUP(B1654,Customers!$A$1:$E$2501,4,0)</f>
        <v>57</v>
      </c>
    </row>
    <row r="1655" spans="1:13" x14ac:dyDescent="0.3">
      <c r="A1655">
        <v>1094900</v>
      </c>
      <c r="B1655">
        <v>1616</v>
      </c>
      <c r="C1655" s="1" t="s">
        <v>98</v>
      </c>
      <c r="D1655" s="7">
        <v>45046</v>
      </c>
      <c r="E1655" s="11">
        <v>0.54027777777777775</v>
      </c>
      <c r="F1655" s="15">
        <f t="shared" si="75"/>
        <v>4</v>
      </c>
      <c r="G1655" s="10" t="str">
        <f t="shared" si="76"/>
        <v>Sunday</v>
      </c>
      <c r="H1655" s="9" t="str">
        <f t="shared" si="77"/>
        <v>April</v>
      </c>
      <c r="I1655" t="s">
        <v>95</v>
      </c>
      <c r="J1655" t="s">
        <v>26</v>
      </c>
      <c r="K1655">
        <v>2968</v>
      </c>
      <c r="L1655" s="5" t="str">
        <f>IF(OR(K1655&lt;Answers!$C$16,Orders!K1655&gt;Answers!$C$17),"Yes","No")</f>
        <v>No</v>
      </c>
      <c r="M1655" s="14">
        <f>VLOOKUP(B1655,Customers!$A$1:$E$2501,4,0)</f>
        <v>38</v>
      </c>
    </row>
    <row r="1656" spans="1:13" x14ac:dyDescent="0.3">
      <c r="A1656">
        <v>1095387</v>
      </c>
      <c r="B1656">
        <v>1251</v>
      </c>
      <c r="C1656" s="1" t="s">
        <v>98</v>
      </c>
      <c r="D1656" s="7">
        <v>45246</v>
      </c>
      <c r="E1656" s="11">
        <v>36771</v>
      </c>
      <c r="F1656" s="15">
        <f t="shared" si="75"/>
        <v>11</v>
      </c>
      <c r="G1656" s="10" t="str">
        <f t="shared" si="76"/>
        <v>Thursday</v>
      </c>
      <c r="H1656" s="9" t="str">
        <f t="shared" si="77"/>
        <v>November</v>
      </c>
      <c r="I1656" t="s">
        <v>190</v>
      </c>
      <c r="J1656" t="s">
        <v>68</v>
      </c>
      <c r="K1656">
        <v>2942</v>
      </c>
      <c r="L1656" s="5" t="str">
        <f>IF(OR(K1656&lt;Answers!$C$16,Orders!K1656&gt;Answers!$C$17),"Yes","No")</f>
        <v>No</v>
      </c>
      <c r="M1656" s="14">
        <f>VLOOKUP(B1656,Customers!$A$1:$E$2501,4,0)</f>
        <v>31</v>
      </c>
    </row>
    <row r="1657" spans="1:13" x14ac:dyDescent="0.3">
      <c r="A1657">
        <v>1097967</v>
      </c>
      <c r="B1657">
        <v>1097</v>
      </c>
      <c r="C1657" s="1" t="s">
        <v>112</v>
      </c>
      <c r="D1657" s="7">
        <v>44996</v>
      </c>
      <c r="E1657" s="11">
        <v>7.2222222222222215E-2</v>
      </c>
      <c r="F1657" s="15">
        <f t="shared" si="75"/>
        <v>3</v>
      </c>
      <c r="G1657" s="10" t="str">
        <f t="shared" si="76"/>
        <v>Saturday</v>
      </c>
      <c r="H1657" s="9" t="str">
        <f t="shared" si="77"/>
        <v>March</v>
      </c>
      <c r="I1657" t="s">
        <v>95</v>
      </c>
      <c r="J1657" t="s">
        <v>42</v>
      </c>
      <c r="K1657">
        <v>9517</v>
      </c>
      <c r="L1657" s="5" t="str">
        <f>IF(OR(K1657&lt;Answers!$C$16,Orders!K1657&gt;Answers!$C$17),"Yes","No")</f>
        <v>No</v>
      </c>
      <c r="M1657" s="14">
        <f>VLOOKUP(B1657,Customers!$A$1:$E$2501,4,0)</f>
        <v>81</v>
      </c>
    </row>
    <row r="1658" spans="1:13" x14ac:dyDescent="0.3">
      <c r="A1658">
        <v>1098350</v>
      </c>
      <c r="B1658">
        <v>1983</v>
      </c>
      <c r="C1658" s="1" t="s">
        <v>104</v>
      </c>
      <c r="D1658" s="7">
        <v>44966</v>
      </c>
      <c r="E1658" s="11">
        <v>6.8750000000000006E-2</v>
      </c>
      <c r="F1658" s="15">
        <f t="shared" si="75"/>
        <v>2</v>
      </c>
      <c r="G1658" s="10" t="str">
        <f t="shared" si="76"/>
        <v>Thursday</v>
      </c>
      <c r="H1658" s="9" t="str">
        <f t="shared" si="77"/>
        <v>February</v>
      </c>
      <c r="I1658" t="s">
        <v>97</v>
      </c>
      <c r="J1658" t="s">
        <v>21</v>
      </c>
      <c r="K1658">
        <v>7342</v>
      </c>
      <c r="L1658" s="5" t="str">
        <f>IF(OR(K1658&lt;Answers!$C$16,Orders!K1658&gt;Answers!$C$17),"Yes","No")</f>
        <v>No</v>
      </c>
      <c r="M1658" s="14">
        <f>VLOOKUP(B1658,Customers!$A$1:$E$2501,4,0)</f>
        <v>35</v>
      </c>
    </row>
    <row r="1659" spans="1:13" x14ac:dyDescent="0.3">
      <c r="A1659">
        <v>1099712</v>
      </c>
      <c r="B1659">
        <v>772</v>
      </c>
      <c r="C1659" s="1" t="s">
        <v>99</v>
      </c>
      <c r="D1659" s="7">
        <v>45175</v>
      </c>
      <c r="E1659" s="11">
        <v>6.1805555555555558E-2</v>
      </c>
      <c r="F1659" s="15">
        <f t="shared" si="75"/>
        <v>9</v>
      </c>
      <c r="G1659" s="10" t="str">
        <f t="shared" si="76"/>
        <v>Wednesday</v>
      </c>
      <c r="H1659" s="9" t="str">
        <f t="shared" si="77"/>
        <v>September</v>
      </c>
      <c r="I1659" t="s">
        <v>96</v>
      </c>
      <c r="J1659" t="s">
        <v>40</v>
      </c>
      <c r="K1659">
        <v>9284</v>
      </c>
      <c r="L1659" s="5" t="str">
        <f>IF(OR(K1659&lt;Answers!$C$16,Orders!K1659&gt;Answers!$C$17),"Yes","No")</f>
        <v>No</v>
      </c>
      <c r="M1659" s="14">
        <f>VLOOKUP(B1659,Customers!$A$1:$E$2501,4,0)</f>
        <v>37</v>
      </c>
    </row>
    <row r="1660" spans="1:13" x14ac:dyDescent="0.3">
      <c r="A1660">
        <v>1100277</v>
      </c>
      <c r="B1660">
        <v>1886</v>
      </c>
      <c r="C1660" s="1" t="s">
        <v>100</v>
      </c>
      <c r="D1660" s="7">
        <v>45196</v>
      </c>
      <c r="E1660" s="11">
        <v>36647</v>
      </c>
      <c r="F1660" s="15">
        <f t="shared" si="75"/>
        <v>9</v>
      </c>
      <c r="G1660" s="10" t="str">
        <f t="shared" si="76"/>
        <v>Wednesday</v>
      </c>
      <c r="H1660" s="9" t="str">
        <f t="shared" si="77"/>
        <v>September</v>
      </c>
      <c r="I1660" t="s">
        <v>95</v>
      </c>
      <c r="J1660" t="s">
        <v>18</v>
      </c>
      <c r="K1660">
        <v>1924</v>
      </c>
      <c r="L1660" s="5" t="str">
        <f>IF(OR(K1660&lt;Answers!$C$16,Orders!K1660&gt;Answers!$C$17),"Yes","No")</f>
        <v>No</v>
      </c>
      <c r="M1660" s="14">
        <f>VLOOKUP(B1660,Customers!$A$1:$E$2501,4,0)</f>
        <v>28</v>
      </c>
    </row>
    <row r="1661" spans="1:13" x14ac:dyDescent="0.3">
      <c r="A1661">
        <v>1101025</v>
      </c>
      <c r="B1661">
        <v>289</v>
      </c>
      <c r="C1661" s="1" t="s">
        <v>99</v>
      </c>
      <c r="D1661" s="7">
        <v>45048</v>
      </c>
      <c r="E1661" s="11">
        <v>0.52083333333333337</v>
      </c>
      <c r="F1661" s="15">
        <f t="shared" si="75"/>
        <v>5</v>
      </c>
      <c r="G1661" s="10" t="str">
        <f t="shared" si="76"/>
        <v>Tuesday</v>
      </c>
      <c r="H1661" s="9" t="str">
        <f t="shared" si="77"/>
        <v>May</v>
      </c>
      <c r="I1661" t="s">
        <v>96</v>
      </c>
      <c r="J1661" t="s">
        <v>34</v>
      </c>
      <c r="K1661">
        <v>5344</v>
      </c>
      <c r="L1661" s="5" t="str">
        <f>IF(OR(K1661&lt;Answers!$C$16,Orders!K1661&gt;Answers!$C$17),"Yes","No")</f>
        <v>No</v>
      </c>
      <c r="M1661" s="14">
        <f>VLOOKUP(B1661,Customers!$A$1:$E$2501,4,0)</f>
        <v>82</v>
      </c>
    </row>
    <row r="1662" spans="1:13" x14ac:dyDescent="0.3">
      <c r="A1662">
        <v>1101866</v>
      </c>
      <c r="B1662">
        <v>986</v>
      </c>
      <c r="C1662" s="1" t="s">
        <v>100</v>
      </c>
      <c r="D1662" s="7">
        <v>45094</v>
      </c>
      <c r="E1662" s="11">
        <v>36526</v>
      </c>
      <c r="F1662" s="15">
        <f t="shared" si="75"/>
        <v>6</v>
      </c>
      <c r="G1662" s="10" t="str">
        <f t="shared" si="76"/>
        <v>Saturday</v>
      </c>
      <c r="H1662" s="9" t="str">
        <f t="shared" si="77"/>
        <v>June</v>
      </c>
      <c r="I1662" t="s">
        <v>97</v>
      </c>
      <c r="J1662" t="s">
        <v>14</v>
      </c>
      <c r="K1662">
        <v>9741</v>
      </c>
      <c r="L1662" s="5" t="str">
        <f>IF(OR(K1662&lt;Answers!$C$16,Orders!K1662&gt;Answers!$C$17),"Yes","No")</f>
        <v>No</v>
      </c>
      <c r="M1662" s="14">
        <f>VLOOKUP(B1662,Customers!$A$1:$E$2501,4,0)</f>
        <v>44</v>
      </c>
    </row>
    <row r="1663" spans="1:13" x14ac:dyDescent="0.3">
      <c r="A1663">
        <v>1102470</v>
      </c>
      <c r="B1663">
        <v>1686</v>
      </c>
      <c r="C1663" s="1" t="s">
        <v>99</v>
      </c>
      <c r="D1663" s="7">
        <v>44973</v>
      </c>
      <c r="E1663" s="11">
        <v>0.48472222222222222</v>
      </c>
      <c r="F1663" s="15">
        <f t="shared" si="75"/>
        <v>2</v>
      </c>
      <c r="G1663" s="10" t="str">
        <f t="shared" si="76"/>
        <v>Thursday</v>
      </c>
      <c r="H1663" s="9" t="str">
        <f t="shared" si="77"/>
        <v>February</v>
      </c>
      <c r="I1663" t="s">
        <v>190</v>
      </c>
      <c r="J1663" t="s">
        <v>27</v>
      </c>
      <c r="K1663">
        <v>7654</v>
      </c>
      <c r="L1663" s="5" t="str">
        <f>IF(OR(K1663&lt;Answers!$C$16,Orders!K1663&gt;Answers!$C$17),"Yes","No")</f>
        <v>No</v>
      </c>
      <c r="M1663" s="14">
        <f>VLOOKUP(B1663,Customers!$A$1:$E$2501,4,0)</f>
        <v>53</v>
      </c>
    </row>
    <row r="1664" spans="1:13" x14ac:dyDescent="0.3">
      <c r="A1664">
        <v>1102591</v>
      </c>
      <c r="B1664">
        <v>874</v>
      </c>
      <c r="C1664" s="1" t="s">
        <v>98</v>
      </c>
      <c r="D1664" s="7">
        <v>45170</v>
      </c>
      <c r="E1664" s="11">
        <v>9.7222222222222224E-2</v>
      </c>
      <c r="F1664" s="15">
        <f t="shared" si="75"/>
        <v>9</v>
      </c>
      <c r="G1664" s="10" t="str">
        <f t="shared" si="76"/>
        <v>Friday</v>
      </c>
      <c r="H1664" s="9" t="str">
        <f t="shared" si="77"/>
        <v>September</v>
      </c>
      <c r="I1664" t="s">
        <v>96</v>
      </c>
      <c r="J1664" t="s">
        <v>28</v>
      </c>
      <c r="K1664">
        <v>8227</v>
      </c>
      <c r="L1664" s="5" t="str">
        <f>IF(OR(K1664&lt;Answers!$C$16,Orders!K1664&gt;Answers!$C$17),"Yes","No")</f>
        <v>No</v>
      </c>
      <c r="M1664" s="14">
        <f>VLOOKUP(B1664,Customers!$A$1:$E$2501,4,0)</f>
        <v>40</v>
      </c>
    </row>
    <row r="1665" spans="1:13" x14ac:dyDescent="0.3">
      <c r="A1665">
        <v>1102910</v>
      </c>
      <c r="B1665">
        <v>347</v>
      </c>
      <c r="C1665" s="1" t="s">
        <v>107</v>
      </c>
      <c r="D1665" s="7">
        <v>45232</v>
      </c>
      <c r="E1665" s="11">
        <v>0.48819444444444443</v>
      </c>
      <c r="F1665" s="15">
        <f t="shared" si="75"/>
        <v>11</v>
      </c>
      <c r="G1665" s="10" t="str">
        <f t="shared" si="76"/>
        <v>Thursday</v>
      </c>
      <c r="H1665" s="9" t="str">
        <f t="shared" si="77"/>
        <v>November</v>
      </c>
      <c r="I1665" t="s">
        <v>95</v>
      </c>
      <c r="J1665" t="s">
        <v>26</v>
      </c>
      <c r="K1665">
        <v>5043</v>
      </c>
      <c r="L1665" s="5" t="str">
        <f>IF(OR(K1665&lt;Answers!$C$16,Orders!K1665&gt;Answers!$C$17),"Yes","No")</f>
        <v>No</v>
      </c>
      <c r="M1665" s="14">
        <f>VLOOKUP(B1665,Customers!$A$1:$E$2501,4,0)</f>
        <v>59</v>
      </c>
    </row>
    <row r="1666" spans="1:13" x14ac:dyDescent="0.3">
      <c r="A1666">
        <v>1103132</v>
      </c>
      <c r="B1666">
        <v>213</v>
      </c>
      <c r="C1666" s="1" t="s">
        <v>98</v>
      </c>
      <c r="D1666" s="7">
        <v>45227</v>
      </c>
      <c r="E1666" s="11">
        <v>0.51875000000000004</v>
      </c>
      <c r="F1666" s="15">
        <f t="shared" si="75"/>
        <v>10</v>
      </c>
      <c r="G1666" s="10" t="str">
        <f t="shared" si="76"/>
        <v>Saturday</v>
      </c>
      <c r="H1666" s="9" t="str">
        <f t="shared" si="77"/>
        <v>October</v>
      </c>
      <c r="I1666" t="s">
        <v>190</v>
      </c>
      <c r="J1666" t="s">
        <v>42</v>
      </c>
      <c r="K1666">
        <v>2021</v>
      </c>
      <c r="L1666" s="5" t="str">
        <f>IF(OR(K1666&lt;Answers!$C$16,Orders!K1666&gt;Answers!$C$17),"Yes","No")</f>
        <v>No</v>
      </c>
      <c r="M1666" s="14">
        <f>VLOOKUP(B1666,Customers!$A$1:$E$2501,4,0)</f>
        <v>52</v>
      </c>
    </row>
    <row r="1667" spans="1:13" x14ac:dyDescent="0.3">
      <c r="A1667">
        <v>1103298</v>
      </c>
      <c r="B1667">
        <v>1505</v>
      </c>
      <c r="C1667" s="1" t="s">
        <v>98</v>
      </c>
      <c r="D1667" s="7">
        <v>45291</v>
      </c>
      <c r="E1667" s="11">
        <v>0.52708333333333335</v>
      </c>
      <c r="F1667" s="15">
        <f t="shared" ref="F1667:F1730" si="78">MONTH(D1667)</f>
        <v>12</v>
      </c>
      <c r="G1667" s="10" t="str">
        <f t="shared" ref="G1667:G1730" si="79">TEXT(D1667,"dddd")</f>
        <v>Sunday</v>
      </c>
      <c r="H1667" s="9" t="str">
        <f t="shared" ref="H1667:H1730" si="80">TEXT(D1667,"mmmm")</f>
        <v>December</v>
      </c>
      <c r="I1667" t="s">
        <v>97</v>
      </c>
      <c r="J1667" t="s">
        <v>42</v>
      </c>
      <c r="K1667">
        <v>1147</v>
      </c>
      <c r="L1667" s="5" t="str">
        <f>IF(OR(K1667&lt;Answers!$C$16,Orders!K1667&gt;Answers!$C$17),"Yes","No")</f>
        <v>No</v>
      </c>
      <c r="M1667" s="14">
        <f>VLOOKUP(B1667,Customers!$A$1:$E$2501,4,0)</f>
        <v>48</v>
      </c>
    </row>
    <row r="1668" spans="1:13" x14ac:dyDescent="0.3">
      <c r="A1668">
        <v>1104089</v>
      </c>
      <c r="B1668">
        <v>1775</v>
      </c>
      <c r="C1668" s="1" t="s">
        <v>98</v>
      </c>
      <c r="D1668" s="7">
        <v>45108</v>
      </c>
      <c r="E1668" s="11">
        <v>7.2916666666666671E-2</v>
      </c>
      <c r="F1668" s="15">
        <f t="shared" si="78"/>
        <v>7</v>
      </c>
      <c r="G1668" s="10" t="str">
        <f t="shared" si="79"/>
        <v>Saturday</v>
      </c>
      <c r="H1668" s="9" t="str">
        <f t="shared" si="80"/>
        <v>July</v>
      </c>
      <c r="I1668" t="s">
        <v>190</v>
      </c>
      <c r="J1668" t="s">
        <v>26</v>
      </c>
      <c r="K1668">
        <v>6964</v>
      </c>
      <c r="L1668" s="5" t="str">
        <f>IF(OR(K1668&lt;Answers!$C$16,Orders!K1668&gt;Answers!$C$17),"Yes","No")</f>
        <v>No</v>
      </c>
      <c r="M1668" s="14">
        <f>VLOOKUP(B1668,Customers!$A$1:$E$2501,4,0)</f>
        <v>42</v>
      </c>
    </row>
    <row r="1669" spans="1:13" x14ac:dyDescent="0.3">
      <c r="A1669">
        <v>1104509</v>
      </c>
      <c r="B1669">
        <v>20</v>
      </c>
      <c r="C1669" s="1" t="s">
        <v>98</v>
      </c>
      <c r="D1669" s="7">
        <v>45073</v>
      </c>
      <c r="E1669" s="11">
        <v>5.9722222222222225E-2</v>
      </c>
      <c r="F1669" s="15">
        <f t="shared" si="78"/>
        <v>5</v>
      </c>
      <c r="G1669" s="10" t="str">
        <f t="shared" si="79"/>
        <v>Saturday</v>
      </c>
      <c r="H1669" s="9" t="str">
        <f t="shared" si="80"/>
        <v>May</v>
      </c>
      <c r="I1669" t="s">
        <v>95</v>
      </c>
      <c r="J1669" t="s">
        <v>17</v>
      </c>
      <c r="K1669">
        <v>5599</v>
      </c>
      <c r="L1669" s="5" t="str">
        <f>IF(OR(K1669&lt;Answers!$C$16,Orders!K1669&gt;Answers!$C$17),"Yes","No")</f>
        <v>No</v>
      </c>
      <c r="M1669" s="14">
        <f>VLOOKUP(B1669,Customers!$A$1:$E$2501,4,0)</f>
        <v>38</v>
      </c>
    </row>
    <row r="1670" spans="1:13" x14ac:dyDescent="0.3">
      <c r="A1670">
        <v>1104723</v>
      </c>
      <c r="B1670">
        <v>584</v>
      </c>
      <c r="C1670" s="1" t="s">
        <v>98</v>
      </c>
      <c r="D1670" s="7">
        <v>44952</v>
      </c>
      <c r="E1670" s="11">
        <v>0.4861111111111111</v>
      </c>
      <c r="F1670" s="15">
        <f t="shared" si="78"/>
        <v>1</v>
      </c>
      <c r="G1670" s="10" t="str">
        <f t="shared" si="79"/>
        <v>Thursday</v>
      </c>
      <c r="H1670" s="9" t="str">
        <f t="shared" si="80"/>
        <v>January</v>
      </c>
      <c r="I1670" t="s">
        <v>97</v>
      </c>
      <c r="J1670" t="s">
        <v>69</v>
      </c>
      <c r="K1670">
        <v>1066</v>
      </c>
      <c r="L1670" s="5" t="str">
        <f>IF(OR(K1670&lt;Answers!$C$16,Orders!K1670&gt;Answers!$C$17),"Yes","No")</f>
        <v>No</v>
      </c>
      <c r="M1670" s="14">
        <f>VLOOKUP(B1670,Customers!$A$1:$E$2501,4,0)</f>
        <v>70</v>
      </c>
    </row>
    <row r="1671" spans="1:13" x14ac:dyDescent="0.3">
      <c r="A1671">
        <v>1105163</v>
      </c>
      <c r="B1671">
        <v>1591</v>
      </c>
      <c r="C1671" s="1" t="s">
        <v>98</v>
      </c>
      <c r="D1671" s="7">
        <v>45042</v>
      </c>
      <c r="E1671" s="11">
        <v>5.8333333333333334E-2</v>
      </c>
      <c r="F1671" s="15">
        <f t="shared" si="78"/>
        <v>4</v>
      </c>
      <c r="G1671" s="10" t="str">
        <f t="shared" si="79"/>
        <v>Wednesday</v>
      </c>
      <c r="H1671" s="9" t="str">
        <f t="shared" si="80"/>
        <v>April</v>
      </c>
      <c r="I1671" t="s">
        <v>95</v>
      </c>
      <c r="J1671" t="s">
        <v>4</v>
      </c>
      <c r="K1671">
        <v>9903</v>
      </c>
      <c r="L1671" s="5" t="str">
        <f>IF(OR(K1671&lt;Answers!$C$16,Orders!K1671&gt;Answers!$C$17),"Yes","No")</f>
        <v>No</v>
      </c>
      <c r="M1671" s="14">
        <f>VLOOKUP(B1671,Customers!$A$1:$E$2501,4,0)</f>
        <v>61</v>
      </c>
    </row>
    <row r="1672" spans="1:13" x14ac:dyDescent="0.3">
      <c r="A1672">
        <v>1105875</v>
      </c>
      <c r="B1672">
        <v>1722</v>
      </c>
      <c r="C1672" s="1" t="s">
        <v>98</v>
      </c>
      <c r="D1672" s="7">
        <v>45275</v>
      </c>
      <c r="E1672" s="11">
        <v>0.47638888888888886</v>
      </c>
      <c r="F1672" s="15">
        <f t="shared" si="78"/>
        <v>12</v>
      </c>
      <c r="G1672" s="10" t="str">
        <f t="shared" si="79"/>
        <v>Friday</v>
      </c>
      <c r="H1672" s="9" t="str">
        <f t="shared" si="80"/>
        <v>December</v>
      </c>
      <c r="I1672" t="s">
        <v>190</v>
      </c>
      <c r="J1672" t="s">
        <v>42</v>
      </c>
      <c r="K1672">
        <v>4863</v>
      </c>
      <c r="L1672" s="5" t="str">
        <f>IF(OR(K1672&lt;Answers!$C$16,Orders!K1672&gt;Answers!$C$17),"Yes","No")</f>
        <v>No</v>
      </c>
      <c r="M1672" s="14">
        <f>VLOOKUP(B1672,Customers!$A$1:$E$2501,4,0)</f>
        <v>46</v>
      </c>
    </row>
    <row r="1673" spans="1:13" x14ac:dyDescent="0.3">
      <c r="A1673">
        <v>1106456</v>
      </c>
      <c r="B1673">
        <v>378</v>
      </c>
      <c r="C1673" s="1" t="s">
        <v>109</v>
      </c>
      <c r="D1673" s="7">
        <v>45141</v>
      </c>
      <c r="E1673" s="11">
        <v>0.45277777777777778</v>
      </c>
      <c r="F1673" s="15">
        <f t="shared" si="78"/>
        <v>8</v>
      </c>
      <c r="G1673" s="10" t="str">
        <f t="shared" si="79"/>
        <v>Thursday</v>
      </c>
      <c r="H1673" s="9" t="str">
        <f t="shared" si="80"/>
        <v>August</v>
      </c>
      <c r="I1673" t="s">
        <v>95</v>
      </c>
      <c r="J1673" t="s">
        <v>6</v>
      </c>
      <c r="K1673">
        <v>9636</v>
      </c>
      <c r="L1673" s="5" t="str">
        <f>IF(OR(K1673&lt;Answers!$C$16,Orders!K1673&gt;Answers!$C$17),"Yes","No")</f>
        <v>No</v>
      </c>
      <c r="M1673" s="14">
        <f>VLOOKUP(B1673,Customers!$A$1:$E$2501,4,0)</f>
        <v>69</v>
      </c>
    </row>
    <row r="1674" spans="1:13" x14ac:dyDescent="0.3">
      <c r="A1674">
        <v>1107821</v>
      </c>
      <c r="B1674">
        <v>581</v>
      </c>
      <c r="C1674" s="1" t="s">
        <v>98</v>
      </c>
      <c r="D1674" s="7">
        <v>45217</v>
      </c>
      <c r="E1674" s="11">
        <v>0.51736111111111116</v>
      </c>
      <c r="F1674" s="15">
        <f t="shared" si="78"/>
        <v>10</v>
      </c>
      <c r="G1674" s="10" t="str">
        <f t="shared" si="79"/>
        <v>Wednesday</v>
      </c>
      <c r="H1674" s="9" t="str">
        <f t="shared" si="80"/>
        <v>October</v>
      </c>
      <c r="I1674" t="s">
        <v>97</v>
      </c>
      <c r="J1674" t="s">
        <v>7</v>
      </c>
      <c r="K1674">
        <v>3452</v>
      </c>
      <c r="L1674" s="5" t="str">
        <f>IF(OR(K1674&lt;Answers!$C$16,Orders!K1674&gt;Answers!$C$17),"Yes","No")</f>
        <v>No</v>
      </c>
      <c r="M1674" s="14">
        <f>VLOOKUP(B1674,Customers!$A$1:$E$2501,4,0)</f>
        <v>53</v>
      </c>
    </row>
    <row r="1675" spans="1:13" x14ac:dyDescent="0.3">
      <c r="A1675">
        <v>1107986</v>
      </c>
      <c r="B1675">
        <v>632</v>
      </c>
      <c r="C1675" s="1" t="s">
        <v>98</v>
      </c>
      <c r="D1675" s="7">
        <v>45187</v>
      </c>
      <c r="E1675" s="11">
        <v>0.52083333333333337</v>
      </c>
      <c r="F1675" s="15">
        <f t="shared" si="78"/>
        <v>9</v>
      </c>
      <c r="G1675" s="10" t="str">
        <f t="shared" si="79"/>
        <v>Monday</v>
      </c>
      <c r="H1675" s="9" t="str">
        <f t="shared" si="80"/>
        <v>September</v>
      </c>
      <c r="I1675" t="s">
        <v>95</v>
      </c>
      <c r="J1675" t="s">
        <v>45</v>
      </c>
      <c r="K1675">
        <v>384</v>
      </c>
      <c r="L1675" s="5" t="str">
        <f>IF(OR(K1675&lt;Answers!$C$16,Orders!K1675&gt;Answers!$C$17),"Yes","No")</f>
        <v>No</v>
      </c>
      <c r="M1675" s="14">
        <f>VLOOKUP(B1675,Customers!$A$1:$E$2501,4,0)</f>
        <v>67</v>
      </c>
    </row>
    <row r="1676" spans="1:13" x14ac:dyDescent="0.3">
      <c r="A1676">
        <v>1108968</v>
      </c>
      <c r="B1676">
        <v>255</v>
      </c>
      <c r="C1676" s="1" t="s">
        <v>106</v>
      </c>
      <c r="D1676" s="7">
        <v>45244</v>
      </c>
      <c r="E1676" s="11">
        <v>36861</v>
      </c>
      <c r="F1676" s="15">
        <f t="shared" si="78"/>
        <v>11</v>
      </c>
      <c r="G1676" s="10" t="str">
        <f t="shared" si="79"/>
        <v>Tuesday</v>
      </c>
      <c r="H1676" s="9" t="str">
        <f t="shared" si="80"/>
        <v>November</v>
      </c>
      <c r="I1676" t="s">
        <v>96</v>
      </c>
      <c r="J1676" t="s">
        <v>9</v>
      </c>
      <c r="K1676">
        <v>2300</v>
      </c>
      <c r="L1676" s="5" t="str">
        <f>IF(OR(K1676&lt;Answers!$C$16,Orders!K1676&gt;Answers!$C$17),"Yes","No")</f>
        <v>No</v>
      </c>
      <c r="M1676" s="14">
        <f>VLOOKUP(B1676,Customers!$A$1:$E$2501,4,0)</f>
        <v>62</v>
      </c>
    </row>
    <row r="1677" spans="1:13" x14ac:dyDescent="0.3">
      <c r="A1677">
        <v>1110547</v>
      </c>
      <c r="B1677">
        <v>1438</v>
      </c>
      <c r="C1677" s="1" t="s">
        <v>105</v>
      </c>
      <c r="D1677" s="7">
        <v>44971</v>
      </c>
      <c r="E1677" s="11">
        <v>0.4548611111111111</v>
      </c>
      <c r="F1677" s="15">
        <f t="shared" si="78"/>
        <v>2</v>
      </c>
      <c r="G1677" s="10" t="str">
        <f t="shared" si="79"/>
        <v>Tuesday</v>
      </c>
      <c r="H1677" s="9" t="str">
        <f t="shared" si="80"/>
        <v>February</v>
      </c>
      <c r="I1677" t="s">
        <v>190</v>
      </c>
      <c r="J1677" t="s">
        <v>26</v>
      </c>
      <c r="K1677">
        <v>8840</v>
      </c>
      <c r="L1677" s="5" t="str">
        <f>IF(OR(K1677&lt;Answers!$C$16,Orders!K1677&gt;Answers!$C$17),"Yes","No")</f>
        <v>No</v>
      </c>
      <c r="M1677" s="14">
        <f>VLOOKUP(B1677,Customers!$A$1:$E$2501,4,0)</f>
        <v>35</v>
      </c>
    </row>
    <row r="1678" spans="1:13" x14ac:dyDescent="0.3">
      <c r="A1678">
        <v>1111675</v>
      </c>
      <c r="B1678">
        <v>665</v>
      </c>
      <c r="C1678" s="1" t="s">
        <v>99</v>
      </c>
      <c r="D1678" s="7">
        <v>44983</v>
      </c>
      <c r="E1678" s="11">
        <v>0.48333333333333334</v>
      </c>
      <c r="F1678" s="15">
        <f t="shared" si="78"/>
        <v>2</v>
      </c>
      <c r="G1678" s="10" t="str">
        <f t="shared" si="79"/>
        <v>Sunday</v>
      </c>
      <c r="H1678" s="9" t="str">
        <f t="shared" si="80"/>
        <v>February</v>
      </c>
      <c r="I1678" t="s">
        <v>95</v>
      </c>
      <c r="J1678" t="s">
        <v>12</v>
      </c>
      <c r="K1678">
        <v>5031</v>
      </c>
      <c r="L1678" s="5" t="str">
        <f>IF(OR(K1678&lt;Answers!$C$16,Orders!K1678&gt;Answers!$C$17),"Yes","No")</f>
        <v>No</v>
      </c>
      <c r="M1678" s="14">
        <f>VLOOKUP(B1678,Customers!$A$1:$E$2501,4,0)</f>
        <v>42</v>
      </c>
    </row>
    <row r="1679" spans="1:13" x14ac:dyDescent="0.3">
      <c r="A1679">
        <v>1112646</v>
      </c>
      <c r="B1679">
        <v>1355</v>
      </c>
      <c r="C1679" s="1" t="s">
        <v>104</v>
      </c>
      <c r="D1679" s="7">
        <v>45196</v>
      </c>
      <c r="E1679" s="11">
        <v>0.51875000000000004</v>
      </c>
      <c r="F1679" s="15">
        <f t="shared" si="78"/>
        <v>9</v>
      </c>
      <c r="G1679" s="10" t="str">
        <f t="shared" si="79"/>
        <v>Wednesday</v>
      </c>
      <c r="H1679" s="9" t="str">
        <f t="shared" si="80"/>
        <v>September</v>
      </c>
      <c r="I1679" t="s">
        <v>190</v>
      </c>
      <c r="J1679" t="s">
        <v>9</v>
      </c>
      <c r="K1679">
        <v>8949</v>
      </c>
      <c r="L1679" s="5" t="str">
        <f>IF(OR(K1679&lt;Answers!$C$16,Orders!K1679&gt;Answers!$C$17),"Yes","No")</f>
        <v>No</v>
      </c>
      <c r="M1679" s="14">
        <f>VLOOKUP(B1679,Customers!$A$1:$E$2501,4,0)</f>
        <v>83</v>
      </c>
    </row>
    <row r="1680" spans="1:13" x14ac:dyDescent="0.3">
      <c r="A1680">
        <v>1114314</v>
      </c>
      <c r="B1680">
        <v>1192</v>
      </c>
      <c r="C1680" s="1" t="s">
        <v>98</v>
      </c>
      <c r="D1680" s="7">
        <v>45017</v>
      </c>
      <c r="E1680" s="11">
        <v>0.53888888888888886</v>
      </c>
      <c r="F1680" s="15">
        <f t="shared" si="78"/>
        <v>4</v>
      </c>
      <c r="G1680" s="10" t="str">
        <f t="shared" si="79"/>
        <v>Saturday</v>
      </c>
      <c r="H1680" s="9" t="str">
        <f t="shared" si="80"/>
        <v>April</v>
      </c>
      <c r="I1680" t="s">
        <v>95</v>
      </c>
      <c r="J1680" t="s">
        <v>14</v>
      </c>
      <c r="K1680">
        <v>3962</v>
      </c>
      <c r="L1680" s="5" t="str">
        <f>IF(OR(K1680&lt;Answers!$C$16,Orders!K1680&gt;Answers!$C$17),"Yes","No")</f>
        <v>No</v>
      </c>
      <c r="M1680" s="14">
        <f>VLOOKUP(B1680,Customers!$A$1:$E$2501,4,0)</f>
        <v>87</v>
      </c>
    </row>
    <row r="1681" spans="1:13" x14ac:dyDescent="0.3">
      <c r="A1681">
        <v>1115197</v>
      </c>
      <c r="B1681">
        <v>1108</v>
      </c>
      <c r="C1681" s="1" t="s">
        <v>112</v>
      </c>
      <c r="D1681" s="7">
        <v>45136</v>
      </c>
      <c r="E1681" s="11">
        <v>36568</v>
      </c>
      <c r="F1681" s="15">
        <f t="shared" si="78"/>
        <v>7</v>
      </c>
      <c r="G1681" s="10" t="str">
        <f t="shared" si="79"/>
        <v>Saturday</v>
      </c>
      <c r="H1681" s="9" t="str">
        <f t="shared" si="80"/>
        <v>July</v>
      </c>
      <c r="I1681" t="s">
        <v>97</v>
      </c>
      <c r="J1681" t="s">
        <v>12</v>
      </c>
      <c r="K1681">
        <v>1278</v>
      </c>
      <c r="L1681" s="5" t="str">
        <f>IF(OR(K1681&lt;Answers!$C$16,Orders!K1681&gt;Answers!$C$17),"Yes","No")</f>
        <v>No</v>
      </c>
      <c r="M1681" s="14">
        <f>VLOOKUP(B1681,Customers!$A$1:$E$2501,4,0)</f>
        <v>47</v>
      </c>
    </row>
    <row r="1682" spans="1:13" x14ac:dyDescent="0.3">
      <c r="A1682">
        <v>1115208</v>
      </c>
      <c r="B1682">
        <v>1777</v>
      </c>
      <c r="C1682" s="1" t="s">
        <v>98</v>
      </c>
      <c r="D1682" s="7">
        <v>45000</v>
      </c>
      <c r="E1682" s="11">
        <v>0.44374999999999998</v>
      </c>
      <c r="F1682" s="15">
        <f t="shared" si="78"/>
        <v>3</v>
      </c>
      <c r="G1682" s="10" t="str">
        <f t="shared" si="79"/>
        <v>Wednesday</v>
      </c>
      <c r="H1682" s="9" t="str">
        <f t="shared" si="80"/>
        <v>March</v>
      </c>
      <c r="I1682" t="s">
        <v>190</v>
      </c>
      <c r="J1682" t="s">
        <v>61</v>
      </c>
      <c r="K1682">
        <v>1807</v>
      </c>
      <c r="L1682" s="5" t="str">
        <f>IF(OR(K1682&lt;Answers!$C$16,Orders!K1682&gt;Answers!$C$17),"Yes","No")</f>
        <v>No</v>
      </c>
      <c r="M1682" s="14">
        <f>VLOOKUP(B1682,Customers!$A$1:$E$2501,4,0)</f>
        <v>58</v>
      </c>
    </row>
    <row r="1683" spans="1:13" x14ac:dyDescent="0.3">
      <c r="A1683">
        <v>1115751</v>
      </c>
      <c r="B1683">
        <v>587</v>
      </c>
      <c r="C1683" s="1" t="s">
        <v>98</v>
      </c>
      <c r="D1683" s="7">
        <v>45083</v>
      </c>
      <c r="E1683" s="11">
        <v>0.49166666666666664</v>
      </c>
      <c r="F1683" s="15">
        <f t="shared" si="78"/>
        <v>6</v>
      </c>
      <c r="G1683" s="10" t="str">
        <f t="shared" si="79"/>
        <v>Tuesday</v>
      </c>
      <c r="H1683" s="9" t="str">
        <f t="shared" si="80"/>
        <v>June</v>
      </c>
      <c r="I1683" t="s">
        <v>190</v>
      </c>
      <c r="J1683" t="s">
        <v>74</v>
      </c>
      <c r="K1683">
        <v>3833</v>
      </c>
      <c r="L1683" s="5" t="str">
        <f>IF(OR(K1683&lt;Answers!$C$16,Orders!K1683&gt;Answers!$C$17),"Yes","No")</f>
        <v>No</v>
      </c>
      <c r="M1683" s="14">
        <f>VLOOKUP(B1683,Customers!$A$1:$E$2501,4,0)</f>
        <v>51</v>
      </c>
    </row>
    <row r="1684" spans="1:13" x14ac:dyDescent="0.3">
      <c r="A1684">
        <v>1115759</v>
      </c>
      <c r="B1684">
        <v>378</v>
      </c>
      <c r="C1684" s="1" t="s">
        <v>109</v>
      </c>
      <c r="D1684" s="7">
        <v>44967</v>
      </c>
      <c r="E1684" s="11">
        <v>36689</v>
      </c>
      <c r="F1684" s="15">
        <f t="shared" si="78"/>
        <v>2</v>
      </c>
      <c r="G1684" s="10" t="str">
        <f t="shared" si="79"/>
        <v>Friday</v>
      </c>
      <c r="H1684" s="9" t="str">
        <f t="shared" si="80"/>
        <v>February</v>
      </c>
      <c r="I1684" t="s">
        <v>97</v>
      </c>
      <c r="J1684" t="s">
        <v>18</v>
      </c>
      <c r="K1684">
        <v>6504</v>
      </c>
      <c r="L1684" s="5" t="str">
        <f>IF(OR(K1684&lt;Answers!$C$16,Orders!K1684&gt;Answers!$C$17),"Yes","No")</f>
        <v>No</v>
      </c>
      <c r="M1684" s="14">
        <f>VLOOKUP(B1684,Customers!$A$1:$E$2501,4,0)</f>
        <v>69</v>
      </c>
    </row>
    <row r="1685" spans="1:13" x14ac:dyDescent="0.3">
      <c r="A1685">
        <v>1118626</v>
      </c>
      <c r="B1685">
        <v>1552</v>
      </c>
      <c r="C1685" s="1" t="s">
        <v>106</v>
      </c>
      <c r="D1685" s="7">
        <v>45272</v>
      </c>
      <c r="E1685" s="11">
        <v>6.7361111111111108E-2</v>
      </c>
      <c r="F1685" s="15">
        <f t="shared" si="78"/>
        <v>12</v>
      </c>
      <c r="G1685" s="10" t="str">
        <f t="shared" si="79"/>
        <v>Tuesday</v>
      </c>
      <c r="H1685" s="9" t="str">
        <f t="shared" si="80"/>
        <v>December</v>
      </c>
      <c r="I1685" t="s">
        <v>97</v>
      </c>
      <c r="J1685" t="s">
        <v>19</v>
      </c>
      <c r="K1685">
        <v>1623</v>
      </c>
      <c r="L1685" s="5" t="str">
        <f>IF(OR(K1685&lt;Answers!$C$16,Orders!K1685&gt;Answers!$C$17),"Yes","No")</f>
        <v>No</v>
      </c>
      <c r="M1685" s="14">
        <f>VLOOKUP(B1685,Customers!$A$1:$E$2501,4,0)</f>
        <v>37</v>
      </c>
    </row>
    <row r="1686" spans="1:13" x14ac:dyDescent="0.3">
      <c r="A1686">
        <v>1119156</v>
      </c>
      <c r="B1686">
        <v>837</v>
      </c>
      <c r="C1686" s="1" t="s">
        <v>100</v>
      </c>
      <c r="D1686" s="7">
        <v>45285</v>
      </c>
      <c r="E1686" s="11">
        <v>5.9027777777777776E-2</v>
      </c>
      <c r="F1686" s="15">
        <f t="shared" si="78"/>
        <v>12</v>
      </c>
      <c r="G1686" s="10" t="str">
        <f t="shared" si="79"/>
        <v>Monday</v>
      </c>
      <c r="H1686" s="9" t="str">
        <f t="shared" si="80"/>
        <v>December</v>
      </c>
      <c r="I1686" t="s">
        <v>96</v>
      </c>
      <c r="J1686" t="s">
        <v>20</v>
      </c>
      <c r="K1686">
        <v>2932</v>
      </c>
      <c r="L1686" s="5" t="str">
        <f>IF(OR(K1686&lt;Answers!$C$16,Orders!K1686&gt;Answers!$C$17),"Yes","No")</f>
        <v>No</v>
      </c>
      <c r="M1686" s="14">
        <f>VLOOKUP(B1686,Customers!$A$1:$E$2501,4,0)</f>
        <v>55</v>
      </c>
    </row>
    <row r="1687" spans="1:13" x14ac:dyDescent="0.3">
      <c r="A1687">
        <v>1119400</v>
      </c>
      <c r="B1687">
        <v>1428</v>
      </c>
      <c r="C1687" s="1" t="s">
        <v>99</v>
      </c>
      <c r="D1687" s="7">
        <v>45084</v>
      </c>
      <c r="E1687" s="11">
        <v>36749</v>
      </c>
      <c r="F1687" s="15">
        <f t="shared" si="78"/>
        <v>6</v>
      </c>
      <c r="G1687" s="10" t="str">
        <f t="shared" si="79"/>
        <v>Wednesday</v>
      </c>
      <c r="H1687" s="9" t="str">
        <f t="shared" si="80"/>
        <v>June</v>
      </c>
      <c r="I1687" t="s">
        <v>190</v>
      </c>
      <c r="J1687" t="s">
        <v>82</v>
      </c>
      <c r="K1687">
        <v>1558</v>
      </c>
      <c r="L1687" s="5" t="str">
        <f>IF(OR(K1687&lt;Answers!$C$16,Orders!K1687&gt;Answers!$C$17),"Yes","No")</f>
        <v>No</v>
      </c>
      <c r="M1687" s="14">
        <f>VLOOKUP(B1687,Customers!$A$1:$E$2501,4,0)</f>
        <v>57</v>
      </c>
    </row>
    <row r="1688" spans="1:13" x14ac:dyDescent="0.3">
      <c r="A1688">
        <v>1121011</v>
      </c>
      <c r="B1688">
        <v>1757</v>
      </c>
      <c r="C1688" s="1" t="s">
        <v>104</v>
      </c>
      <c r="D1688" s="7">
        <v>45202</v>
      </c>
      <c r="E1688" s="11">
        <v>36557</v>
      </c>
      <c r="F1688" s="15">
        <f t="shared" si="78"/>
        <v>10</v>
      </c>
      <c r="G1688" s="10" t="str">
        <f t="shared" si="79"/>
        <v>Tuesday</v>
      </c>
      <c r="H1688" s="9" t="str">
        <f t="shared" si="80"/>
        <v>October</v>
      </c>
      <c r="I1688" t="s">
        <v>95</v>
      </c>
      <c r="J1688" t="s">
        <v>69</v>
      </c>
      <c r="K1688">
        <v>1675</v>
      </c>
      <c r="L1688" s="5" t="str">
        <f>IF(OR(K1688&lt;Answers!$C$16,Orders!K1688&gt;Answers!$C$17),"Yes","No")</f>
        <v>No</v>
      </c>
      <c r="M1688" s="14">
        <f>VLOOKUP(B1688,Customers!$A$1:$E$2501,4,0)</f>
        <v>20</v>
      </c>
    </row>
    <row r="1689" spans="1:13" x14ac:dyDescent="0.3">
      <c r="A1689">
        <v>1122327</v>
      </c>
      <c r="B1689">
        <v>1295</v>
      </c>
      <c r="C1689" s="1" t="s">
        <v>101</v>
      </c>
      <c r="D1689" s="7">
        <v>45140</v>
      </c>
      <c r="E1689" s="11">
        <v>0.19722222222222222</v>
      </c>
      <c r="F1689" s="15">
        <f t="shared" si="78"/>
        <v>8</v>
      </c>
      <c r="G1689" s="10" t="str">
        <f t="shared" si="79"/>
        <v>Wednesday</v>
      </c>
      <c r="H1689" s="9" t="str">
        <f t="shared" si="80"/>
        <v>August</v>
      </c>
      <c r="I1689" t="s">
        <v>96</v>
      </c>
      <c r="J1689" t="s">
        <v>22</v>
      </c>
      <c r="K1689">
        <v>6240</v>
      </c>
      <c r="L1689" s="5" t="str">
        <f>IF(OR(K1689&lt;Answers!$C$16,Orders!K1689&gt;Answers!$C$17),"Yes","No")</f>
        <v>No</v>
      </c>
      <c r="M1689" s="14">
        <f>VLOOKUP(B1689,Customers!$A$1:$E$2501,4,0)</f>
        <v>86</v>
      </c>
    </row>
    <row r="1690" spans="1:13" x14ac:dyDescent="0.3">
      <c r="A1690">
        <v>1123688</v>
      </c>
      <c r="B1690">
        <v>66</v>
      </c>
      <c r="C1690" s="1" t="s">
        <v>100</v>
      </c>
      <c r="D1690" s="7">
        <v>45041</v>
      </c>
      <c r="E1690" s="11">
        <v>36708</v>
      </c>
      <c r="F1690" s="15">
        <f t="shared" si="78"/>
        <v>4</v>
      </c>
      <c r="G1690" s="10" t="str">
        <f t="shared" si="79"/>
        <v>Tuesday</v>
      </c>
      <c r="H1690" s="9" t="str">
        <f t="shared" si="80"/>
        <v>April</v>
      </c>
      <c r="I1690" t="s">
        <v>97</v>
      </c>
      <c r="J1690" t="s">
        <v>26</v>
      </c>
      <c r="K1690">
        <v>1398</v>
      </c>
      <c r="L1690" s="5" t="str">
        <f>IF(OR(K1690&lt;Answers!$C$16,Orders!K1690&gt;Answers!$C$17),"Yes","No")</f>
        <v>No</v>
      </c>
      <c r="M1690" s="14">
        <f>VLOOKUP(B1690,Customers!$A$1:$E$2501,4,0)</f>
        <v>30</v>
      </c>
    </row>
    <row r="1691" spans="1:13" x14ac:dyDescent="0.3">
      <c r="A1691">
        <v>1124146</v>
      </c>
      <c r="B1691">
        <v>1501</v>
      </c>
      <c r="C1691" s="1" t="s">
        <v>98</v>
      </c>
      <c r="D1691" s="7">
        <v>45037</v>
      </c>
      <c r="E1691" s="11">
        <v>0.51666666666666672</v>
      </c>
      <c r="F1691" s="15">
        <f t="shared" si="78"/>
        <v>4</v>
      </c>
      <c r="G1691" s="10" t="str">
        <f t="shared" si="79"/>
        <v>Friday</v>
      </c>
      <c r="H1691" s="9" t="str">
        <f t="shared" si="80"/>
        <v>April</v>
      </c>
      <c r="I1691" t="s">
        <v>97</v>
      </c>
      <c r="J1691" t="s">
        <v>76</v>
      </c>
      <c r="K1691">
        <v>3329</v>
      </c>
      <c r="L1691" s="5" t="str">
        <f>IF(OR(K1691&lt;Answers!$C$16,Orders!K1691&gt;Answers!$C$17),"Yes","No")</f>
        <v>No</v>
      </c>
      <c r="M1691" s="14">
        <f>VLOOKUP(B1691,Customers!$A$1:$E$2501,4,0)</f>
        <v>51</v>
      </c>
    </row>
    <row r="1692" spans="1:13" x14ac:dyDescent="0.3">
      <c r="A1692">
        <v>1125245</v>
      </c>
      <c r="B1692">
        <v>1611</v>
      </c>
      <c r="C1692" s="1" t="s">
        <v>99</v>
      </c>
      <c r="D1692" s="7">
        <v>45074</v>
      </c>
      <c r="E1692" s="11">
        <v>0.49652777777777779</v>
      </c>
      <c r="F1692" s="15">
        <f t="shared" si="78"/>
        <v>5</v>
      </c>
      <c r="G1692" s="10" t="str">
        <f t="shared" si="79"/>
        <v>Sunday</v>
      </c>
      <c r="H1692" s="9" t="str">
        <f t="shared" si="80"/>
        <v>May</v>
      </c>
      <c r="I1692" t="s">
        <v>96</v>
      </c>
      <c r="J1692" t="s">
        <v>17</v>
      </c>
      <c r="K1692">
        <v>4618</v>
      </c>
      <c r="L1692" s="5" t="str">
        <f>IF(OR(K1692&lt;Answers!$C$16,Orders!K1692&gt;Answers!$C$17),"Yes","No")</f>
        <v>No</v>
      </c>
      <c r="M1692" s="14">
        <f>VLOOKUP(B1692,Customers!$A$1:$E$2501,4,0)</f>
        <v>37</v>
      </c>
    </row>
    <row r="1693" spans="1:13" x14ac:dyDescent="0.3">
      <c r="A1693">
        <v>1125247</v>
      </c>
      <c r="B1693">
        <v>1574</v>
      </c>
      <c r="C1693" s="1" t="s">
        <v>103</v>
      </c>
      <c r="D1693" s="7">
        <v>45128</v>
      </c>
      <c r="E1693" s="11">
        <v>36750</v>
      </c>
      <c r="F1693" s="15">
        <f t="shared" si="78"/>
        <v>7</v>
      </c>
      <c r="G1693" s="10" t="str">
        <f t="shared" si="79"/>
        <v>Friday</v>
      </c>
      <c r="H1693" s="9" t="str">
        <f t="shared" si="80"/>
        <v>July</v>
      </c>
      <c r="I1693" t="s">
        <v>95</v>
      </c>
      <c r="J1693" t="s">
        <v>42</v>
      </c>
      <c r="K1693">
        <v>905</v>
      </c>
      <c r="L1693" s="5" t="str">
        <f>IF(OR(K1693&lt;Answers!$C$16,Orders!K1693&gt;Answers!$C$17),"Yes","No")</f>
        <v>No</v>
      </c>
      <c r="M1693" s="14">
        <f>VLOOKUP(B1693,Customers!$A$1:$E$2501,4,0)</f>
        <v>36</v>
      </c>
    </row>
    <row r="1694" spans="1:13" x14ac:dyDescent="0.3">
      <c r="A1694">
        <v>1125352</v>
      </c>
      <c r="B1694">
        <v>1633</v>
      </c>
      <c r="C1694" s="1" t="s">
        <v>100</v>
      </c>
      <c r="D1694" s="7">
        <v>45043</v>
      </c>
      <c r="E1694" s="11">
        <v>6.458333333333334E-2</v>
      </c>
      <c r="F1694" s="15">
        <f t="shared" si="78"/>
        <v>4</v>
      </c>
      <c r="G1694" s="10" t="str">
        <f t="shared" si="79"/>
        <v>Thursday</v>
      </c>
      <c r="H1694" s="9" t="str">
        <f t="shared" si="80"/>
        <v>April</v>
      </c>
      <c r="I1694" t="s">
        <v>96</v>
      </c>
      <c r="J1694" t="s">
        <v>25</v>
      </c>
      <c r="K1694">
        <v>4193</v>
      </c>
      <c r="L1694" s="5" t="str">
        <f>IF(OR(K1694&lt;Answers!$C$16,Orders!K1694&gt;Answers!$C$17),"Yes","No")</f>
        <v>No</v>
      </c>
      <c r="M1694" s="14">
        <f>VLOOKUP(B1694,Customers!$A$1:$E$2501,4,0)</f>
        <v>64</v>
      </c>
    </row>
    <row r="1695" spans="1:13" x14ac:dyDescent="0.3">
      <c r="A1695">
        <v>1127154</v>
      </c>
      <c r="B1695">
        <v>87</v>
      </c>
      <c r="C1695" s="1" t="s">
        <v>112</v>
      </c>
      <c r="D1695" s="7">
        <v>45086</v>
      </c>
      <c r="E1695" s="11">
        <v>36628</v>
      </c>
      <c r="F1695" s="15">
        <f t="shared" si="78"/>
        <v>6</v>
      </c>
      <c r="G1695" s="10" t="str">
        <f t="shared" si="79"/>
        <v>Friday</v>
      </c>
      <c r="H1695" s="9" t="str">
        <f t="shared" si="80"/>
        <v>June</v>
      </c>
      <c r="I1695" t="s">
        <v>95</v>
      </c>
      <c r="J1695" t="s">
        <v>80</v>
      </c>
      <c r="K1695">
        <v>9219</v>
      </c>
      <c r="L1695" s="5" t="str">
        <f>IF(OR(K1695&lt;Answers!$C$16,Orders!K1695&gt;Answers!$C$17),"Yes","No")</f>
        <v>No</v>
      </c>
      <c r="M1695" s="14">
        <f>VLOOKUP(B1695,Customers!$A$1:$E$2501,4,0)</f>
        <v>62</v>
      </c>
    </row>
    <row r="1696" spans="1:13" x14ac:dyDescent="0.3">
      <c r="A1696">
        <v>1127303</v>
      </c>
      <c r="B1696">
        <v>1778</v>
      </c>
      <c r="C1696" s="1" t="s">
        <v>98</v>
      </c>
      <c r="D1696" s="7">
        <v>44971</v>
      </c>
      <c r="E1696" s="11">
        <v>0.54027777777777775</v>
      </c>
      <c r="F1696" s="15">
        <f t="shared" si="78"/>
        <v>2</v>
      </c>
      <c r="G1696" s="10" t="str">
        <f t="shared" si="79"/>
        <v>Tuesday</v>
      </c>
      <c r="H1696" s="9" t="str">
        <f t="shared" si="80"/>
        <v>February</v>
      </c>
      <c r="I1696" t="s">
        <v>95</v>
      </c>
      <c r="J1696" t="s">
        <v>87</v>
      </c>
      <c r="K1696">
        <v>866</v>
      </c>
      <c r="L1696" s="5" t="str">
        <f>IF(OR(K1696&lt;Answers!$C$16,Orders!K1696&gt;Answers!$C$17),"Yes","No")</f>
        <v>No</v>
      </c>
      <c r="M1696" s="14">
        <f>VLOOKUP(B1696,Customers!$A$1:$E$2501,4,0)</f>
        <v>20</v>
      </c>
    </row>
    <row r="1697" spans="1:13" x14ac:dyDescent="0.3">
      <c r="A1697">
        <v>1127861</v>
      </c>
      <c r="B1697">
        <v>1385</v>
      </c>
      <c r="C1697" s="1" t="s">
        <v>98</v>
      </c>
      <c r="D1697" s="7">
        <v>45127</v>
      </c>
      <c r="E1697" s="11">
        <v>5.2083333333333336E-2</v>
      </c>
      <c r="F1697" s="15">
        <f t="shared" si="78"/>
        <v>7</v>
      </c>
      <c r="G1697" s="10" t="str">
        <f t="shared" si="79"/>
        <v>Thursday</v>
      </c>
      <c r="H1697" s="9" t="str">
        <f t="shared" si="80"/>
        <v>July</v>
      </c>
      <c r="I1697" t="s">
        <v>96</v>
      </c>
      <c r="J1697" t="s">
        <v>45</v>
      </c>
      <c r="K1697">
        <v>8302</v>
      </c>
      <c r="L1697" s="5" t="str">
        <f>IF(OR(K1697&lt;Answers!$C$16,Orders!K1697&gt;Answers!$C$17),"Yes","No")</f>
        <v>No</v>
      </c>
      <c r="M1697" s="14">
        <f>VLOOKUP(B1697,Customers!$A$1:$E$2501,4,0)</f>
        <v>32</v>
      </c>
    </row>
    <row r="1698" spans="1:13" x14ac:dyDescent="0.3">
      <c r="A1698">
        <v>1127964</v>
      </c>
      <c r="B1698">
        <v>934</v>
      </c>
      <c r="C1698" s="1" t="s">
        <v>98</v>
      </c>
      <c r="D1698" s="7">
        <v>45235</v>
      </c>
      <c r="E1698" s="11">
        <v>0.51597222222222228</v>
      </c>
      <c r="F1698" s="15">
        <f t="shared" si="78"/>
        <v>11</v>
      </c>
      <c r="G1698" s="10" t="str">
        <f t="shared" si="79"/>
        <v>Sunday</v>
      </c>
      <c r="H1698" s="9" t="str">
        <f t="shared" si="80"/>
        <v>November</v>
      </c>
      <c r="I1698" t="s">
        <v>96</v>
      </c>
      <c r="J1698" t="s">
        <v>81</v>
      </c>
      <c r="K1698">
        <v>927</v>
      </c>
      <c r="L1698" s="5" t="str">
        <f>IF(OR(K1698&lt;Answers!$C$16,Orders!K1698&gt;Answers!$C$17),"Yes","No")</f>
        <v>No</v>
      </c>
      <c r="M1698" s="14">
        <f>VLOOKUP(B1698,Customers!$A$1:$E$2501,4,0)</f>
        <v>70</v>
      </c>
    </row>
    <row r="1699" spans="1:13" x14ac:dyDescent="0.3">
      <c r="A1699">
        <v>1129422</v>
      </c>
      <c r="B1699">
        <v>327</v>
      </c>
      <c r="C1699" s="1" t="s">
        <v>112</v>
      </c>
      <c r="D1699" s="7">
        <v>45220</v>
      </c>
      <c r="E1699" s="11">
        <v>5.9722222222222225E-2</v>
      </c>
      <c r="F1699" s="15">
        <f t="shared" si="78"/>
        <v>10</v>
      </c>
      <c r="G1699" s="10" t="str">
        <f t="shared" si="79"/>
        <v>Saturday</v>
      </c>
      <c r="H1699" s="9" t="str">
        <f t="shared" si="80"/>
        <v>October</v>
      </c>
      <c r="I1699" t="s">
        <v>97</v>
      </c>
      <c r="J1699" t="s">
        <v>16</v>
      </c>
      <c r="K1699">
        <v>1595</v>
      </c>
      <c r="L1699" s="5" t="str">
        <f>IF(OR(K1699&lt;Answers!$C$16,Orders!K1699&gt;Answers!$C$17),"Yes","No")</f>
        <v>No</v>
      </c>
      <c r="M1699" s="14">
        <f>VLOOKUP(B1699,Customers!$A$1:$E$2501,4,0)</f>
        <v>32</v>
      </c>
    </row>
    <row r="1700" spans="1:13" x14ac:dyDescent="0.3">
      <c r="A1700">
        <v>1129509</v>
      </c>
      <c r="B1700">
        <v>1097</v>
      </c>
      <c r="C1700" s="1" t="s">
        <v>112</v>
      </c>
      <c r="D1700" s="7">
        <v>45081</v>
      </c>
      <c r="E1700" s="11">
        <v>5.2777777777777778E-2</v>
      </c>
      <c r="F1700" s="15">
        <f t="shared" si="78"/>
        <v>6</v>
      </c>
      <c r="G1700" s="10" t="str">
        <f t="shared" si="79"/>
        <v>Sunday</v>
      </c>
      <c r="H1700" s="9" t="str">
        <f t="shared" si="80"/>
        <v>June</v>
      </c>
      <c r="I1700" t="s">
        <v>97</v>
      </c>
      <c r="J1700" t="s">
        <v>42</v>
      </c>
      <c r="K1700">
        <v>7051</v>
      </c>
      <c r="L1700" s="5" t="str">
        <f>IF(OR(K1700&lt;Answers!$C$16,Orders!K1700&gt;Answers!$C$17),"Yes","No")</f>
        <v>No</v>
      </c>
      <c r="M1700" s="14">
        <f>VLOOKUP(B1700,Customers!$A$1:$E$2501,4,0)</f>
        <v>81</v>
      </c>
    </row>
    <row r="1701" spans="1:13" x14ac:dyDescent="0.3">
      <c r="A1701">
        <v>1129725</v>
      </c>
      <c r="B1701">
        <v>1250</v>
      </c>
      <c r="C1701" s="1" t="s">
        <v>98</v>
      </c>
      <c r="D1701" s="7">
        <v>45239</v>
      </c>
      <c r="E1701" s="11">
        <v>36750</v>
      </c>
      <c r="F1701" s="15">
        <f t="shared" si="78"/>
        <v>11</v>
      </c>
      <c r="G1701" s="10" t="str">
        <f t="shared" si="79"/>
        <v>Thursday</v>
      </c>
      <c r="H1701" s="9" t="str">
        <f t="shared" si="80"/>
        <v>November</v>
      </c>
      <c r="I1701" t="s">
        <v>190</v>
      </c>
      <c r="J1701" t="s">
        <v>43</v>
      </c>
      <c r="K1701">
        <v>9660</v>
      </c>
      <c r="L1701" s="5" t="str">
        <f>IF(OR(K1701&lt;Answers!$C$16,Orders!K1701&gt;Answers!$C$17),"Yes","No")</f>
        <v>No</v>
      </c>
      <c r="M1701" s="14">
        <f>VLOOKUP(B1701,Customers!$A$1:$E$2501,4,0)</f>
        <v>57</v>
      </c>
    </row>
    <row r="1702" spans="1:13" x14ac:dyDescent="0.3">
      <c r="A1702">
        <v>1130025</v>
      </c>
      <c r="B1702">
        <v>5</v>
      </c>
      <c r="C1702" s="1" t="s">
        <v>107</v>
      </c>
      <c r="D1702" s="7">
        <v>45086</v>
      </c>
      <c r="E1702" s="11">
        <v>36567</v>
      </c>
      <c r="F1702" s="15">
        <f t="shared" si="78"/>
        <v>6</v>
      </c>
      <c r="G1702" s="10" t="str">
        <f t="shared" si="79"/>
        <v>Friday</v>
      </c>
      <c r="H1702" s="9" t="str">
        <f t="shared" si="80"/>
        <v>June</v>
      </c>
      <c r="I1702" t="s">
        <v>95</v>
      </c>
      <c r="J1702" t="s">
        <v>77</v>
      </c>
      <c r="K1702">
        <v>5739</v>
      </c>
      <c r="L1702" s="5" t="str">
        <f>IF(OR(K1702&lt;Answers!$C$16,Orders!K1702&gt;Answers!$C$17),"Yes","No")</f>
        <v>No</v>
      </c>
      <c r="M1702" s="14">
        <f>VLOOKUP(B1702,Customers!$A$1:$E$2501,4,0)</f>
        <v>81</v>
      </c>
    </row>
    <row r="1703" spans="1:13" x14ac:dyDescent="0.3">
      <c r="A1703">
        <v>1130287</v>
      </c>
      <c r="B1703">
        <v>362</v>
      </c>
      <c r="C1703" s="1" t="s">
        <v>112</v>
      </c>
      <c r="D1703" s="7">
        <v>45168</v>
      </c>
      <c r="E1703" s="11">
        <v>0.53680555555555554</v>
      </c>
      <c r="F1703" s="15">
        <f t="shared" si="78"/>
        <v>8</v>
      </c>
      <c r="G1703" s="10" t="str">
        <f t="shared" si="79"/>
        <v>Wednesday</v>
      </c>
      <c r="H1703" s="9" t="str">
        <f t="shared" si="80"/>
        <v>August</v>
      </c>
      <c r="I1703" t="s">
        <v>97</v>
      </c>
      <c r="J1703" t="s">
        <v>26</v>
      </c>
      <c r="K1703">
        <v>7662</v>
      </c>
      <c r="L1703" s="5" t="str">
        <f>IF(OR(K1703&lt;Answers!$C$16,Orders!K1703&gt;Answers!$C$17),"Yes","No")</f>
        <v>No</v>
      </c>
      <c r="M1703" s="14">
        <f>VLOOKUP(B1703,Customers!$A$1:$E$2501,4,0)</f>
        <v>68</v>
      </c>
    </row>
    <row r="1704" spans="1:13" x14ac:dyDescent="0.3">
      <c r="A1704">
        <v>1130380</v>
      </c>
      <c r="B1704">
        <v>745</v>
      </c>
      <c r="C1704" s="1" t="s">
        <v>100</v>
      </c>
      <c r="D1704" s="7">
        <v>45250</v>
      </c>
      <c r="E1704" s="11">
        <v>0.4548611111111111</v>
      </c>
      <c r="F1704" s="15">
        <f t="shared" si="78"/>
        <v>11</v>
      </c>
      <c r="G1704" s="10" t="str">
        <f t="shared" si="79"/>
        <v>Monday</v>
      </c>
      <c r="H1704" s="9" t="str">
        <f t="shared" si="80"/>
        <v>November</v>
      </c>
      <c r="I1704" t="s">
        <v>97</v>
      </c>
      <c r="J1704" t="s">
        <v>33</v>
      </c>
      <c r="K1704">
        <v>7425</v>
      </c>
      <c r="L1704" s="5" t="str">
        <f>IF(OR(K1704&lt;Answers!$C$16,Orders!K1704&gt;Answers!$C$17),"Yes","No")</f>
        <v>No</v>
      </c>
      <c r="M1704" s="14">
        <f>VLOOKUP(B1704,Customers!$A$1:$E$2501,4,0)</f>
        <v>27</v>
      </c>
    </row>
    <row r="1705" spans="1:13" x14ac:dyDescent="0.3">
      <c r="A1705">
        <v>1131650</v>
      </c>
      <c r="B1705">
        <v>1676</v>
      </c>
      <c r="C1705" s="1" t="s">
        <v>103</v>
      </c>
      <c r="D1705" s="7">
        <v>44944</v>
      </c>
      <c r="E1705" s="11">
        <v>36749</v>
      </c>
      <c r="F1705" s="15">
        <f t="shared" si="78"/>
        <v>1</v>
      </c>
      <c r="G1705" s="10" t="str">
        <f t="shared" si="79"/>
        <v>Wednesday</v>
      </c>
      <c r="H1705" s="9" t="str">
        <f t="shared" si="80"/>
        <v>January</v>
      </c>
      <c r="I1705" t="s">
        <v>190</v>
      </c>
      <c r="J1705" t="s">
        <v>86</v>
      </c>
      <c r="K1705">
        <v>3121</v>
      </c>
      <c r="L1705" s="5" t="str">
        <f>IF(OR(K1705&lt;Answers!$C$16,Orders!K1705&gt;Answers!$C$17),"Yes","No")</f>
        <v>No</v>
      </c>
      <c r="M1705" s="14">
        <f>VLOOKUP(B1705,Customers!$A$1:$E$2501,4,0)</f>
        <v>25</v>
      </c>
    </row>
    <row r="1706" spans="1:13" x14ac:dyDescent="0.3">
      <c r="A1706">
        <v>1132855</v>
      </c>
      <c r="B1706">
        <v>16</v>
      </c>
      <c r="C1706" s="1" t="s">
        <v>102</v>
      </c>
      <c r="D1706" s="7">
        <v>45097</v>
      </c>
      <c r="E1706" s="11">
        <v>8.3333333333333329E-2</v>
      </c>
      <c r="F1706" s="15">
        <f t="shared" si="78"/>
        <v>6</v>
      </c>
      <c r="G1706" s="10" t="str">
        <f t="shared" si="79"/>
        <v>Tuesday</v>
      </c>
      <c r="H1706" s="9" t="str">
        <f t="shared" si="80"/>
        <v>June</v>
      </c>
      <c r="I1706" t="s">
        <v>96</v>
      </c>
      <c r="J1706" t="s">
        <v>77</v>
      </c>
      <c r="K1706">
        <v>4518</v>
      </c>
      <c r="L1706" s="5" t="str">
        <f>IF(OR(K1706&lt;Answers!$C$16,Orders!K1706&gt;Answers!$C$17),"Yes","No")</f>
        <v>No</v>
      </c>
      <c r="M1706" s="14">
        <f>VLOOKUP(B1706,Customers!$A$1:$E$2501,4,0)</f>
        <v>81</v>
      </c>
    </row>
    <row r="1707" spans="1:13" x14ac:dyDescent="0.3">
      <c r="A1707">
        <v>1133062</v>
      </c>
      <c r="B1707">
        <v>226</v>
      </c>
      <c r="C1707" s="1" t="s">
        <v>98</v>
      </c>
      <c r="D1707" s="7">
        <v>45200</v>
      </c>
      <c r="E1707" s="11">
        <v>0.45833333333333331</v>
      </c>
      <c r="F1707" s="15">
        <f t="shared" si="78"/>
        <v>10</v>
      </c>
      <c r="G1707" s="10" t="str">
        <f t="shared" si="79"/>
        <v>Sunday</v>
      </c>
      <c r="H1707" s="9" t="str">
        <f t="shared" si="80"/>
        <v>October</v>
      </c>
      <c r="I1707" t="s">
        <v>97</v>
      </c>
      <c r="J1707" t="s">
        <v>26</v>
      </c>
      <c r="K1707">
        <v>3501</v>
      </c>
      <c r="L1707" s="5" t="str">
        <f>IF(OR(K1707&lt;Answers!$C$16,Orders!K1707&gt;Answers!$C$17),"Yes","No")</f>
        <v>No</v>
      </c>
      <c r="M1707" s="14">
        <f>VLOOKUP(B1707,Customers!$A$1:$E$2501,4,0)</f>
        <v>31</v>
      </c>
    </row>
    <row r="1708" spans="1:13" x14ac:dyDescent="0.3">
      <c r="A1708">
        <v>1133882</v>
      </c>
      <c r="B1708">
        <v>291</v>
      </c>
      <c r="C1708" s="1" t="s">
        <v>112</v>
      </c>
      <c r="D1708" s="7">
        <v>45145</v>
      </c>
      <c r="E1708" s="11">
        <v>0.49652777777777779</v>
      </c>
      <c r="F1708" s="15">
        <f t="shared" si="78"/>
        <v>8</v>
      </c>
      <c r="G1708" s="10" t="str">
        <f t="shared" si="79"/>
        <v>Monday</v>
      </c>
      <c r="H1708" s="9" t="str">
        <f t="shared" si="80"/>
        <v>August</v>
      </c>
      <c r="I1708" t="s">
        <v>97</v>
      </c>
      <c r="J1708" t="s">
        <v>68</v>
      </c>
      <c r="K1708">
        <v>3789</v>
      </c>
      <c r="L1708" s="5" t="str">
        <f>IF(OR(K1708&lt;Answers!$C$16,Orders!K1708&gt;Answers!$C$17),"Yes","No")</f>
        <v>No</v>
      </c>
      <c r="M1708" s="14">
        <f>VLOOKUP(B1708,Customers!$A$1:$E$2501,4,0)</f>
        <v>44</v>
      </c>
    </row>
    <row r="1709" spans="1:13" x14ac:dyDescent="0.3">
      <c r="A1709">
        <v>1134072</v>
      </c>
      <c r="B1709">
        <v>662</v>
      </c>
      <c r="C1709" s="1" t="s">
        <v>98</v>
      </c>
      <c r="D1709" s="7">
        <v>45266</v>
      </c>
      <c r="E1709" s="11">
        <v>0.53402777777777777</v>
      </c>
      <c r="F1709" s="15">
        <f t="shared" si="78"/>
        <v>12</v>
      </c>
      <c r="G1709" s="10" t="str">
        <f t="shared" si="79"/>
        <v>Wednesday</v>
      </c>
      <c r="H1709" s="9" t="str">
        <f t="shared" si="80"/>
        <v>December</v>
      </c>
      <c r="I1709" t="s">
        <v>96</v>
      </c>
      <c r="J1709" t="s">
        <v>25</v>
      </c>
      <c r="K1709">
        <v>3885</v>
      </c>
      <c r="L1709" s="5" t="str">
        <f>IF(OR(K1709&lt;Answers!$C$16,Orders!K1709&gt;Answers!$C$17),"Yes","No")</f>
        <v>No</v>
      </c>
      <c r="M1709" s="14">
        <f>VLOOKUP(B1709,Customers!$A$1:$E$2501,4,0)</f>
        <v>23</v>
      </c>
    </row>
    <row r="1710" spans="1:13" x14ac:dyDescent="0.3">
      <c r="A1710">
        <v>1134801</v>
      </c>
      <c r="B1710">
        <v>430</v>
      </c>
      <c r="C1710" s="1" t="s">
        <v>112</v>
      </c>
      <c r="D1710" s="7">
        <v>44997</v>
      </c>
      <c r="E1710" s="11">
        <v>0.47847222222222224</v>
      </c>
      <c r="F1710" s="15">
        <f t="shared" si="78"/>
        <v>3</v>
      </c>
      <c r="G1710" s="10" t="str">
        <f t="shared" si="79"/>
        <v>Sunday</v>
      </c>
      <c r="H1710" s="9" t="str">
        <f t="shared" si="80"/>
        <v>March</v>
      </c>
      <c r="I1710" t="s">
        <v>97</v>
      </c>
      <c r="J1710" t="s">
        <v>26</v>
      </c>
      <c r="K1710">
        <v>3505</v>
      </c>
      <c r="L1710" s="5" t="str">
        <f>IF(OR(K1710&lt;Answers!$C$16,Orders!K1710&gt;Answers!$C$17),"Yes","No")</f>
        <v>No</v>
      </c>
      <c r="M1710" s="14">
        <f>VLOOKUP(B1710,Customers!$A$1:$E$2501,4,0)</f>
        <v>82</v>
      </c>
    </row>
    <row r="1711" spans="1:13" x14ac:dyDescent="0.3">
      <c r="A1711">
        <v>1135081</v>
      </c>
      <c r="B1711">
        <v>48</v>
      </c>
      <c r="C1711" s="1" t="s">
        <v>98</v>
      </c>
      <c r="D1711" s="7">
        <v>44937</v>
      </c>
      <c r="E1711" s="11">
        <v>36597</v>
      </c>
      <c r="F1711" s="15">
        <f t="shared" si="78"/>
        <v>1</v>
      </c>
      <c r="G1711" s="10" t="str">
        <f t="shared" si="79"/>
        <v>Wednesday</v>
      </c>
      <c r="H1711" s="9" t="str">
        <f t="shared" si="80"/>
        <v>January</v>
      </c>
      <c r="I1711" t="s">
        <v>190</v>
      </c>
      <c r="J1711" t="s">
        <v>24</v>
      </c>
      <c r="K1711">
        <v>7107</v>
      </c>
      <c r="L1711" s="5" t="str">
        <f>IF(OR(K1711&lt;Answers!$C$16,Orders!K1711&gt;Answers!$C$17),"Yes","No")</f>
        <v>No</v>
      </c>
      <c r="M1711" s="14">
        <f>VLOOKUP(B1711,Customers!$A$1:$E$2501,4,0)</f>
        <v>66</v>
      </c>
    </row>
    <row r="1712" spans="1:13" x14ac:dyDescent="0.3">
      <c r="A1712">
        <v>1136468</v>
      </c>
      <c r="B1712">
        <v>1179</v>
      </c>
      <c r="C1712" s="1" t="s">
        <v>104</v>
      </c>
      <c r="D1712" s="7">
        <v>45236</v>
      </c>
      <c r="E1712" s="11">
        <v>36708</v>
      </c>
      <c r="F1712" s="15">
        <f t="shared" si="78"/>
        <v>11</v>
      </c>
      <c r="G1712" s="10" t="str">
        <f t="shared" si="79"/>
        <v>Monday</v>
      </c>
      <c r="H1712" s="9" t="str">
        <f t="shared" si="80"/>
        <v>November</v>
      </c>
      <c r="I1712" t="s">
        <v>95</v>
      </c>
      <c r="J1712" t="s">
        <v>80</v>
      </c>
      <c r="K1712">
        <v>8751</v>
      </c>
      <c r="L1712" s="5" t="str">
        <f>IF(OR(K1712&lt;Answers!$C$16,Orders!K1712&gt;Answers!$C$17),"Yes","No")</f>
        <v>No</v>
      </c>
      <c r="M1712" s="14">
        <f>VLOOKUP(B1712,Customers!$A$1:$E$2501,4,0)</f>
        <v>49</v>
      </c>
    </row>
    <row r="1713" spans="1:13" x14ac:dyDescent="0.3">
      <c r="A1713">
        <v>1137562</v>
      </c>
      <c r="B1713">
        <v>1456</v>
      </c>
      <c r="C1713" s="1" t="s">
        <v>104</v>
      </c>
      <c r="D1713" s="7">
        <v>45227</v>
      </c>
      <c r="E1713" s="11">
        <v>36781</v>
      </c>
      <c r="F1713" s="15">
        <f t="shared" si="78"/>
        <v>10</v>
      </c>
      <c r="G1713" s="10" t="str">
        <f t="shared" si="79"/>
        <v>Saturday</v>
      </c>
      <c r="H1713" s="9" t="str">
        <f t="shared" si="80"/>
        <v>October</v>
      </c>
      <c r="I1713" t="s">
        <v>96</v>
      </c>
      <c r="J1713" t="s">
        <v>87</v>
      </c>
      <c r="K1713">
        <v>9253</v>
      </c>
      <c r="L1713" s="5" t="str">
        <f>IF(OR(K1713&lt;Answers!$C$16,Orders!K1713&gt;Answers!$C$17),"Yes","No")</f>
        <v>No</v>
      </c>
      <c r="M1713" s="14">
        <f>VLOOKUP(B1713,Customers!$A$1:$E$2501,4,0)</f>
        <v>35</v>
      </c>
    </row>
    <row r="1714" spans="1:13" x14ac:dyDescent="0.3">
      <c r="A1714">
        <v>1137891</v>
      </c>
      <c r="B1714">
        <v>1447</v>
      </c>
      <c r="C1714" s="1" t="s">
        <v>105</v>
      </c>
      <c r="D1714" s="7">
        <v>45279</v>
      </c>
      <c r="E1714" s="11">
        <v>0.45416666666666666</v>
      </c>
      <c r="F1714" s="15">
        <f t="shared" si="78"/>
        <v>12</v>
      </c>
      <c r="G1714" s="10" t="str">
        <f t="shared" si="79"/>
        <v>Tuesday</v>
      </c>
      <c r="H1714" s="9" t="str">
        <f t="shared" si="80"/>
        <v>December</v>
      </c>
      <c r="I1714" t="s">
        <v>190</v>
      </c>
      <c r="J1714" t="s">
        <v>42</v>
      </c>
      <c r="K1714">
        <v>1289</v>
      </c>
      <c r="L1714" s="5" t="str">
        <f>IF(OR(K1714&lt;Answers!$C$16,Orders!K1714&gt;Answers!$C$17),"Yes","No")</f>
        <v>No</v>
      </c>
      <c r="M1714" s="14">
        <f>VLOOKUP(B1714,Customers!$A$1:$E$2501,4,0)</f>
        <v>20</v>
      </c>
    </row>
    <row r="1715" spans="1:13" x14ac:dyDescent="0.3">
      <c r="A1715">
        <v>1138694</v>
      </c>
      <c r="B1715">
        <v>1525</v>
      </c>
      <c r="C1715" s="1" t="s">
        <v>106</v>
      </c>
      <c r="D1715" s="7">
        <v>44986</v>
      </c>
      <c r="E1715" s="11">
        <v>6.1111111111111109E-2</v>
      </c>
      <c r="F1715" s="15">
        <f t="shared" si="78"/>
        <v>3</v>
      </c>
      <c r="G1715" s="10" t="str">
        <f t="shared" si="79"/>
        <v>Wednesday</v>
      </c>
      <c r="H1715" s="9" t="str">
        <f t="shared" si="80"/>
        <v>March</v>
      </c>
      <c r="I1715" t="s">
        <v>97</v>
      </c>
      <c r="J1715" t="s">
        <v>26</v>
      </c>
      <c r="K1715">
        <v>1217</v>
      </c>
      <c r="L1715" s="5" t="str">
        <f>IF(OR(K1715&lt;Answers!$C$16,Orders!K1715&gt;Answers!$C$17),"Yes","No")</f>
        <v>No</v>
      </c>
      <c r="M1715" s="14">
        <f>VLOOKUP(B1715,Customers!$A$1:$E$2501,4,0)</f>
        <v>87</v>
      </c>
    </row>
    <row r="1716" spans="1:13" x14ac:dyDescent="0.3">
      <c r="A1716">
        <v>1139025</v>
      </c>
      <c r="B1716">
        <v>1855</v>
      </c>
      <c r="C1716" s="1" t="s">
        <v>107</v>
      </c>
      <c r="D1716" s="7">
        <v>45148</v>
      </c>
      <c r="E1716" s="11">
        <v>36597</v>
      </c>
      <c r="F1716" s="15">
        <f t="shared" si="78"/>
        <v>8</v>
      </c>
      <c r="G1716" s="10" t="str">
        <f t="shared" si="79"/>
        <v>Thursday</v>
      </c>
      <c r="H1716" s="9" t="str">
        <f t="shared" si="80"/>
        <v>August</v>
      </c>
      <c r="I1716" t="s">
        <v>95</v>
      </c>
      <c r="J1716" t="s">
        <v>64</v>
      </c>
      <c r="K1716">
        <v>8569</v>
      </c>
      <c r="L1716" s="5" t="str">
        <f>IF(OR(K1716&lt;Answers!$C$16,Orders!K1716&gt;Answers!$C$17),"Yes","No")</f>
        <v>No</v>
      </c>
      <c r="M1716" s="14">
        <f>VLOOKUP(B1716,Customers!$A$1:$E$2501,4,0)</f>
        <v>44</v>
      </c>
    </row>
    <row r="1717" spans="1:13" x14ac:dyDescent="0.3">
      <c r="A1717">
        <v>1140100</v>
      </c>
      <c r="B1717">
        <v>759</v>
      </c>
      <c r="C1717" s="1" t="s">
        <v>98</v>
      </c>
      <c r="D1717" s="7">
        <v>45084</v>
      </c>
      <c r="E1717" s="11">
        <v>36617</v>
      </c>
      <c r="F1717" s="15">
        <f t="shared" si="78"/>
        <v>6</v>
      </c>
      <c r="G1717" s="10" t="str">
        <f t="shared" si="79"/>
        <v>Wednesday</v>
      </c>
      <c r="H1717" s="9" t="str">
        <f t="shared" si="80"/>
        <v>June</v>
      </c>
      <c r="I1717" t="s">
        <v>97</v>
      </c>
      <c r="J1717" t="s">
        <v>23</v>
      </c>
      <c r="K1717">
        <v>6772</v>
      </c>
      <c r="L1717" s="5" t="str">
        <f>IF(OR(K1717&lt;Answers!$C$16,Orders!K1717&gt;Answers!$C$17),"Yes","No")</f>
        <v>No</v>
      </c>
      <c r="M1717" s="14">
        <f>VLOOKUP(B1717,Customers!$A$1:$E$2501,4,0)</f>
        <v>19</v>
      </c>
    </row>
    <row r="1718" spans="1:13" x14ac:dyDescent="0.3">
      <c r="A1718">
        <v>1140822</v>
      </c>
      <c r="B1718">
        <v>741</v>
      </c>
      <c r="C1718" s="1" t="s">
        <v>98</v>
      </c>
      <c r="D1718" s="7">
        <v>45241</v>
      </c>
      <c r="E1718" s="11">
        <v>0.52013888888888893</v>
      </c>
      <c r="F1718" s="15">
        <f t="shared" si="78"/>
        <v>11</v>
      </c>
      <c r="G1718" s="10" t="str">
        <f t="shared" si="79"/>
        <v>Saturday</v>
      </c>
      <c r="H1718" s="9" t="str">
        <f t="shared" si="80"/>
        <v>November</v>
      </c>
      <c r="I1718" t="s">
        <v>96</v>
      </c>
      <c r="J1718" t="s">
        <v>26</v>
      </c>
      <c r="K1718">
        <v>2833</v>
      </c>
      <c r="L1718" s="5" t="str">
        <f>IF(OR(K1718&lt;Answers!$C$16,Orders!K1718&gt;Answers!$C$17),"Yes","No")</f>
        <v>No</v>
      </c>
      <c r="M1718" s="14">
        <f>VLOOKUP(B1718,Customers!$A$1:$E$2501,4,0)</f>
        <v>25</v>
      </c>
    </row>
    <row r="1719" spans="1:13" x14ac:dyDescent="0.3">
      <c r="A1719">
        <v>1141931</v>
      </c>
      <c r="B1719">
        <v>1018</v>
      </c>
      <c r="C1719" s="1" t="s">
        <v>99</v>
      </c>
      <c r="D1719" s="7">
        <v>45109</v>
      </c>
      <c r="E1719" s="11">
        <v>0.45069444444444445</v>
      </c>
      <c r="F1719" s="15">
        <f t="shared" si="78"/>
        <v>7</v>
      </c>
      <c r="G1719" s="10" t="str">
        <f t="shared" si="79"/>
        <v>Sunday</v>
      </c>
      <c r="H1719" s="9" t="str">
        <f t="shared" si="80"/>
        <v>July</v>
      </c>
      <c r="I1719" t="s">
        <v>97</v>
      </c>
      <c r="J1719" t="s">
        <v>65</v>
      </c>
      <c r="K1719">
        <v>9219</v>
      </c>
      <c r="L1719" s="5" t="str">
        <f>IF(OR(K1719&lt;Answers!$C$16,Orders!K1719&gt;Answers!$C$17),"Yes","No")</f>
        <v>No</v>
      </c>
      <c r="M1719" s="14">
        <f>VLOOKUP(B1719,Customers!$A$1:$E$2501,4,0)</f>
        <v>52</v>
      </c>
    </row>
    <row r="1720" spans="1:13" x14ac:dyDescent="0.3">
      <c r="A1720">
        <v>1143333</v>
      </c>
      <c r="B1720">
        <v>1998</v>
      </c>
      <c r="C1720" s="1" t="s">
        <v>100</v>
      </c>
      <c r="D1720" s="7">
        <v>45081</v>
      </c>
      <c r="E1720" s="11">
        <v>0.49375000000000002</v>
      </c>
      <c r="F1720" s="15">
        <f t="shared" si="78"/>
        <v>6</v>
      </c>
      <c r="G1720" s="10" t="str">
        <f t="shared" si="79"/>
        <v>Sunday</v>
      </c>
      <c r="H1720" s="9" t="str">
        <f t="shared" si="80"/>
        <v>June</v>
      </c>
      <c r="I1720" t="s">
        <v>96</v>
      </c>
      <c r="J1720" t="s">
        <v>77</v>
      </c>
      <c r="K1720">
        <v>9565</v>
      </c>
      <c r="L1720" s="5" t="str">
        <f>IF(OR(K1720&lt;Answers!$C$16,Orders!K1720&gt;Answers!$C$17),"Yes","No")</f>
        <v>No</v>
      </c>
      <c r="M1720" s="14">
        <f>VLOOKUP(B1720,Customers!$A$1:$E$2501,4,0)</f>
        <v>82</v>
      </c>
    </row>
    <row r="1721" spans="1:13" x14ac:dyDescent="0.3">
      <c r="A1721">
        <v>1144813</v>
      </c>
      <c r="B1721">
        <v>1176</v>
      </c>
      <c r="C1721" s="1" t="s">
        <v>98</v>
      </c>
      <c r="D1721" s="7">
        <v>45239</v>
      </c>
      <c r="E1721" s="11">
        <v>36678</v>
      </c>
      <c r="F1721" s="15">
        <f t="shared" si="78"/>
        <v>11</v>
      </c>
      <c r="G1721" s="10" t="str">
        <f t="shared" si="79"/>
        <v>Thursday</v>
      </c>
      <c r="H1721" s="9" t="str">
        <f t="shared" si="80"/>
        <v>November</v>
      </c>
      <c r="I1721" t="s">
        <v>95</v>
      </c>
      <c r="J1721" t="s">
        <v>76</v>
      </c>
      <c r="K1721">
        <v>1665</v>
      </c>
      <c r="L1721" s="5" t="str">
        <f>IF(OR(K1721&lt;Answers!$C$16,Orders!K1721&gt;Answers!$C$17),"Yes","No")</f>
        <v>No</v>
      </c>
      <c r="M1721" s="14">
        <f>VLOOKUP(B1721,Customers!$A$1:$E$2501,4,0)</f>
        <v>89</v>
      </c>
    </row>
    <row r="1722" spans="1:13" x14ac:dyDescent="0.3">
      <c r="A1722">
        <v>1145871</v>
      </c>
      <c r="B1722">
        <v>1893</v>
      </c>
      <c r="C1722" s="1" t="s">
        <v>100</v>
      </c>
      <c r="D1722" s="7">
        <v>45204</v>
      </c>
      <c r="E1722" s="11">
        <v>0.52222222222222225</v>
      </c>
      <c r="F1722" s="15">
        <f t="shared" si="78"/>
        <v>10</v>
      </c>
      <c r="G1722" s="10" t="str">
        <f t="shared" si="79"/>
        <v>Thursday</v>
      </c>
      <c r="H1722" s="9" t="str">
        <f t="shared" si="80"/>
        <v>October</v>
      </c>
      <c r="I1722" t="s">
        <v>190</v>
      </c>
      <c r="J1722" t="s">
        <v>63</v>
      </c>
      <c r="K1722">
        <v>2301</v>
      </c>
      <c r="L1722" s="5" t="str">
        <f>IF(OR(K1722&lt;Answers!$C$16,Orders!K1722&gt;Answers!$C$17),"Yes","No")</f>
        <v>No</v>
      </c>
      <c r="M1722" s="14">
        <f>VLOOKUP(B1722,Customers!$A$1:$E$2501,4,0)</f>
        <v>47</v>
      </c>
    </row>
    <row r="1723" spans="1:13" x14ac:dyDescent="0.3">
      <c r="A1723">
        <v>1146705</v>
      </c>
      <c r="B1723">
        <v>1840</v>
      </c>
      <c r="C1723" s="1" t="s">
        <v>98</v>
      </c>
      <c r="D1723" s="7">
        <v>45130</v>
      </c>
      <c r="E1723" s="11">
        <v>0.48333333333333334</v>
      </c>
      <c r="F1723" s="15">
        <f t="shared" si="78"/>
        <v>7</v>
      </c>
      <c r="G1723" s="10" t="str">
        <f t="shared" si="79"/>
        <v>Sunday</v>
      </c>
      <c r="H1723" s="9" t="str">
        <f t="shared" si="80"/>
        <v>July</v>
      </c>
      <c r="I1723" t="s">
        <v>95</v>
      </c>
      <c r="J1723" t="s">
        <v>29</v>
      </c>
      <c r="K1723">
        <v>6434</v>
      </c>
      <c r="L1723" s="5" t="str">
        <f>IF(OR(K1723&lt;Answers!$C$16,Orders!K1723&gt;Answers!$C$17),"Yes","No")</f>
        <v>No</v>
      </c>
      <c r="M1723" s="14">
        <f>VLOOKUP(B1723,Customers!$A$1:$E$2501,4,0)</f>
        <v>83</v>
      </c>
    </row>
    <row r="1724" spans="1:13" x14ac:dyDescent="0.3">
      <c r="A1724">
        <v>1147846</v>
      </c>
      <c r="B1724">
        <v>137</v>
      </c>
      <c r="C1724" s="1" t="s">
        <v>112</v>
      </c>
      <c r="D1724" s="7">
        <v>45224</v>
      </c>
      <c r="E1724" s="11">
        <v>0.52361111111111114</v>
      </c>
      <c r="F1724" s="15">
        <f t="shared" si="78"/>
        <v>10</v>
      </c>
      <c r="G1724" s="10" t="str">
        <f t="shared" si="79"/>
        <v>Wednesday</v>
      </c>
      <c r="H1724" s="9" t="str">
        <f t="shared" si="80"/>
        <v>October</v>
      </c>
      <c r="I1724" t="s">
        <v>95</v>
      </c>
      <c r="J1724" t="s">
        <v>52</v>
      </c>
      <c r="K1724">
        <v>792</v>
      </c>
      <c r="L1724" s="5" t="str">
        <f>IF(OR(K1724&lt;Answers!$C$16,Orders!K1724&gt;Answers!$C$17),"Yes","No")</f>
        <v>No</v>
      </c>
      <c r="M1724" s="14">
        <f>VLOOKUP(B1724,Customers!$A$1:$E$2501,4,0)</f>
        <v>25</v>
      </c>
    </row>
    <row r="1725" spans="1:13" x14ac:dyDescent="0.3">
      <c r="A1725">
        <v>1149488</v>
      </c>
      <c r="B1725">
        <v>1235</v>
      </c>
      <c r="C1725" s="1" t="s">
        <v>105</v>
      </c>
      <c r="D1725" s="7">
        <v>45033</v>
      </c>
      <c r="E1725" s="11">
        <v>0.52500000000000002</v>
      </c>
      <c r="F1725" s="15">
        <f t="shared" si="78"/>
        <v>4</v>
      </c>
      <c r="G1725" s="10" t="str">
        <f t="shared" si="79"/>
        <v>Monday</v>
      </c>
      <c r="H1725" s="9" t="str">
        <f t="shared" si="80"/>
        <v>April</v>
      </c>
      <c r="I1725" t="s">
        <v>97</v>
      </c>
      <c r="J1725" t="s">
        <v>84</v>
      </c>
      <c r="K1725">
        <v>2062</v>
      </c>
      <c r="L1725" s="5" t="str">
        <f>IF(OR(K1725&lt;Answers!$C$16,Orders!K1725&gt;Answers!$C$17),"Yes","No")</f>
        <v>No</v>
      </c>
      <c r="M1725" s="14">
        <f>VLOOKUP(B1725,Customers!$A$1:$E$2501,4,0)</f>
        <v>69</v>
      </c>
    </row>
    <row r="1726" spans="1:13" x14ac:dyDescent="0.3">
      <c r="A1726">
        <v>1149537</v>
      </c>
      <c r="B1726">
        <v>158</v>
      </c>
      <c r="C1726" s="1" t="s">
        <v>98</v>
      </c>
      <c r="D1726" s="7">
        <v>44958</v>
      </c>
      <c r="E1726" s="11">
        <v>0.51388888888888884</v>
      </c>
      <c r="F1726" s="15">
        <f t="shared" si="78"/>
        <v>2</v>
      </c>
      <c r="G1726" s="10" t="str">
        <f t="shared" si="79"/>
        <v>Wednesday</v>
      </c>
      <c r="H1726" s="9" t="str">
        <f t="shared" si="80"/>
        <v>February</v>
      </c>
      <c r="I1726" t="s">
        <v>97</v>
      </c>
      <c r="J1726" t="s">
        <v>50</v>
      </c>
      <c r="K1726">
        <v>2663</v>
      </c>
      <c r="L1726" s="5" t="str">
        <f>IF(OR(K1726&lt;Answers!$C$16,Orders!K1726&gt;Answers!$C$17),"Yes","No")</f>
        <v>No</v>
      </c>
      <c r="M1726" s="14">
        <f>VLOOKUP(B1726,Customers!$A$1:$E$2501,4,0)</f>
        <v>41</v>
      </c>
    </row>
    <row r="1727" spans="1:13" x14ac:dyDescent="0.3">
      <c r="A1727">
        <v>1150741</v>
      </c>
      <c r="B1727">
        <v>304</v>
      </c>
      <c r="C1727" s="1" t="s">
        <v>112</v>
      </c>
      <c r="D1727" s="7">
        <v>44994</v>
      </c>
      <c r="E1727" s="11">
        <v>5.9722222222222225E-2</v>
      </c>
      <c r="F1727" s="15">
        <f t="shared" si="78"/>
        <v>3</v>
      </c>
      <c r="G1727" s="10" t="str">
        <f t="shared" si="79"/>
        <v>Thursday</v>
      </c>
      <c r="H1727" s="9" t="str">
        <f t="shared" si="80"/>
        <v>March</v>
      </c>
      <c r="I1727" t="s">
        <v>95</v>
      </c>
      <c r="J1727" t="s">
        <v>67</v>
      </c>
      <c r="K1727">
        <v>9404</v>
      </c>
      <c r="L1727" s="5" t="str">
        <f>IF(OR(K1727&lt;Answers!$C$16,Orders!K1727&gt;Answers!$C$17),"Yes","No")</f>
        <v>No</v>
      </c>
      <c r="M1727" s="14">
        <f>VLOOKUP(B1727,Customers!$A$1:$E$2501,4,0)</f>
        <v>71</v>
      </c>
    </row>
    <row r="1728" spans="1:13" x14ac:dyDescent="0.3">
      <c r="A1728">
        <v>1151977</v>
      </c>
      <c r="B1728">
        <v>1190</v>
      </c>
      <c r="C1728" s="1" t="s">
        <v>102</v>
      </c>
      <c r="D1728" s="7">
        <v>45291</v>
      </c>
      <c r="E1728" s="11">
        <v>7.3611111111111113E-2</v>
      </c>
      <c r="F1728" s="15">
        <f t="shared" si="78"/>
        <v>12</v>
      </c>
      <c r="G1728" s="10" t="str">
        <f t="shared" si="79"/>
        <v>Sunday</v>
      </c>
      <c r="H1728" s="9" t="str">
        <f t="shared" si="80"/>
        <v>December</v>
      </c>
      <c r="I1728" t="s">
        <v>96</v>
      </c>
      <c r="J1728" t="s">
        <v>85</v>
      </c>
      <c r="K1728">
        <v>4385</v>
      </c>
      <c r="L1728" s="5" t="str">
        <f>IF(OR(K1728&lt;Answers!$C$16,Orders!K1728&gt;Answers!$C$17),"Yes","No")</f>
        <v>No</v>
      </c>
      <c r="M1728" s="14">
        <f>VLOOKUP(B1728,Customers!$A$1:$E$2501,4,0)</f>
        <v>50</v>
      </c>
    </row>
    <row r="1729" spans="1:13" x14ac:dyDescent="0.3">
      <c r="A1729">
        <v>1152358</v>
      </c>
      <c r="B1729">
        <v>1098</v>
      </c>
      <c r="C1729" s="1" t="s">
        <v>105</v>
      </c>
      <c r="D1729" s="7">
        <v>45142</v>
      </c>
      <c r="E1729" s="11">
        <v>5.7638888888888892E-2</v>
      </c>
      <c r="F1729" s="15">
        <f t="shared" si="78"/>
        <v>8</v>
      </c>
      <c r="G1729" s="10" t="str">
        <f t="shared" si="79"/>
        <v>Friday</v>
      </c>
      <c r="H1729" s="9" t="str">
        <f t="shared" si="80"/>
        <v>August</v>
      </c>
      <c r="I1729" t="s">
        <v>95</v>
      </c>
      <c r="J1729" t="s">
        <v>42</v>
      </c>
      <c r="K1729">
        <v>596</v>
      </c>
      <c r="L1729" s="5" t="str">
        <f>IF(OR(K1729&lt;Answers!$C$16,Orders!K1729&gt;Answers!$C$17),"Yes","No")</f>
        <v>No</v>
      </c>
      <c r="M1729" s="14">
        <f>VLOOKUP(B1729,Customers!$A$1:$E$2501,4,0)</f>
        <v>31</v>
      </c>
    </row>
    <row r="1730" spans="1:13" x14ac:dyDescent="0.3">
      <c r="A1730">
        <v>1153425</v>
      </c>
      <c r="B1730">
        <v>1349</v>
      </c>
      <c r="C1730" s="1" t="s">
        <v>100</v>
      </c>
      <c r="D1730" s="7">
        <v>45112</v>
      </c>
      <c r="E1730" s="11">
        <v>36678</v>
      </c>
      <c r="F1730" s="15">
        <f t="shared" si="78"/>
        <v>7</v>
      </c>
      <c r="G1730" s="10" t="str">
        <f t="shared" si="79"/>
        <v>Wednesday</v>
      </c>
      <c r="H1730" s="9" t="str">
        <f t="shared" si="80"/>
        <v>July</v>
      </c>
      <c r="I1730" t="s">
        <v>95</v>
      </c>
      <c r="J1730" t="s">
        <v>26</v>
      </c>
      <c r="K1730">
        <v>4412</v>
      </c>
      <c r="L1730" s="5" t="str">
        <f>IF(OR(K1730&lt;Answers!$C$16,Orders!K1730&gt;Answers!$C$17),"Yes","No")</f>
        <v>No</v>
      </c>
      <c r="M1730" s="14">
        <f>VLOOKUP(B1730,Customers!$A$1:$E$2501,4,0)</f>
        <v>66</v>
      </c>
    </row>
    <row r="1731" spans="1:13" x14ac:dyDescent="0.3">
      <c r="A1731">
        <v>1154586</v>
      </c>
      <c r="B1731">
        <v>1031</v>
      </c>
      <c r="C1731" s="1" t="s">
        <v>100</v>
      </c>
      <c r="D1731" s="7">
        <v>45207</v>
      </c>
      <c r="E1731" s="11">
        <v>36597</v>
      </c>
      <c r="F1731" s="15">
        <f t="shared" ref="F1731:F1794" si="81">MONTH(D1731)</f>
        <v>10</v>
      </c>
      <c r="G1731" s="10" t="str">
        <f t="shared" ref="G1731:G1794" si="82">TEXT(D1731,"dddd")</f>
        <v>Sunday</v>
      </c>
      <c r="H1731" s="9" t="str">
        <f t="shared" ref="H1731:H1794" si="83">TEXT(D1731,"mmmm")</f>
        <v>October</v>
      </c>
      <c r="I1731" t="s">
        <v>190</v>
      </c>
      <c r="J1731" t="s">
        <v>68</v>
      </c>
      <c r="K1731">
        <v>5173</v>
      </c>
      <c r="L1731" s="5" t="str">
        <f>IF(OR(K1731&lt;Answers!$C$16,Orders!K1731&gt;Answers!$C$17),"Yes","No")</f>
        <v>No</v>
      </c>
      <c r="M1731" s="14">
        <f>VLOOKUP(B1731,Customers!$A$1:$E$2501,4,0)</f>
        <v>40</v>
      </c>
    </row>
    <row r="1732" spans="1:13" x14ac:dyDescent="0.3">
      <c r="A1732">
        <v>1155724</v>
      </c>
      <c r="B1732">
        <v>174</v>
      </c>
      <c r="C1732" s="1" t="s">
        <v>106</v>
      </c>
      <c r="D1732" s="7">
        <v>45091</v>
      </c>
      <c r="E1732" s="11">
        <v>0.46805555555555556</v>
      </c>
      <c r="F1732" s="15">
        <f t="shared" si="81"/>
        <v>6</v>
      </c>
      <c r="G1732" s="10" t="str">
        <f t="shared" si="82"/>
        <v>Wednesday</v>
      </c>
      <c r="H1732" s="9" t="str">
        <f t="shared" si="83"/>
        <v>June</v>
      </c>
      <c r="I1732" t="s">
        <v>95</v>
      </c>
      <c r="J1732" t="s">
        <v>42</v>
      </c>
      <c r="K1732">
        <v>2828</v>
      </c>
      <c r="L1732" s="5" t="str">
        <f>IF(OR(K1732&lt;Answers!$C$16,Orders!K1732&gt;Answers!$C$17),"Yes","No")</f>
        <v>No</v>
      </c>
      <c r="M1732" s="14">
        <f>VLOOKUP(B1732,Customers!$A$1:$E$2501,4,0)</f>
        <v>68</v>
      </c>
    </row>
    <row r="1733" spans="1:13" x14ac:dyDescent="0.3">
      <c r="A1733">
        <v>1156199</v>
      </c>
      <c r="B1733">
        <v>179</v>
      </c>
      <c r="C1733" s="1" t="s">
        <v>99</v>
      </c>
      <c r="D1733" s="7">
        <v>45147</v>
      </c>
      <c r="E1733" s="11">
        <v>36842</v>
      </c>
      <c r="F1733" s="15">
        <f t="shared" si="81"/>
        <v>8</v>
      </c>
      <c r="G1733" s="10" t="str">
        <f t="shared" si="82"/>
        <v>Wednesday</v>
      </c>
      <c r="H1733" s="9" t="str">
        <f t="shared" si="83"/>
        <v>August</v>
      </c>
      <c r="I1733" t="s">
        <v>97</v>
      </c>
      <c r="J1733" t="s">
        <v>21</v>
      </c>
      <c r="K1733">
        <v>893</v>
      </c>
      <c r="L1733" s="5" t="str">
        <f>IF(OR(K1733&lt;Answers!$C$16,Orders!K1733&gt;Answers!$C$17),"Yes","No")</f>
        <v>No</v>
      </c>
      <c r="M1733" s="14">
        <f>VLOOKUP(B1733,Customers!$A$1:$E$2501,4,0)</f>
        <v>27</v>
      </c>
    </row>
    <row r="1734" spans="1:13" x14ac:dyDescent="0.3">
      <c r="A1734">
        <v>1156227</v>
      </c>
      <c r="B1734">
        <v>1154</v>
      </c>
      <c r="C1734" s="1" t="s">
        <v>104</v>
      </c>
      <c r="D1734" s="7">
        <v>45128</v>
      </c>
      <c r="E1734" s="11">
        <v>0.48194444444444445</v>
      </c>
      <c r="F1734" s="15">
        <f t="shared" si="81"/>
        <v>7</v>
      </c>
      <c r="G1734" s="10" t="str">
        <f t="shared" si="82"/>
        <v>Friday</v>
      </c>
      <c r="H1734" s="9" t="str">
        <f t="shared" si="83"/>
        <v>July</v>
      </c>
      <c r="I1734" t="s">
        <v>190</v>
      </c>
      <c r="J1734" t="s">
        <v>3</v>
      </c>
      <c r="K1734">
        <v>2490</v>
      </c>
      <c r="L1734" s="5" t="str">
        <f>IF(OR(K1734&lt;Answers!$C$16,Orders!K1734&gt;Answers!$C$17),"Yes","No")</f>
        <v>No</v>
      </c>
      <c r="M1734" s="14">
        <f>VLOOKUP(B1734,Customers!$A$1:$E$2501,4,0)</f>
        <v>88</v>
      </c>
    </row>
    <row r="1735" spans="1:13" x14ac:dyDescent="0.3">
      <c r="A1735">
        <v>1156649</v>
      </c>
      <c r="B1735">
        <v>1950</v>
      </c>
      <c r="C1735" s="1" t="s">
        <v>105</v>
      </c>
      <c r="D1735" s="7">
        <v>45141</v>
      </c>
      <c r="E1735" s="11">
        <v>36617</v>
      </c>
      <c r="F1735" s="15">
        <f t="shared" si="81"/>
        <v>8</v>
      </c>
      <c r="G1735" s="10" t="str">
        <f t="shared" si="82"/>
        <v>Thursday</v>
      </c>
      <c r="H1735" s="9" t="str">
        <f t="shared" si="83"/>
        <v>August</v>
      </c>
      <c r="I1735" t="s">
        <v>97</v>
      </c>
      <c r="J1735" t="s">
        <v>18</v>
      </c>
      <c r="K1735">
        <v>2647</v>
      </c>
      <c r="L1735" s="5" t="str">
        <f>IF(OR(K1735&lt;Answers!$C$16,Orders!K1735&gt;Answers!$C$17),"Yes","No")</f>
        <v>No</v>
      </c>
      <c r="M1735" s="14">
        <f>VLOOKUP(B1735,Customers!$A$1:$E$2501,4,0)</f>
        <v>87</v>
      </c>
    </row>
    <row r="1736" spans="1:13" x14ac:dyDescent="0.3">
      <c r="A1736">
        <v>1157103</v>
      </c>
      <c r="B1736">
        <v>868</v>
      </c>
      <c r="C1736" s="1" t="s">
        <v>109</v>
      </c>
      <c r="D1736" s="7">
        <v>45196</v>
      </c>
      <c r="E1736" s="11">
        <v>6.5972222222222224E-2</v>
      </c>
      <c r="F1736" s="15">
        <f t="shared" si="81"/>
        <v>9</v>
      </c>
      <c r="G1736" s="10" t="str">
        <f t="shared" si="82"/>
        <v>Wednesday</v>
      </c>
      <c r="H1736" s="9" t="str">
        <f t="shared" si="83"/>
        <v>September</v>
      </c>
      <c r="I1736" t="s">
        <v>190</v>
      </c>
      <c r="J1736" t="s">
        <v>81</v>
      </c>
      <c r="K1736">
        <v>6840</v>
      </c>
      <c r="L1736" s="5" t="str">
        <f>IF(OR(K1736&lt;Answers!$C$16,Orders!K1736&gt;Answers!$C$17),"Yes","No")</f>
        <v>No</v>
      </c>
      <c r="M1736" s="14">
        <f>VLOOKUP(B1736,Customers!$A$1:$E$2501,4,0)</f>
        <v>31</v>
      </c>
    </row>
    <row r="1737" spans="1:13" x14ac:dyDescent="0.3">
      <c r="A1737">
        <v>1158886</v>
      </c>
      <c r="B1737">
        <v>1479</v>
      </c>
      <c r="C1737" s="1" t="s">
        <v>98</v>
      </c>
      <c r="D1737" s="7">
        <v>45171</v>
      </c>
      <c r="E1737" s="11">
        <v>0.53125</v>
      </c>
      <c r="F1737" s="15">
        <f t="shared" si="81"/>
        <v>9</v>
      </c>
      <c r="G1737" s="10" t="str">
        <f t="shared" si="82"/>
        <v>Saturday</v>
      </c>
      <c r="H1737" s="9" t="str">
        <f t="shared" si="83"/>
        <v>September</v>
      </c>
      <c r="I1737" t="s">
        <v>97</v>
      </c>
      <c r="J1737" t="s">
        <v>14</v>
      </c>
      <c r="K1737">
        <v>3135</v>
      </c>
      <c r="L1737" s="5" t="str">
        <f>IF(OR(K1737&lt;Answers!$C$16,Orders!K1737&gt;Answers!$C$17),"Yes","No")</f>
        <v>No</v>
      </c>
      <c r="M1737" s="14">
        <f>VLOOKUP(B1737,Customers!$A$1:$E$2501,4,0)</f>
        <v>87</v>
      </c>
    </row>
    <row r="1738" spans="1:13" x14ac:dyDescent="0.3">
      <c r="A1738">
        <v>1159317</v>
      </c>
      <c r="B1738">
        <v>997</v>
      </c>
      <c r="C1738" s="1" t="s">
        <v>112</v>
      </c>
      <c r="D1738" s="7">
        <v>45266</v>
      </c>
      <c r="E1738" s="11">
        <v>0.53333333333333333</v>
      </c>
      <c r="F1738" s="15">
        <f t="shared" si="81"/>
        <v>12</v>
      </c>
      <c r="G1738" s="10" t="str">
        <f t="shared" si="82"/>
        <v>Wednesday</v>
      </c>
      <c r="H1738" s="9" t="str">
        <f t="shared" si="83"/>
        <v>December</v>
      </c>
      <c r="I1738" t="s">
        <v>95</v>
      </c>
      <c r="J1738" t="s">
        <v>42</v>
      </c>
      <c r="K1738">
        <v>9148</v>
      </c>
      <c r="L1738" s="5" t="str">
        <f>IF(OR(K1738&lt;Answers!$C$16,Orders!K1738&gt;Answers!$C$17),"Yes","No")</f>
        <v>No</v>
      </c>
      <c r="M1738" s="14">
        <f>VLOOKUP(B1738,Customers!$A$1:$E$2501,4,0)</f>
        <v>58</v>
      </c>
    </row>
    <row r="1739" spans="1:13" x14ac:dyDescent="0.3">
      <c r="A1739">
        <v>1160516</v>
      </c>
      <c r="B1739">
        <v>1958</v>
      </c>
      <c r="C1739" s="1" t="s">
        <v>110</v>
      </c>
      <c r="D1739" s="7">
        <v>45139</v>
      </c>
      <c r="E1739" s="11">
        <v>36689</v>
      </c>
      <c r="F1739" s="15">
        <f t="shared" si="81"/>
        <v>8</v>
      </c>
      <c r="G1739" s="10" t="str">
        <f t="shared" si="82"/>
        <v>Tuesday</v>
      </c>
      <c r="H1739" s="9" t="str">
        <f t="shared" si="83"/>
        <v>August</v>
      </c>
      <c r="I1739" t="s">
        <v>96</v>
      </c>
      <c r="J1739" t="s">
        <v>77</v>
      </c>
      <c r="K1739">
        <v>3233</v>
      </c>
      <c r="L1739" s="5" t="str">
        <f>IF(OR(K1739&lt;Answers!$C$16,Orders!K1739&gt;Answers!$C$17),"Yes","No")</f>
        <v>No</v>
      </c>
      <c r="M1739" s="14">
        <f>VLOOKUP(B1739,Customers!$A$1:$E$2501,4,0)</f>
        <v>23</v>
      </c>
    </row>
    <row r="1740" spans="1:13" x14ac:dyDescent="0.3">
      <c r="A1740">
        <v>1160613</v>
      </c>
      <c r="B1740">
        <v>1990</v>
      </c>
      <c r="C1740" s="1" t="s">
        <v>98</v>
      </c>
      <c r="D1740" s="7">
        <v>45282</v>
      </c>
      <c r="E1740" s="11">
        <v>5.1388888888888887E-2</v>
      </c>
      <c r="F1740" s="15">
        <f t="shared" si="81"/>
        <v>12</v>
      </c>
      <c r="G1740" s="10" t="str">
        <f t="shared" si="82"/>
        <v>Friday</v>
      </c>
      <c r="H1740" s="9" t="str">
        <f t="shared" si="83"/>
        <v>December</v>
      </c>
      <c r="I1740" t="s">
        <v>95</v>
      </c>
      <c r="J1740" t="s">
        <v>26</v>
      </c>
      <c r="K1740">
        <v>8077</v>
      </c>
      <c r="L1740" s="5" t="str">
        <f>IF(OR(K1740&lt;Answers!$C$16,Orders!K1740&gt;Answers!$C$17),"Yes","No")</f>
        <v>No</v>
      </c>
      <c r="M1740" s="14">
        <f>VLOOKUP(B1740,Customers!$A$1:$E$2501,4,0)</f>
        <v>89</v>
      </c>
    </row>
    <row r="1741" spans="1:13" x14ac:dyDescent="0.3">
      <c r="A1741">
        <v>1162071</v>
      </c>
      <c r="B1741">
        <v>1920</v>
      </c>
      <c r="C1741" s="1" t="s">
        <v>98</v>
      </c>
      <c r="D1741" s="7">
        <v>45103</v>
      </c>
      <c r="E1741" s="11">
        <v>6.7361111111111108E-2</v>
      </c>
      <c r="F1741" s="15">
        <f t="shared" si="81"/>
        <v>6</v>
      </c>
      <c r="G1741" s="10" t="str">
        <f t="shared" si="82"/>
        <v>Monday</v>
      </c>
      <c r="H1741" s="9" t="str">
        <f t="shared" si="83"/>
        <v>June</v>
      </c>
      <c r="I1741" t="s">
        <v>190</v>
      </c>
      <c r="J1741" t="s">
        <v>42</v>
      </c>
      <c r="K1741">
        <v>2237</v>
      </c>
      <c r="L1741" s="5" t="str">
        <f>IF(OR(K1741&lt;Answers!$C$16,Orders!K1741&gt;Answers!$C$17),"Yes","No")</f>
        <v>No</v>
      </c>
      <c r="M1741" s="14">
        <f>VLOOKUP(B1741,Customers!$A$1:$E$2501,4,0)</f>
        <v>43</v>
      </c>
    </row>
    <row r="1742" spans="1:13" x14ac:dyDescent="0.3">
      <c r="A1742">
        <v>1162786</v>
      </c>
      <c r="B1742">
        <v>1923</v>
      </c>
      <c r="C1742" s="1" t="s">
        <v>106</v>
      </c>
      <c r="D1742" s="7">
        <v>45032</v>
      </c>
      <c r="E1742" s="11">
        <v>0.43819444444444444</v>
      </c>
      <c r="F1742" s="15">
        <f t="shared" si="81"/>
        <v>4</v>
      </c>
      <c r="G1742" s="10" t="str">
        <f t="shared" si="82"/>
        <v>Sunday</v>
      </c>
      <c r="H1742" s="9" t="str">
        <f t="shared" si="83"/>
        <v>April</v>
      </c>
      <c r="I1742" t="s">
        <v>97</v>
      </c>
      <c r="J1742" t="s">
        <v>26</v>
      </c>
      <c r="K1742">
        <v>3405</v>
      </c>
      <c r="L1742" s="5" t="str">
        <f>IF(OR(K1742&lt;Answers!$C$16,Orders!K1742&gt;Answers!$C$17),"Yes","No")</f>
        <v>No</v>
      </c>
      <c r="M1742" s="14">
        <f>VLOOKUP(B1742,Customers!$A$1:$E$2501,4,0)</f>
        <v>29</v>
      </c>
    </row>
    <row r="1743" spans="1:13" x14ac:dyDescent="0.3">
      <c r="A1743">
        <v>1162801</v>
      </c>
      <c r="B1743">
        <v>1177</v>
      </c>
      <c r="C1743" s="1" t="s">
        <v>107</v>
      </c>
      <c r="D1743" s="7">
        <v>45048</v>
      </c>
      <c r="E1743" s="11">
        <v>6.25E-2</v>
      </c>
      <c r="F1743" s="15">
        <f t="shared" si="81"/>
        <v>5</v>
      </c>
      <c r="G1743" s="10" t="str">
        <f t="shared" si="82"/>
        <v>Tuesday</v>
      </c>
      <c r="H1743" s="9" t="str">
        <f t="shared" si="83"/>
        <v>May</v>
      </c>
      <c r="I1743" t="s">
        <v>95</v>
      </c>
      <c r="J1743" t="s">
        <v>26</v>
      </c>
      <c r="K1743">
        <v>8149</v>
      </c>
      <c r="L1743" s="5" t="str">
        <f>IF(OR(K1743&lt;Answers!$C$16,Orders!K1743&gt;Answers!$C$17),"Yes","No")</f>
        <v>No</v>
      </c>
      <c r="M1743" s="14">
        <f>VLOOKUP(B1743,Customers!$A$1:$E$2501,4,0)</f>
        <v>90</v>
      </c>
    </row>
    <row r="1744" spans="1:13" x14ac:dyDescent="0.3">
      <c r="A1744">
        <v>1162874</v>
      </c>
      <c r="B1744">
        <v>1403</v>
      </c>
      <c r="C1744" s="1" t="s">
        <v>98</v>
      </c>
      <c r="D1744" s="7">
        <v>45085</v>
      </c>
      <c r="E1744" s="11">
        <v>0.4548611111111111</v>
      </c>
      <c r="F1744" s="15">
        <f t="shared" si="81"/>
        <v>6</v>
      </c>
      <c r="G1744" s="10" t="str">
        <f t="shared" si="82"/>
        <v>Thursday</v>
      </c>
      <c r="H1744" s="9" t="str">
        <f t="shared" si="83"/>
        <v>June</v>
      </c>
      <c r="I1744" t="s">
        <v>190</v>
      </c>
      <c r="J1744" t="s">
        <v>26</v>
      </c>
      <c r="K1744">
        <v>2610</v>
      </c>
      <c r="L1744" s="5" t="str">
        <f>IF(OR(K1744&lt;Answers!$C$16,Orders!K1744&gt;Answers!$C$17),"Yes","No")</f>
        <v>No</v>
      </c>
      <c r="M1744" s="14">
        <f>VLOOKUP(B1744,Customers!$A$1:$E$2501,4,0)</f>
        <v>81</v>
      </c>
    </row>
    <row r="1745" spans="1:13" x14ac:dyDescent="0.3">
      <c r="A1745">
        <v>1163316</v>
      </c>
      <c r="B1745">
        <v>863</v>
      </c>
      <c r="C1745" s="1" t="s">
        <v>110</v>
      </c>
      <c r="D1745" s="7">
        <v>44959</v>
      </c>
      <c r="E1745" s="11">
        <v>0.52083333333333337</v>
      </c>
      <c r="F1745" s="15">
        <f t="shared" si="81"/>
        <v>2</v>
      </c>
      <c r="G1745" s="10" t="str">
        <f t="shared" si="82"/>
        <v>Thursday</v>
      </c>
      <c r="H1745" s="9" t="str">
        <f t="shared" si="83"/>
        <v>February</v>
      </c>
      <c r="I1745" t="s">
        <v>97</v>
      </c>
      <c r="J1745" t="s">
        <v>17</v>
      </c>
      <c r="K1745">
        <v>5671</v>
      </c>
      <c r="L1745" s="5" t="str">
        <f>IF(OR(K1745&lt;Answers!$C$16,Orders!K1745&gt;Answers!$C$17),"Yes","No")</f>
        <v>No</v>
      </c>
      <c r="M1745" s="14">
        <f>VLOOKUP(B1745,Customers!$A$1:$E$2501,4,0)</f>
        <v>63</v>
      </c>
    </row>
    <row r="1746" spans="1:13" x14ac:dyDescent="0.3">
      <c r="A1746">
        <v>1163648</v>
      </c>
      <c r="B1746">
        <v>958</v>
      </c>
      <c r="C1746" s="1" t="s">
        <v>98</v>
      </c>
      <c r="D1746" s="7">
        <v>44987</v>
      </c>
      <c r="E1746" s="11">
        <v>0.5395833333333333</v>
      </c>
      <c r="F1746" s="15">
        <f t="shared" si="81"/>
        <v>3</v>
      </c>
      <c r="G1746" s="10" t="str">
        <f t="shared" si="82"/>
        <v>Thursday</v>
      </c>
      <c r="H1746" s="9" t="str">
        <f t="shared" si="83"/>
        <v>March</v>
      </c>
      <c r="I1746" t="s">
        <v>96</v>
      </c>
      <c r="J1746" t="s">
        <v>89</v>
      </c>
      <c r="K1746">
        <v>9428</v>
      </c>
      <c r="L1746" s="5" t="str">
        <f>IF(OR(K1746&lt;Answers!$C$16,Orders!K1746&gt;Answers!$C$17),"Yes","No")</f>
        <v>No</v>
      </c>
      <c r="M1746" s="14">
        <f>VLOOKUP(B1746,Customers!$A$1:$E$2501,4,0)</f>
        <v>89</v>
      </c>
    </row>
    <row r="1747" spans="1:13" x14ac:dyDescent="0.3">
      <c r="A1747">
        <v>1163680</v>
      </c>
      <c r="B1747">
        <v>485</v>
      </c>
      <c r="C1747" s="1" t="s">
        <v>99</v>
      </c>
      <c r="D1747" s="7">
        <v>45011</v>
      </c>
      <c r="E1747" s="11">
        <v>0.52430555555555558</v>
      </c>
      <c r="F1747" s="15">
        <f t="shared" si="81"/>
        <v>3</v>
      </c>
      <c r="G1747" s="10" t="str">
        <f t="shared" si="82"/>
        <v>Sunday</v>
      </c>
      <c r="H1747" s="9" t="str">
        <f t="shared" si="83"/>
        <v>March</v>
      </c>
      <c r="I1747" t="s">
        <v>96</v>
      </c>
      <c r="J1747" t="s">
        <v>22</v>
      </c>
      <c r="K1747">
        <v>890</v>
      </c>
      <c r="L1747" s="5" t="str">
        <f>IF(OR(K1747&lt;Answers!$C$16,Orders!K1747&gt;Answers!$C$17),"Yes","No")</f>
        <v>No</v>
      </c>
      <c r="M1747" s="14">
        <f>VLOOKUP(B1747,Customers!$A$1:$E$2501,4,0)</f>
        <v>19</v>
      </c>
    </row>
    <row r="1748" spans="1:13" x14ac:dyDescent="0.3">
      <c r="A1748">
        <v>1164686</v>
      </c>
      <c r="B1748">
        <v>393</v>
      </c>
      <c r="C1748" s="1" t="s">
        <v>112</v>
      </c>
      <c r="D1748" s="7">
        <v>45289</v>
      </c>
      <c r="E1748" s="11">
        <v>6.5277777777777782E-2</v>
      </c>
      <c r="F1748" s="15">
        <f t="shared" si="81"/>
        <v>12</v>
      </c>
      <c r="G1748" s="10" t="str">
        <f t="shared" si="82"/>
        <v>Friday</v>
      </c>
      <c r="H1748" s="9" t="str">
        <f t="shared" si="83"/>
        <v>December</v>
      </c>
      <c r="I1748" t="s">
        <v>95</v>
      </c>
      <c r="J1748" t="s">
        <v>91</v>
      </c>
      <c r="K1748">
        <v>1148</v>
      </c>
      <c r="L1748" s="5" t="str">
        <f>IF(OR(K1748&lt;Answers!$C$16,Orders!K1748&gt;Answers!$C$17),"Yes","No")</f>
        <v>No</v>
      </c>
      <c r="M1748" s="14">
        <f>VLOOKUP(B1748,Customers!$A$1:$E$2501,4,0)</f>
        <v>19</v>
      </c>
    </row>
    <row r="1749" spans="1:13" x14ac:dyDescent="0.3">
      <c r="A1749">
        <v>1164859</v>
      </c>
      <c r="B1749">
        <v>1620</v>
      </c>
      <c r="C1749" s="1" t="s">
        <v>98</v>
      </c>
      <c r="D1749" s="7">
        <v>45022</v>
      </c>
      <c r="E1749" s="11">
        <v>0.44374999999999998</v>
      </c>
      <c r="F1749" s="15">
        <f t="shared" si="81"/>
        <v>4</v>
      </c>
      <c r="G1749" s="10" t="str">
        <f t="shared" si="82"/>
        <v>Thursday</v>
      </c>
      <c r="H1749" s="9" t="str">
        <f t="shared" si="83"/>
        <v>April</v>
      </c>
      <c r="I1749" t="s">
        <v>190</v>
      </c>
      <c r="J1749" t="s">
        <v>53</v>
      </c>
      <c r="K1749">
        <v>7286</v>
      </c>
      <c r="L1749" s="5" t="str">
        <f>IF(OR(K1749&lt;Answers!$C$16,Orders!K1749&gt;Answers!$C$17),"Yes","No")</f>
        <v>No</v>
      </c>
      <c r="M1749" s="14">
        <f>VLOOKUP(B1749,Customers!$A$1:$E$2501,4,0)</f>
        <v>61</v>
      </c>
    </row>
    <row r="1750" spans="1:13" x14ac:dyDescent="0.3">
      <c r="A1750">
        <v>1165044</v>
      </c>
      <c r="B1750">
        <v>1562</v>
      </c>
      <c r="C1750" s="1" t="s">
        <v>104</v>
      </c>
      <c r="D1750" s="7">
        <v>45008</v>
      </c>
      <c r="E1750" s="11">
        <v>0.52986111111111112</v>
      </c>
      <c r="F1750" s="15">
        <f t="shared" si="81"/>
        <v>3</v>
      </c>
      <c r="G1750" s="10" t="str">
        <f t="shared" si="82"/>
        <v>Thursday</v>
      </c>
      <c r="H1750" s="9" t="str">
        <f t="shared" si="83"/>
        <v>March</v>
      </c>
      <c r="I1750" t="s">
        <v>190</v>
      </c>
      <c r="J1750" t="s">
        <v>19</v>
      </c>
      <c r="K1750">
        <v>8271</v>
      </c>
      <c r="L1750" s="5" t="str">
        <f>IF(OR(K1750&lt;Answers!$C$16,Orders!K1750&gt;Answers!$C$17),"Yes","No")</f>
        <v>No</v>
      </c>
      <c r="M1750" s="14">
        <f>VLOOKUP(B1750,Customers!$A$1:$E$2501,4,0)</f>
        <v>20</v>
      </c>
    </row>
    <row r="1751" spans="1:13" x14ac:dyDescent="0.3">
      <c r="A1751">
        <v>1165350</v>
      </c>
      <c r="B1751">
        <v>1526</v>
      </c>
      <c r="C1751" s="1" t="s">
        <v>98</v>
      </c>
      <c r="D1751" s="7">
        <v>45176</v>
      </c>
      <c r="E1751" s="11">
        <v>36770</v>
      </c>
      <c r="F1751" s="15">
        <f t="shared" si="81"/>
        <v>9</v>
      </c>
      <c r="G1751" s="10" t="str">
        <f t="shared" si="82"/>
        <v>Thursday</v>
      </c>
      <c r="H1751" s="9" t="str">
        <f t="shared" si="83"/>
        <v>September</v>
      </c>
      <c r="I1751" t="s">
        <v>97</v>
      </c>
      <c r="J1751" t="s">
        <v>40</v>
      </c>
      <c r="K1751">
        <v>4870</v>
      </c>
      <c r="L1751" s="5" t="str">
        <f>IF(OR(K1751&lt;Answers!$C$16,Orders!K1751&gt;Answers!$C$17),"Yes","No")</f>
        <v>No</v>
      </c>
      <c r="M1751" s="14">
        <f>VLOOKUP(B1751,Customers!$A$1:$E$2501,4,0)</f>
        <v>50</v>
      </c>
    </row>
    <row r="1752" spans="1:13" x14ac:dyDescent="0.3">
      <c r="A1752">
        <v>1165475</v>
      </c>
      <c r="B1752">
        <v>713</v>
      </c>
      <c r="C1752" s="1" t="s">
        <v>101</v>
      </c>
      <c r="D1752" s="7">
        <v>45231</v>
      </c>
      <c r="E1752" s="11">
        <v>0.47152777777777777</v>
      </c>
      <c r="F1752" s="15">
        <f t="shared" si="81"/>
        <v>11</v>
      </c>
      <c r="G1752" s="10" t="str">
        <f t="shared" si="82"/>
        <v>Wednesday</v>
      </c>
      <c r="H1752" s="9" t="str">
        <f t="shared" si="83"/>
        <v>November</v>
      </c>
      <c r="I1752" t="s">
        <v>97</v>
      </c>
      <c r="J1752" t="s">
        <v>54</v>
      </c>
      <c r="K1752">
        <v>4856</v>
      </c>
      <c r="L1752" s="5" t="str">
        <f>IF(OR(K1752&lt;Answers!$C$16,Orders!K1752&gt;Answers!$C$17),"Yes","No")</f>
        <v>No</v>
      </c>
      <c r="M1752" s="14">
        <f>VLOOKUP(B1752,Customers!$A$1:$E$2501,4,0)</f>
        <v>89</v>
      </c>
    </row>
    <row r="1753" spans="1:13" x14ac:dyDescent="0.3">
      <c r="A1753">
        <v>1165654</v>
      </c>
      <c r="B1753">
        <v>454</v>
      </c>
      <c r="C1753" s="1" t="s">
        <v>98</v>
      </c>
      <c r="D1753" s="7">
        <v>45226</v>
      </c>
      <c r="E1753" s="11">
        <v>0.47569444444444442</v>
      </c>
      <c r="F1753" s="15">
        <f t="shared" si="81"/>
        <v>10</v>
      </c>
      <c r="G1753" s="10" t="str">
        <f t="shared" si="82"/>
        <v>Friday</v>
      </c>
      <c r="H1753" s="9" t="str">
        <f t="shared" si="83"/>
        <v>October</v>
      </c>
      <c r="I1753" t="s">
        <v>97</v>
      </c>
      <c r="J1753" t="s">
        <v>55</v>
      </c>
      <c r="K1753">
        <v>7755</v>
      </c>
      <c r="L1753" s="5" t="str">
        <f>IF(OR(K1753&lt;Answers!$C$16,Orders!K1753&gt;Answers!$C$17),"Yes","No")</f>
        <v>No</v>
      </c>
      <c r="M1753" s="14">
        <f>VLOOKUP(B1753,Customers!$A$1:$E$2501,4,0)</f>
        <v>37</v>
      </c>
    </row>
    <row r="1754" spans="1:13" x14ac:dyDescent="0.3">
      <c r="A1754">
        <v>1165962</v>
      </c>
      <c r="B1754">
        <v>53</v>
      </c>
      <c r="C1754" s="1" t="s">
        <v>106</v>
      </c>
      <c r="D1754" s="7">
        <v>45290</v>
      </c>
      <c r="E1754" s="11">
        <v>0.49027777777777776</v>
      </c>
      <c r="F1754" s="15">
        <f t="shared" si="81"/>
        <v>12</v>
      </c>
      <c r="G1754" s="10" t="str">
        <f t="shared" si="82"/>
        <v>Saturday</v>
      </c>
      <c r="H1754" s="9" t="str">
        <f t="shared" si="83"/>
        <v>December</v>
      </c>
      <c r="I1754" t="s">
        <v>97</v>
      </c>
      <c r="J1754" t="s">
        <v>69</v>
      </c>
      <c r="K1754">
        <v>9977</v>
      </c>
      <c r="L1754" s="5" t="str">
        <f>IF(OR(K1754&lt;Answers!$C$16,Orders!K1754&gt;Answers!$C$17),"Yes","No")</f>
        <v>No</v>
      </c>
      <c r="M1754" s="14">
        <f>VLOOKUP(B1754,Customers!$A$1:$E$2501,4,0)</f>
        <v>62</v>
      </c>
    </row>
    <row r="1755" spans="1:13" x14ac:dyDescent="0.3">
      <c r="A1755">
        <v>1166621</v>
      </c>
      <c r="B1755">
        <v>1789</v>
      </c>
      <c r="C1755" s="1" t="s">
        <v>108</v>
      </c>
      <c r="D1755" s="7">
        <v>45118</v>
      </c>
      <c r="E1755" s="11">
        <v>36781</v>
      </c>
      <c r="F1755" s="15">
        <f t="shared" si="81"/>
        <v>7</v>
      </c>
      <c r="G1755" s="10" t="str">
        <f t="shared" si="82"/>
        <v>Tuesday</v>
      </c>
      <c r="H1755" s="9" t="str">
        <f t="shared" si="83"/>
        <v>July</v>
      </c>
      <c r="I1755" t="s">
        <v>95</v>
      </c>
      <c r="J1755" t="s">
        <v>57</v>
      </c>
      <c r="K1755">
        <v>2664</v>
      </c>
      <c r="L1755" s="5" t="str">
        <f>IF(OR(K1755&lt;Answers!$C$16,Orders!K1755&gt;Answers!$C$17),"Yes","No")</f>
        <v>No</v>
      </c>
      <c r="M1755" s="14">
        <f>VLOOKUP(B1755,Customers!$A$1:$E$2501,4,0)</f>
        <v>35</v>
      </c>
    </row>
    <row r="1756" spans="1:13" x14ac:dyDescent="0.3">
      <c r="A1756">
        <v>1166715</v>
      </c>
      <c r="B1756">
        <v>337</v>
      </c>
      <c r="C1756" s="1" t="s">
        <v>105</v>
      </c>
      <c r="D1756" s="7">
        <v>45056</v>
      </c>
      <c r="E1756" s="11">
        <v>0.51041666666666663</v>
      </c>
      <c r="F1756" s="15">
        <f t="shared" si="81"/>
        <v>5</v>
      </c>
      <c r="G1756" s="10" t="str">
        <f t="shared" si="82"/>
        <v>Wednesday</v>
      </c>
      <c r="H1756" s="9" t="str">
        <f t="shared" si="83"/>
        <v>May</v>
      </c>
      <c r="I1756" t="s">
        <v>97</v>
      </c>
      <c r="J1756" t="s">
        <v>58</v>
      </c>
      <c r="K1756">
        <v>8874</v>
      </c>
      <c r="L1756" s="5" t="str">
        <f>IF(OR(K1756&lt;Answers!$C$16,Orders!K1756&gt;Answers!$C$17),"Yes","No")</f>
        <v>No</v>
      </c>
      <c r="M1756" s="14">
        <f>VLOOKUP(B1756,Customers!$A$1:$E$2501,4,0)</f>
        <v>58</v>
      </c>
    </row>
    <row r="1757" spans="1:13" x14ac:dyDescent="0.3">
      <c r="A1757">
        <v>1168908</v>
      </c>
      <c r="B1757">
        <v>982</v>
      </c>
      <c r="C1757" s="1" t="s">
        <v>98</v>
      </c>
      <c r="D1757" s="7">
        <v>45215</v>
      </c>
      <c r="E1757" s="11">
        <v>36861</v>
      </c>
      <c r="F1757" s="15">
        <f t="shared" si="81"/>
        <v>10</v>
      </c>
      <c r="G1757" s="10" t="str">
        <f t="shared" si="82"/>
        <v>Monday</v>
      </c>
      <c r="H1757" s="9" t="str">
        <f t="shared" si="83"/>
        <v>October</v>
      </c>
      <c r="I1757" t="s">
        <v>190</v>
      </c>
      <c r="J1757" t="s">
        <v>36</v>
      </c>
      <c r="K1757">
        <v>6598</v>
      </c>
      <c r="L1757" s="5" t="str">
        <f>IF(OR(K1757&lt;Answers!$C$16,Orders!K1757&gt;Answers!$C$17),"Yes","No")</f>
        <v>No</v>
      </c>
      <c r="M1757" s="14">
        <f>VLOOKUP(B1757,Customers!$A$1:$E$2501,4,0)</f>
        <v>35</v>
      </c>
    </row>
    <row r="1758" spans="1:13" x14ac:dyDescent="0.3">
      <c r="A1758">
        <v>1169043</v>
      </c>
      <c r="B1758">
        <v>189</v>
      </c>
      <c r="C1758" s="1" t="s">
        <v>98</v>
      </c>
      <c r="D1758" s="7">
        <v>45102</v>
      </c>
      <c r="E1758" s="11">
        <v>0.51666666666666672</v>
      </c>
      <c r="F1758" s="15">
        <f t="shared" si="81"/>
        <v>6</v>
      </c>
      <c r="G1758" s="10" t="str">
        <f t="shared" si="82"/>
        <v>Sunday</v>
      </c>
      <c r="H1758" s="9" t="str">
        <f t="shared" si="83"/>
        <v>June</v>
      </c>
      <c r="I1758" t="s">
        <v>190</v>
      </c>
      <c r="J1758" t="s">
        <v>26</v>
      </c>
      <c r="K1758">
        <v>6955</v>
      </c>
      <c r="L1758" s="5" t="str">
        <f>IF(OR(K1758&lt;Answers!$C$16,Orders!K1758&gt;Answers!$C$17),"Yes","No")</f>
        <v>No</v>
      </c>
      <c r="M1758" s="14">
        <f>VLOOKUP(B1758,Customers!$A$1:$E$2501,4,0)</f>
        <v>59</v>
      </c>
    </row>
    <row r="1759" spans="1:13" x14ac:dyDescent="0.3">
      <c r="A1759">
        <v>1170043</v>
      </c>
      <c r="B1759">
        <v>950</v>
      </c>
      <c r="C1759" s="1" t="s">
        <v>99</v>
      </c>
      <c r="D1759" s="7">
        <v>45250</v>
      </c>
      <c r="E1759" s="11">
        <v>7.0833333333333331E-2</v>
      </c>
      <c r="F1759" s="15">
        <f t="shared" si="81"/>
        <v>11</v>
      </c>
      <c r="G1759" s="10" t="str">
        <f t="shared" si="82"/>
        <v>Monday</v>
      </c>
      <c r="H1759" s="9" t="str">
        <f t="shared" si="83"/>
        <v>November</v>
      </c>
      <c r="I1759" t="s">
        <v>95</v>
      </c>
      <c r="J1759" t="s">
        <v>44</v>
      </c>
      <c r="K1759">
        <v>6767</v>
      </c>
      <c r="L1759" s="5" t="str">
        <f>IF(OR(K1759&lt;Answers!$C$16,Orders!K1759&gt;Answers!$C$17),"Yes","No")</f>
        <v>No</v>
      </c>
      <c r="M1759" s="14">
        <f>VLOOKUP(B1759,Customers!$A$1:$E$2501,4,0)</f>
        <v>72</v>
      </c>
    </row>
    <row r="1760" spans="1:13" x14ac:dyDescent="0.3">
      <c r="A1760">
        <v>1171504</v>
      </c>
      <c r="B1760">
        <v>853</v>
      </c>
      <c r="C1760" s="1" t="s">
        <v>98</v>
      </c>
      <c r="D1760" s="7">
        <v>45053</v>
      </c>
      <c r="E1760" s="11">
        <v>0.51597222222222228</v>
      </c>
      <c r="F1760" s="15">
        <f t="shared" si="81"/>
        <v>5</v>
      </c>
      <c r="G1760" s="10" t="str">
        <f t="shared" si="82"/>
        <v>Sunday</v>
      </c>
      <c r="H1760" s="9" t="str">
        <f t="shared" si="83"/>
        <v>May</v>
      </c>
      <c r="I1760" t="s">
        <v>97</v>
      </c>
      <c r="J1760" t="s">
        <v>88</v>
      </c>
      <c r="K1760">
        <v>4396</v>
      </c>
      <c r="L1760" s="5" t="str">
        <f>IF(OR(K1760&lt;Answers!$C$16,Orders!K1760&gt;Answers!$C$17),"Yes","No")</f>
        <v>No</v>
      </c>
      <c r="M1760" s="14">
        <f>VLOOKUP(B1760,Customers!$A$1:$E$2501,4,0)</f>
        <v>57</v>
      </c>
    </row>
    <row r="1761" spans="1:13" x14ac:dyDescent="0.3">
      <c r="A1761">
        <v>1171525</v>
      </c>
      <c r="B1761">
        <v>602</v>
      </c>
      <c r="C1761" s="1" t="s">
        <v>103</v>
      </c>
      <c r="D1761" s="7">
        <v>44988</v>
      </c>
      <c r="E1761" s="11">
        <v>0.49236111111111114</v>
      </c>
      <c r="F1761" s="15">
        <f t="shared" si="81"/>
        <v>3</v>
      </c>
      <c r="G1761" s="10" t="str">
        <f t="shared" si="82"/>
        <v>Friday</v>
      </c>
      <c r="H1761" s="9" t="str">
        <f t="shared" si="83"/>
        <v>March</v>
      </c>
      <c r="I1761" t="s">
        <v>95</v>
      </c>
      <c r="J1761" t="s">
        <v>92</v>
      </c>
      <c r="K1761">
        <v>849</v>
      </c>
      <c r="L1761" s="5" t="str">
        <f>IF(OR(K1761&lt;Answers!$C$16,Orders!K1761&gt;Answers!$C$17),"Yes","No")</f>
        <v>No</v>
      </c>
      <c r="M1761" s="14">
        <f>VLOOKUP(B1761,Customers!$A$1:$E$2501,4,0)</f>
        <v>24</v>
      </c>
    </row>
    <row r="1762" spans="1:13" x14ac:dyDescent="0.3">
      <c r="A1762">
        <v>1173348</v>
      </c>
      <c r="B1762">
        <v>1068</v>
      </c>
      <c r="C1762" s="1" t="s">
        <v>104</v>
      </c>
      <c r="D1762" s="7">
        <v>45277</v>
      </c>
      <c r="E1762" s="11">
        <v>5.347222222222222E-2</v>
      </c>
      <c r="F1762" s="15">
        <f t="shared" si="81"/>
        <v>12</v>
      </c>
      <c r="G1762" s="10" t="str">
        <f t="shared" si="82"/>
        <v>Sunday</v>
      </c>
      <c r="H1762" s="9" t="str">
        <f t="shared" si="83"/>
        <v>December</v>
      </c>
      <c r="I1762" t="s">
        <v>96</v>
      </c>
      <c r="J1762" t="s">
        <v>32</v>
      </c>
      <c r="K1762">
        <v>8654</v>
      </c>
      <c r="L1762" s="5" t="str">
        <f>IF(OR(K1762&lt;Answers!$C$16,Orders!K1762&gt;Answers!$C$17),"Yes","No")</f>
        <v>No</v>
      </c>
      <c r="M1762" s="14">
        <f>VLOOKUP(B1762,Customers!$A$1:$E$2501,4,0)</f>
        <v>56</v>
      </c>
    </row>
    <row r="1763" spans="1:13" x14ac:dyDescent="0.3">
      <c r="A1763">
        <v>1173471</v>
      </c>
      <c r="B1763">
        <v>1979</v>
      </c>
      <c r="C1763" s="1" t="s">
        <v>101</v>
      </c>
      <c r="D1763" s="7">
        <v>45158</v>
      </c>
      <c r="E1763" s="11">
        <v>8.3333333333333329E-2</v>
      </c>
      <c r="F1763" s="15">
        <f t="shared" si="81"/>
        <v>8</v>
      </c>
      <c r="G1763" s="10" t="str">
        <f t="shared" si="82"/>
        <v>Sunday</v>
      </c>
      <c r="H1763" s="9" t="str">
        <f t="shared" si="83"/>
        <v>August</v>
      </c>
      <c r="I1763" t="s">
        <v>95</v>
      </c>
      <c r="J1763" t="s">
        <v>62</v>
      </c>
      <c r="K1763">
        <v>7703</v>
      </c>
      <c r="L1763" s="5" t="str">
        <f>IF(OR(K1763&lt;Answers!$C$16,Orders!K1763&gt;Answers!$C$17),"Yes","No")</f>
        <v>No</v>
      </c>
      <c r="M1763" s="14">
        <f>VLOOKUP(B1763,Customers!$A$1:$E$2501,4,0)</f>
        <v>21</v>
      </c>
    </row>
    <row r="1764" spans="1:13" x14ac:dyDescent="0.3">
      <c r="A1764">
        <v>1175258</v>
      </c>
      <c r="B1764">
        <v>1643</v>
      </c>
      <c r="C1764" s="1" t="s">
        <v>100</v>
      </c>
      <c r="D1764" s="7">
        <v>45137</v>
      </c>
      <c r="E1764" s="11">
        <v>0.53541666666666665</v>
      </c>
      <c r="F1764" s="15">
        <f t="shared" si="81"/>
        <v>7</v>
      </c>
      <c r="G1764" s="10" t="str">
        <f t="shared" si="82"/>
        <v>Sunday</v>
      </c>
      <c r="H1764" s="9" t="str">
        <f t="shared" si="83"/>
        <v>July</v>
      </c>
      <c r="I1764" t="s">
        <v>96</v>
      </c>
      <c r="J1764" t="s">
        <v>89</v>
      </c>
      <c r="K1764">
        <v>6538</v>
      </c>
      <c r="L1764" s="5" t="str">
        <f>IF(OR(K1764&lt;Answers!$C$16,Orders!K1764&gt;Answers!$C$17),"Yes","No")</f>
        <v>No</v>
      </c>
      <c r="M1764" s="14">
        <f>VLOOKUP(B1764,Customers!$A$1:$E$2501,4,0)</f>
        <v>29</v>
      </c>
    </row>
    <row r="1765" spans="1:13" x14ac:dyDescent="0.3">
      <c r="A1765">
        <v>1175716</v>
      </c>
      <c r="B1765">
        <v>1442</v>
      </c>
      <c r="C1765" s="1" t="s">
        <v>98</v>
      </c>
      <c r="D1765" s="7">
        <v>45035</v>
      </c>
      <c r="E1765" s="11">
        <v>0.53333333333333333</v>
      </c>
      <c r="F1765" s="15">
        <f t="shared" si="81"/>
        <v>4</v>
      </c>
      <c r="G1765" s="10" t="str">
        <f t="shared" si="82"/>
        <v>Wednesday</v>
      </c>
      <c r="H1765" s="9" t="str">
        <f t="shared" si="83"/>
        <v>April</v>
      </c>
      <c r="I1765" t="s">
        <v>97</v>
      </c>
      <c r="J1765" t="s">
        <v>38</v>
      </c>
      <c r="K1765">
        <v>9617</v>
      </c>
      <c r="L1765" s="5" t="str">
        <f>IF(OR(K1765&lt;Answers!$C$16,Orders!K1765&gt;Answers!$C$17),"Yes","No")</f>
        <v>No</v>
      </c>
      <c r="M1765" s="14">
        <f>VLOOKUP(B1765,Customers!$A$1:$E$2501,4,0)</f>
        <v>82</v>
      </c>
    </row>
    <row r="1766" spans="1:13" x14ac:dyDescent="0.3">
      <c r="A1766">
        <v>1177486</v>
      </c>
      <c r="B1766">
        <v>642</v>
      </c>
      <c r="C1766" s="1" t="s">
        <v>99</v>
      </c>
      <c r="D1766" s="7">
        <v>45278</v>
      </c>
      <c r="E1766" s="11">
        <v>6.805555555555555E-2</v>
      </c>
      <c r="F1766" s="15">
        <f t="shared" si="81"/>
        <v>12</v>
      </c>
      <c r="G1766" s="10" t="str">
        <f t="shared" si="82"/>
        <v>Monday</v>
      </c>
      <c r="H1766" s="9" t="str">
        <f t="shared" si="83"/>
        <v>December</v>
      </c>
      <c r="I1766" t="s">
        <v>96</v>
      </c>
      <c r="J1766" t="s">
        <v>52</v>
      </c>
      <c r="K1766">
        <v>2740</v>
      </c>
      <c r="L1766" s="5" t="str">
        <f>IF(OR(K1766&lt;Answers!$C$16,Orders!K1766&gt;Answers!$C$17),"Yes","No")</f>
        <v>No</v>
      </c>
      <c r="M1766" s="14">
        <f>VLOOKUP(B1766,Customers!$A$1:$E$2501,4,0)</f>
        <v>32</v>
      </c>
    </row>
    <row r="1767" spans="1:13" x14ac:dyDescent="0.3">
      <c r="A1767">
        <v>1178982</v>
      </c>
      <c r="B1767">
        <v>687</v>
      </c>
      <c r="C1767" s="1" t="s">
        <v>99</v>
      </c>
      <c r="D1767" s="7">
        <v>45044</v>
      </c>
      <c r="E1767" s="11">
        <v>36617</v>
      </c>
      <c r="F1767" s="15">
        <f t="shared" si="81"/>
        <v>4</v>
      </c>
      <c r="G1767" s="10" t="str">
        <f t="shared" si="82"/>
        <v>Friday</v>
      </c>
      <c r="H1767" s="9" t="str">
        <f t="shared" si="83"/>
        <v>April</v>
      </c>
      <c r="I1767" t="s">
        <v>190</v>
      </c>
      <c r="J1767" t="s">
        <v>63</v>
      </c>
      <c r="K1767">
        <v>52</v>
      </c>
      <c r="L1767" s="5" t="str">
        <f>IF(OR(K1767&lt;Answers!$C$16,Orders!K1767&gt;Answers!$C$17),"Yes","No")</f>
        <v>No</v>
      </c>
      <c r="M1767" s="14">
        <f>VLOOKUP(B1767,Customers!$A$1:$E$2501,4,0)</f>
        <v>50</v>
      </c>
    </row>
    <row r="1768" spans="1:13" x14ac:dyDescent="0.3">
      <c r="A1768">
        <v>1179872</v>
      </c>
      <c r="B1768">
        <v>323</v>
      </c>
      <c r="C1768" s="1" t="s">
        <v>99</v>
      </c>
      <c r="D1768" s="7">
        <v>45134</v>
      </c>
      <c r="E1768" s="11">
        <v>36628</v>
      </c>
      <c r="F1768" s="15">
        <f t="shared" si="81"/>
        <v>7</v>
      </c>
      <c r="G1768" s="10" t="str">
        <f t="shared" si="82"/>
        <v>Thursday</v>
      </c>
      <c r="H1768" s="9" t="str">
        <f t="shared" si="83"/>
        <v>July</v>
      </c>
      <c r="I1768" t="s">
        <v>96</v>
      </c>
      <c r="J1768" t="s">
        <v>26</v>
      </c>
      <c r="K1768">
        <v>6228</v>
      </c>
      <c r="L1768" s="5" t="str">
        <f>IF(OR(K1768&lt;Answers!$C$16,Orders!K1768&gt;Answers!$C$17),"Yes","No")</f>
        <v>No</v>
      </c>
      <c r="M1768" s="14">
        <f>VLOOKUP(B1768,Customers!$A$1:$E$2501,4,0)</f>
        <v>49</v>
      </c>
    </row>
    <row r="1769" spans="1:13" x14ac:dyDescent="0.3">
      <c r="A1769">
        <v>1180153</v>
      </c>
      <c r="B1769">
        <v>873</v>
      </c>
      <c r="C1769" s="1" t="s">
        <v>101</v>
      </c>
      <c r="D1769" s="7">
        <v>45221</v>
      </c>
      <c r="E1769" s="11">
        <v>0.52013888888888893</v>
      </c>
      <c r="F1769" s="15">
        <f t="shared" si="81"/>
        <v>10</v>
      </c>
      <c r="G1769" s="10" t="str">
        <f t="shared" si="82"/>
        <v>Sunday</v>
      </c>
      <c r="H1769" s="9" t="str">
        <f t="shared" si="83"/>
        <v>October</v>
      </c>
      <c r="I1769" t="s">
        <v>95</v>
      </c>
      <c r="J1769" t="s">
        <v>4</v>
      </c>
      <c r="K1769">
        <v>3374</v>
      </c>
      <c r="L1769" s="5" t="str">
        <f>IF(OR(K1769&lt;Answers!$C$16,Orders!K1769&gt;Answers!$C$17),"Yes","No")</f>
        <v>No</v>
      </c>
      <c r="M1769" s="14">
        <f>VLOOKUP(B1769,Customers!$A$1:$E$2501,4,0)</f>
        <v>75</v>
      </c>
    </row>
    <row r="1770" spans="1:13" x14ac:dyDescent="0.3">
      <c r="A1770">
        <v>1180567</v>
      </c>
      <c r="B1770">
        <v>898</v>
      </c>
      <c r="C1770" s="1" t="s">
        <v>98</v>
      </c>
      <c r="D1770" s="7">
        <v>45178</v>
      </c>
      <c r="E1770" s="11">
        <v>0.45555555555555555</v>
      </c>
      <c r="F1770" s="15">
        <f t="shared" si="81"/>
        <v>9</v>
      </c>
      <c r="G1770" s="10" t="str">
        <f t="shared" si="82"/>
        <v>Saturday</v>
      </c>
      <c r="H1770" s="9" t="str">
        <f t="shared" si="83"/>
        <v>September</v>
      </c>
      <c r="I1770" t="s">
        <v>95</v>
      </c>
      <c r="J1770" t="s">
        <v>64</v>
      </c>
      <c r="K1770">
        <v>7717</v>
      </c>
      <c r="L1770" s="5" t="str">
        <f>IF(OR(K1770&lt;Answers!$C$16,Orders!K1770&gt;Answers!$C$17),"Yes","No")</f>
        <v>No</v>
      </c>
      <c r="M1770" s="14">
        <f>VLOOKUP(B1770,Customers!$A$1:$E$2501,4,0)</f>
        <v>64</v>
      </c>
    </row>
    <row r="1771" spans="1:13" x14ac:dyDescent="0.3">
      <c r="A1771">
        <v>1180828</v>
      </c>
      <c r="B1771">
        <v>1063</v>
      </c>
      <c r="C1771" s="1" t="s">
        <v>112</v>
      </c>
      <c r="D1771" s="7">
        <v>45114</v>
      </c>
      <c r="E1771" s="11">
        <v>0.46875</v>
      </c>
      <c r="F1771" s="15">
        <f t="shared" si="81"/>
        <v>7</v>
      </c>
      <c r="G1771" s="10" t="str">
        <f t="shared" si="82"/>
        <v>Friday</v>
      </c>
      <c r="H1771" s="9" t="str">
        <f t="shared" si="83"/>
        <v>July</v>
      </c>
      <c r="I1771" t="s">
        <v>190</v>
      </c>
      <c r="J1771" t="s">
        <v>90</v>
      </c>
      <c r="K1771">
        <v>7190</v>
      </c>
      <c r="L1771" s="5" t="str">
        <f>IF(OR(K1771&lt;Answers!$C$16,Orders!K1771&gt;Answers!$C$17),"Yes","No")</f>
        <v>No</v>
      </c>
      <c r="M1771" s="14">
        <f>VLOOKUP(B1771,Customers!$A$1:$E$2501,4,0)</f>
        <v>82</v>
      </c>
    </row>
    <row r="1772" spans="1:13" x14ac:dyDescent="0.3">
      <c r="A1772">
        <v>1181602</v>
      </c>
      <c r="B1772">
        <v>683</v>
      </c>
      <c r="C1772" s="1" t="s">
        <v>100</v>
      </c>
      <c r="D1772" s="7">
        <v>45134</v>
      </c>
      <c r="E1772" s="11">
        <v>0.52361111111111114</v>
      </c>
      <c r="F1772" s="15">
        <f t="shared" si="81"/>
        <v>7</v>
      </c>
      <c r="G1772" s="10" t="str">
        <f t="shared" si="82"/>
        <v>Thursday</v>
      </c>
      <c r="H1772" s="9" t="str">
        <f t="shared" si="83"/>
        <v>July</v>
      </c>
      <c r="I1772" t="s">
        <v>97</v>
      </c>
      <c r="J1772" t="s">
        <v>80</v>
      </c>
      <c r="K1772">
        <v>8578</v>
      </c>
      <c r="L1772" s="5" t="str">
        <f>IF(OR(K1772&lt;Answers!$C$16,Orders!K1772&gt;Answers!$C$17),"Yes","No")</f>
        <v>No</v>
      </c>
      <c r="M1772" s="14">
        <f>VLOOKUP(B1772,Customers!$A$1:$E$2501,4,0)</f>
        <v>47</v>
      </c>
    </row>
    <row r="1773" spans="1:13" x14ac:dyDescent="0.3">
      <c r="A1773">
        <v>1182031</v>
      </c>
      <c r="B1773">
        <v>1569</v>
      </c>
      <c r="C1773" s="1" t="s">
        <v>104</v>
      </c>
      <c r="D1773" s="7">
        <v>45238</v>
      </c>
      <c r="E1773" s="11">
        <v>0.53611111111111109</v>
      </c>
      <c r="F1773" s="15">
        <f t="shared" si="81"/>
        <v>11</v>
      </c>
      <c r="G1773" s="10" t="str">
        <f t="shared" si="82"/>
        <v>Wednesday</v>
      </c>
      <c r="H1773" s="9" t="str">
        <f t="shared" si="83"/>
        <v>November</v>
      </c>
      <c r="I1773" t="s">
        <v>190</v>
      </c>
      <c r="J1773" t="s">
        <v>87</v>
      </c>
      <c r="K1773">
        <v>3428</v>
      </c>
      <c r="L1773" s="5" t="str">
        <f>IF(OR(K1773&lt;Answers!$C$16,Orders!K1773&gt;Answers!$C$17),"Yes","No")</f>
        <v>No</v>
      </c>
      <c r="M1773" s="14">
        <f>VLOOKUP(B1773,Customers!$A$1:$E$2501,4,0)</f>
        <v>20</v>
      </c>
    </row>
    <row r="1774" spans="1:13" x14ac:dyDescent="0.3">
      <c r="A1774">
        <v>1182341</v>
      </c>
      <c r="B1774">
        <v>225</v>
      </c>
      <c r="C1774" s="1" t="s">
        <v>105</v>
      </c>
      <c r="D1774" s="7">
        <v>45262</v>
      </c>
      <c r="E1774" s="11">
        <v>0.46736111111111112</v>
      </c>
      <c r="F1774" s="15">
        <f t="shared" si="81"/>
        <v>12</v>
      </c>
      <c r="G1774" s="10" t="str">
        <f t="shared" si="82"/>
        <v>Saturday</v>
      </c>
      <c r="H1774" s="9" t="str">
        <f t="shared" si="83"/>
        <v>December</v>
      </c>
      <c r="I1774" t="s">
        <v>97</v>
      </c>
      <c r="J1774" t="s">
        <v>45</v>
      </c>
      <c r="K1774">
        <v>567</v>
      </c>
      <c r="L1774" s="5" t="str">
        <f>IF(OR(K1774&lt;Answers!$C$16,Orders!K1774&gt;Answers!$C$17),"Yes","No")</f>
        <v>No</v>
      </c>
      <c r="M1774" s="14">
        <f>VLOOKUP(B1774,Customers!$A$1:$E$2501,4,0)</f>
        <v>83</v>
      </c>
    </row>
    <row r="1775" spans="1:13" x14ac:dyDescent="0.3">
      <c r="A1775">
        <v>1182759</v>
      </c>
      <c r="B1775">
        <v>722</v>
      </c>
      <c r="C1775" s="1" t="s">
        <v>98</v>
      </c>
      <c r="D1775" s="7">
        <v>44933</v>
      </c>
      <c r="E1775" s="11">
        <v>36678</v>
      </c>
      <c r="F1775" s="15">
        <f t="shared" si="81"/>
        <v>1</v>
      </c>
      <c r="G1775" s="10" t="str">
        <f t="shared" si="82"/>
        <v>Saturday</v>
      </c>
      <c r="H1775" s="9" t="str">
        <f t="shared" si="83"/>
        <v>January</v>
      </c>
      <c r="I1775" t="s">
        <v>97</v>
      </c>
      <c r="J1775" t="s">
        <v>81</v>
      </c>
      <c r="K1775">
        <v>2645</v>
      </c>
      <c r="L1775" s="5" t="str">
        <f>IF(OR(K1775&lt;Answers!$C$16,Orders!K1775&gt;Answers!$C$17),"Yes","No")</f>
        <v>No</v>
      </c>
      <c r="M1775" s="14">
        <f>VLOOKUP(B1775,Customers!$A$1:$E$2501,4,0)</f>
        <v>27</v>
      </c>
    </row>
    <row r="1776" spans="1:13" x14ac:dyDescent="0.3">
      <c r="A1776">
        <v>1182819</v>
      </c>
      <c r="B1776">
        <v>562</v>
      </c>
      <c r="C1776" s="1" t="s">
        <v>105</v>
      </c>
      <c r="D1776" s="7">
        <v>45161</v>
      </c>
      <c r="E1776" s="11">
        <v>0.47638888888888886</v>
      </c>
      <c r="F1776" s="15">
        <f t="shared" si="81"/>
        <v>8</v>
      </c>
      <c r="G1776" s="10" t="str">
        <f t="shared" si="82"/>
        <v>Wednesday</v>
      </c>
      <c r="H1776" s="9" t="str">
        <f t="shared" si="83"/>
        <v>August</v>
      </c>
      <c r="I1776" t="s">
        <v>190</v>
      </c>
      <c r="J1776" t="s">
        <v>89</v>
      </c>
      <c r="K1776">
        <v>7031</v>
      </c>
      <c r="L1776" s="5" t="str">
        <f>IF(OR(K1776&lt;Answers!$C$16,Orders!K1776&gt;Answers!$C$17),"Yes","No")</f>
        <v>No</v>
      </c>
      <c r="M1776" s="14">
        <f>VLOOKUP(B1776,Customers!$A$1:$E$2501,4,0)</f>
        <v>75</v>
      </c>
    </row>
    <row r="1777" spans="1:13" x14ac:dyDescent="0.3">
      <c r="A1777">
        <v>1182826</v>
      </c>
      <c r="B1777">
        <v>1439</v>
      </c>
      <c r="C1777" s="1" t="s">
        <v>104</v>
      </c>
      <c r="D1777" s="7">
        <v>45239</v>
      </c>
      <c r="E1777" s="11">
        <v>0.49861111111111112</v>
      </c>
      <c r="F1777" s="15">
        <f t="shared" si="81"/>
        <v>11</v>
      </c>
      <c r="G1777" s="10" t="str">
        <f t="shared" si="82"/>
        <v>Thursday</v>
      </c>
      <c r="H1777" s="9" t="str">
        <f t="shared" si="83"/>
        <v>November</v>
      </c>
      <c r="I1777" t="s">
        <v>97</v>
      </c>
      <c r="J1777" t="s">
        <v>42</v>
      </c>
      <c r="K1777">
        <v>3629</v>
      </c>
      <c r="L1777" s="5" t="str">
        <f>IF(OR(K1777&lt;Answers!$C$16,Orders!K1777&gt;Answers!$C$17),"Yes","No")</f>
        <v>No</v>
      </c>
      <c r="M1777" s="14">
        <f>VLOOKUP(B1777,Customers!$A$1:$E$2501,4,0)</f>
        <v>40</v>
      </c>
    </row>
    <row r="1778" spans="1:13" x14ac:dyDescent="0.3">
      <c r="A1778">
        <v>1183427</v>
      </c>
      <c r="B1778">
        <v>857</v>
      </c>
      <c r="C1778" s="1" t="s">
        <v>98</v>
      </c>
      <c r="D1778" s="7">
        <v>44962</v>
      </c>
      <c r="E1778" s="11">
        <v>0.44097222222222221</v>
      </c>
      <c r="F1778" s="15">
        <f t="shared" si="81"/>
        <v>2</v>
      </c>
      <c r="G1778" s="10" t="str">
        <f t="shared" si="82"/>
        <v>Sunday</v>
      </c>
      <c r="H1778" s="9" t="str">
        <f t="shared" si="83"/>
        <v>February</v>
      </c>
      <c r="I1778" t="s">
        <v>97</v>
      </c>
      <c r="J1778" t="s">
        <v>43</v>
      </c>
      <c r="K1778">
        <v>3095</v>
      </c>
      <c r="L1778" s="5" t="str">
        <f>IF(OR(K1778&lt;Answers!$C$16,Orders!K1778&gt;Answers!$C$17),"Yes","No")</f>
        <v>No</v>
      </c>
      <c r="M1778" s="14">
        <f>VLOOKUP(B1778,Customers!$A$1:$E$2501,4,0)</f>
        <v>34</v>
      </c>
    </row>
    <row r="1779" spans="1:13" x14ac:dyDescent="0.3">
      <c r="A1779">
        <v>1184082</v>
      </c>
      <c r="B1779">
        <v>312</v>
      </c>
      <c r="C1779" s="1" t="s">
        <v>106</v>
      </c>
      <c r="D1779" s="7">
        <v>44971</v>
      </c>
      <c r="E1779" s="11">
        <v>0.5395833333333333</v>
      </c>
      <c r="F1779" s="15">
        <f t="shared" si="81"/>
        <v>2</v>
      </c>
      <c r="G1779" s="10" t="str">
        <f t="shared" si="82"/>
        <v>Tuesday</v>
      </c>
      <c r="H1779" s="9" t="str">
        <f t="shared" si="83"/>
        <v>February</v>
      </c>
      <c r="I1779" t="s">
        <v>95</v>
      </c>
      <c r="J1779" t="s">
        <v>77</v>
      </c>
      <c r="K1779">
        <v>734</v>
      </c>
      <c r="L1779" s="5" t="str">
        <f>IF(OR(K1779&lt;Answers!$C$16,Orders!K1779&gt;Answers!$C$17),"Yes","No")</f>
        <v>No</v>
      </c>
      <c r="M1779" s="14">
        <f>VLOOKUP(B1779,Customers!$A$1:$E$2501,4,0)</f>
        <v>38</v>
      </c>
    </row>
    <row r="1780" spans="1:13" x14ac:dyDescent="0.3">
      <c r="A1780">
        <v>1185440</v>
      </c>
      <c r="B1780">
        <v>1509</v>
      </c>
      <c r="C1780" s="1" t="s">
        <v>98</v>
      </c>
      <c r="D1780" s="7">
        <v>44958</v>
      </c>
      <c r="E1780" s="11">
        <v>0.51180555555555551</v>
      </c>
      <c r="F1780" s="15">
        <f t="shared" si="81"/>
        <v>2</v>
      </c>
      <c r="G1780" s="10" t="str">
        <f t="shared" si="82"/>
        <v>Wednesday</v>
      </c>
      <c r="H1780" s="9" t="str">
        <f t="shared" si="83"/>
        <v>February</v>
      </c>
      <c r="I1780" t="s">
        <v>96</v>
      </c>
      <c r="J1780" t="s">
        <v>55</v>
      </c>
      <c r="K1780">
        <v>2567</v>
      </c>
      <c r="L1780" s="5" t="str">
        <f>IF(OR(K1780&lt;Answers!$C$16,Orders!K1780&gt;Answers!$C$17),"Yes","No")</f>
        <v>No</v>
      </c>
      <c r="M1780" s="14">
        <f>VLOOKUP(B1780,Customers!$A$1:$E$2501,4,0)</f>
        <v>31</v>
      </c>
    </row>
    <row r="1781" spans="1:13" x14ac:dyDescent="0.3">
      <c r="A1781">
        <v>1186707</v>
      </c>
      <c r="B1781">
        <v>1512</v>
      </c>
      <c r="C1781" s="1" t="s">
        <v>107</v>
      </c>
      <c r="D1781" s="7">
        <v>44968</v>
      </c>
      <c r="E1781" s="11">
        <v>0.51458333333333328</v>
      </c>
      <c r="F1781" s="15">
        <f t="shared" si="81"/>
        <v>2</v>
      </c>
      <c r="G1781" s="10" t="str">
        <f t="shared" si="82"/>
        <v>Saturday</v>
      </c>
      <c r="H1781" s="9" t="str">
        <f t="shared" si="83"/>
        <v>February</v>
      </c>
      <c r="I1781" t="s">
        <v>97</v>
      </c>
      <c r="J1781" t="s">
        <v>33</v>
      </c>
      <c r="K1781">
        <v>2061</v>
      </c>
      <c r="L1781" s="5" t="str">
        <f>IF(OR(K1781&lt;Answers!$C$16,Orders!K1781&gt;Answers!$C$17),"Yes","No")</f>
        <v>No</v>
      </c>
      <c r="M1781" s="14">
        <f>VLOOKUP(B1781,Customers!$A$1:$E$2501,4,0)</f>
        <v>28</v>
      </c>
    </row>
    <row r="1782" spans="1:13" x14ac:dyDescent="0.3">
      <c r="A1782">
        <v>1188487</v>
      </c>
      <c r="B1782">
        <v>526</v>
      </c>
      <c r="C1782" s="1" t="s">
        <v>98</v>
      </c>
      <c r="D1782" s="7">
        <v>45276</v>
      </c>
      <c r="E1782" s="11">
        <v>7.7777777777777779E-2</v>
      </c>
      <c r="F1782" s="15">
        <f t="shared" si="81"/>
        <v>12</v>
      </c>
      <c r="G1782" s="10" t="str">
        <f t="shared" si="82"/>
        <v>Saturday</v>
      </c>
      <c r="H1782" s="9" t="str">
        <f t="shared" si="83"/>
        <v>December</v>
      </c>
      <c r="I1782" t="s">
        <v>97</v>
      </c>
      <c r="J1782" t="s">
        <v>86</v>
      </c>
      <c r="K1782">
        <v>2527</v>
      </c>
      <c r="L1782" s="5" t="str">
        <f>IF(OR(K1782&lt;Answers!$C$16,Orders!K1782&gt;Answers!$C$17),"Yes","No")</f>
        <v>No</v>
      </c>
      <c r="M1782" s="14">
        <f>VLOOKUP(B1782,Customers!$A$1:$E$2501,4,0)</f>
        <v>49</v>
      </c>
    </row>
    <row r="1783" spans="1:13" x14ac:dyDescent="0.3">
      <c r="A1783">
        <v>1189460</v>
      </c>
      <c r="B1783">
        <v>1181</v>
      </c>
      <c r="C1783" s="1" t="s">
        <v>105</v>
      </c>
      <c r="D1783" s="7">
        <v>45110</v>
      </c>
      <c r="E1783" s="11">
        <v>0.51944444444444449</v>
      </c>
      <c r="F1783" s="15">
        <f t="shared" si="81"/>
        <v>7</v>
      </c>
      <c r="G1783" s="10" t="str">
        <f t="shared" si="82"/>
        <v>Monday</v>
      </c>
      <c r="H1783" s="9" t="str">
        <f t="shared" si="83"/>
        <v>July</v>
      </c>
      <c r="I1783" t="s">
        <v>96</v>
      </c>
      <c r="J1783" t="s">
        <v>77</v>
      </c>
      <c r="K1783">
        <v>4527</v>
      </c>
      <c r="L1783" s="5" t="str">
        <f>IF(OR(K1783&lt;Answers!$C$16,Orders!K1783&gt;Answers!$C$17),"Yes","No")</f>
        <v>No</v>
      </c>
      <c r="M1783" s="14">
        <f>VLOOKUP(B1783,Customers!$A$1:$E$2501,4,0)</f>
        <v>68</v>
      </c>
    </row>
    <row r="1784" spans="1:13" x14ac:dyDescent="0.3">
      <c r="A1784">
        <v>1189996</v>
      </c>
      <c r="B1784">
        <v>522</v>
      </c>
      <c r="C1784" s="1" t="s">
        <v>98</v>
      </c>
      <c r="D1784" s="7">
        <v>45264</v>
      </c>
      <c r="E1784" s="11">
        <v>0.51527777777777772</v>
      </c>
      <c r="F1784" s="15">
        <f t="shared" si="81"/>
        <v>12</v>
      </c>
      <c r="G1784" s="10" t="str">
        <f t="shared" si="82"/>
        <v>Monday</v>
      </c>
      <c r="H1784" s="9" t="str">
        <f t="shared" si="83"/>
        <v>December</v>
      </c>
      <c r="I1784" t="s">
        <v>96</v>
      </c>
      <c r="J1784" t="s">
        <v>26</v>
      </c>
      <c r="K1784">
        <v>4719</v>
      </c>
      <c r="L1784" s="5" t="str">
        <f>IF(OR(K1784&lt;Answers!$C$16,Orders!K1784&gt;Answers!$C$17),"Yes","No")</f>
        <v>No</v>
      </c>
      <c r="M1784" s="14">
        <f>VLOOKUP(B1784,Customers!$A$1:$E$2501,4,0)</f>
        <v>77</v>
      </c>
    </row>
    <row r="1785" spans="1:13" x14ac:dyDescent="0.3">
      <c r="A1785">
        <v>1190330</v>
      </c>
      <c r="B1785">
        <v>1176</v>
      </c>
      <c r="C1785" s="1" t="s">
        <v>98</v>
      </c>
      <c r="D1785" s="7">
        <v>45033</v>
      </c>
      <c r="E1785" s="11">
        <v>0.5180555555555556</v>
      </c>
      <c r="F1785" s="15">
        <f t="shared" si="81"/>
        <v>4</v>
      </c>
      <c r="G1785" s="10" t="str">
        <f t="shared" si="82"/>
        <v>Monday</v>
      </c>
      <c r="H1785" s="9" t="str">
        <f t="shared" si="83"/>
        <v>April</v>
      </c>
      <c r="I1785" t="s">
        <v>190</v>
      </c>
      <c r="J1785" t="s">
        <v>68</v>
      </c>
      <c r="K1785">
        <v>5495</v>
      </c>
      <c r="L1785" s="5" t="str">
        <f>IF(OR(K1785&lt;Answers!$C$16,Orders!K1785&gt;Answers!$C$17),"Yes","No")</f>
        <v>No</v>
      </c>
      <c r="M1785" s="14">
        <f>VLOOKUP(B1785,Customers!$A$1:$E$2501,4,0)</f>
        <v>89</v>
      </c>
    </row>
    <row r="1786" spans="1:13" x14ac:dyDescent="0.3">
      <c r="A1786">
        <v>1190887</v>
      </c>
      <c r="B1786">
        <v>942</v>
      </c>
      <c r="C1786" s="1" t="s">
        <v>98</v>
      </c>
      <c r="D1786" s="7">
        <v>44965</v>
      </c>
      <c r="E1786" s="11">
        <v>0.51597222222222228</v>
      </c>
      <c r="F1786" s="15">
        <f t="shared" si="81"/>
        <v>2</v>
      </c>
      <c r="G1786" s="10" t="str">
        <f t="shared" si="82"/>
        <v>Wednesday</v>
      </c>
      <c r="H1786" s="9" t="str">
        <f t="shared" si="83"/>
        <v>February</v>
      </c>
      <c r="I1786" t="s">
        <v>97</v>
      </c>
      <c r="J1786" t="s">
        <v>25</v>
      </c>
      <c r="K1786">
        <v>2060</v>
      </c>
      <c r="L1786" s="5" t="str">
        <f>IF(OR(K1786&lt;Answers!$C$16,Orders!K1786&gt;Answers!$C$17),"Yes","No")</f>
        <v>No</v>
      </c>
      <c r="M1786" s="14">
        <f>VLOOKUP(B1786,Customers!$A$1:$E$2501,4,0)</f>
        <v>72</v>
      </c>
    </row>
    <row r="1787" spans="1:13" x14ac:dyDescent="0.3">
      <c r="A1787">
        <v>1191785</v>
      </c>
      <c r="B1787">
        <v>1364</v>
      </c>
      <c r="C1787" s="1" t="s">
        <v>99</v>
      </c>
      <c r="D1787" s="7">
        <v>45247</v>
      </c>
      <c r="E1787" s="11">
        <v>0.49861111111111112</v>
      </c>
      <c r="F1787" s="15">
        <f t="shared" si="81"/>
        <v>11</v>
      </c>
      <c r="G1787" s="10" t="str">
        <f t="shared" si="82"/>
        <v>Friday</v>
      </c>
      <c r="H1787" s="9" t="str">
        <f t="shared" si="83"/>
        <v>November</v>
      </c>
      <c r="I1787" t="s">
        <v>190</v>
      </c>
      <c r="J1787" t="s">
        <v>26</v>
      </c>
      <c r="K1787">
        <v>8977</v>
      </c>
      <c r="L1787" s="5" t="str">
        <f>IF(OR(K1787&lt;Answers!$C$16,Orders!K1787&gt;Answers!$C$17),"Yes","No")</f>
        <v>No</v>
      </c>
      <c r="M1787" s="14">
        <f>VLOOKUP(B1787,Customers!$A$1:$E$2501,4,0)</f>
        <v>82</v>
      </c>
    </row>
    <row r="1788" spans="1:13" x14ac:dyDescent="0.3">
      <c r="A1788">
        <v>1192105</v>
      </c>
      <c r="B1788">
        <v>1143</v>
      </c>
      <c r="C1788" s="1" t="s">
        <v>106</v>
      </c>
      <c r="D1788" s="7">
        <v>44957</v>
      </c>
      <c r="E1788" s="11">
        <v>0.49722222222222223</v>
      </c>
      <c r="F1788" s="15">
        <f t="shared" si="81"/>
        <v>1</v>
      </c>
      <c r="G1788" s="10" t="str">
        <f t="shared" si="82"/>
        <v>Tuesday</v>
      </c>
      <c r="H1788" s="9" t="str">
        <f t="shared" si="83"/>
        <v>January</v>
      </c>
      <c r="I1788" t="s">
        <v>190</v>
      </c>
      <c r="J1788" t="s">
        <v>80</v>
      </c>
      <c r="K1788">
        <v>2021</v>
      </c>
      <c r="L1788" s="5" t="str">
        <f>IF(OR(K1788&lt;Answers!$C$16,Orders!K1788&gt;Answers!$C$17),"Yes","No")</f>
        <v>No</v>
      </c>
      <c r="M1788" s="14">
        <f>VLOOKUP(B1788,Customers!$A$1:$E$2501,4,0)</f>
        <v>59</v>
      </c>
    </row>
    <row r="1789" spans="1:13" x14ac:dyDescent="0.3">
      <c r="A1789">
        <v>1194493</v>
      </c>
      <c r="B1789">
        <v>600</v>
      </c>
      <c r="C1789" s="1" t="s">
        <v>98</v>
      </c>
      <c r="D1789" s="7">
        <v>45110</v>
      </c>
      <c r="E1789" s="11">
        <v>0.50902777777777775</v>
      </c>
      <c r="F1789" s="15">
        <f t="shared" si="81"/>
        <v>7</v>
      </c>
      <c r="G1789" s="10" t="str">
        <f t="shared" si="82"/>
        <v>Monday</v>
      </c>
      <c r="H1789" s="9" t="str">
        <f t="shared" si="83"/>
        <v>July</v>
      </c>
      <c r="I1789" t="s">
        <v>95</v>
      </c>
      <c r="J1789" t="s">
        <v>87</v>
      </c>
      <c r="K1789">
        <v>3567</v>
      </c>
      <c r="L1789" s="5" t="str">
        <f>IF(OR(K1789&lt;Answers!$C$16,Orders!K1789&gt;Answers!$C$17),"Yes","No")</f>
        <v>No</v>
      </c>
      <c r="M1789" s="14">
        <f>VLOOKUP(B1789,Customers!$A$1:$E$2501,4,0)</f>
        <v>77</v>
      </c>
    </row>
    <row r="1790" spans="1:13" x14ac:dyDescent="0.3">
      <c r="A1790">
        <v>1196110</v>
      </c>
      <c r="B1790">
        <v>1746</v>
      </c>
      <c r="C1790" s="1" t="s">
        <v>106</v>
      </c>
      <c r="D1790" s="7">
        <v>45012</v>
      </c>
      <c r="E1790" s="11">
        <v>0.51875000000000004</v>
      </c>
      <c r="F1790" s="15">
        <f t="shared" si="81"/>
        <v>3</v>
      </c>
      <c r="G1790" s="10" t="str">
        <f t="shared" si="82"/>
        <v>Monday</v>
      </c>
      <c r="H1790" s="9" t="str">
        <f t="shared" si="83"/>
        <v>March</v>
      </c>
      <c r="I1790" t="s">
        <v>95</v>
      </c>
      <c r="J1790" t="s">
        <v>42</v>
      </c>
      <c r="K1790">
        <v>4222</v>
      </c>
      <c r="L1790" s="5" t="str">
        <f>IF(OR(K1790&lt;Answers!$C$16,Orders!K1790&gt;Answers!$C$17),"Yes","No")</f>
        <v>No</v>
      </c>
      <c r="M1790" s="14">
        <f>VLOOKUP(B1790,Customers!$A$1:$E$2501,4,0)</f>
        <v>66</v>
      </c>
    </row>
    <row r="1791" spans="1:13" x14ac:dyDescent="0.3">
      <c r="A1791">
        <v>1197422</v>
      </c>
      <c r="B1791">
        <v>960</v>
      </c>
      <c r="C1791" s="1" t="s">
        <v>98</v>
      </c>
      <c r="D1791" s="7">
        <v>45284</v>
      </c>
      <c r="E1791" s="11">
        <v>0.48958333333333331</v>
      </c>
      <c r="F1791" s="15">
        <f t="shared" si="81"/>
        <v>12</v>
      </c>
      <c r="G1791" s="10" t="str">
        <f t="shared" si="82"/>
        <v>Sunday</v>
      </c>
      <c r="H1791" s="9" t="str">
        <f t="shared" si="83"/>
        <v>December</v>
      </c>
      <c r="I1791" t="s">
        <v>96</v>
      </c>
      <c r="J1791" t="s">
        <v>26</v>
      </c>
      <c r="K1791">
        <v>6726</v>
      </c>
      <c r="L1791" s="5" t="str">
        <f>IF(OR(K1791&lt;Answers!$C$16,Orders!K1791&gt;Answers!$C$17),"Yes","No")</f>
        <v>No</v>
      </c>
      <c r="M1791" s="14">
        <f>VLOOKUP(B1791,Customers!$A$1:$E$2501,4,0)</f>
        <v>69</v>
      </c>
    </row>
    <row r="1792" spans="1:13" x14ac:dyDescent="0.3">
      <c r="A1792">
        <v>1197876</v>
      </c>
      <c r="B1792">
        <v>1148</v>
      </c>
      <c r="C1792" s="1" t="s">
        <v>101</v>
      </c>
      <c r="D1792" s="7">
        <v>45263</v>
      </c>
      <c r="E1792" s="11">
        <v>0.52361111111111114</v>
      </c>
      <c r="F1792" s="15">
        <f t="shared" si="81"/>
        <v>12</v>
      </c>
      <c r="G1792" s="10" t="str">
        <f t="shared" si="82"/>
        <v>Sunday</v>
      </c>
      <c r="H1792" s="9" t="str">
        <f t="shared" si="83"/>
        <v>December</v>
      </c>
      <c r="I1792" t="s">
        <v>95</v>
      </c>
      <c r="J1792" t="s">
        <v>64</v>
      </c>
      <c r="K1792">
        <v>6055</v>
      </c>
      <c r="L1792" s="5" t="str">
        <f>IF(OR(K1792&lt;Answers!$C$16,Orders!K1792&gt;Answers!$C$17),"Yes","No")</f>
        <v>No</v>
      </c>
      <c r="M1792" s="14">
        <f>VLOOKUP(B1792,Customers!$A$1:$E$2501,4,0)</f>
        <v>53</v>
      </c>
    </row>
    <row r="1793" spans="1:13" x14ac:dyDescent="0.3">
      <c r="A1793">
        <v>1198103</v>
      </c>
      <c r="B1793">
        <v>485</v>
      </c>
      <c r="C1793" s="1" t="s">
        <v>99</v>
      </c>
      <c r="D1793" s="7">
        <v>45009</v>
      </c>
      <c r="E1793" s="11">
        <v>8.0555555555555561E-2</v>
      </c>
      <c r="F1793" s="15">
        <f t="shared" si="81"/>
        <v>3</v>
      </c>
      <c r="G1793" s="10" t="str">
        <f t="shared" si="82"/>
        <v>Friday</v>
      </c>
      <c r="H1793" s="9" t="str">
        <f t="shared" si="83"/>
        <v>March</v>
      </c>
      <c r="I1793" t="s">
        <v>96</v>
      </c>
      <c r="J1793" t="s">
        <v>23</v>
      </c>
      <c r="K1793">
        <v>1994</v>
      </c>
      <c r="L1793" s="5" t="str">
        <f>IF(OR(K1793&lt;Answers!$C$16,Orders!K1793&gt;Answers!$C$17),"Yes","No")</f>
        <v>No</v>
      </c>
      <c r="M1793" s="14">
        <f>VLOOKUP(B1793,Customers!$A$1:$E$2501,4,0)</f>
        <v>19</v>
      </c>
    </row>
    <row r="1794" spans="1:13" x14ac:dyDescent="0.3">
      <c r="A1794">
        <v>1198240</v>
      </c>
      <c r="B1794">
        <v>1548</v>
      </c>
      <c r="C1794" s="1" t="s">
        <v>99</v>
      </c>
      <c r="D1794" s="7">
        <v>45161</v>
      </c>
      <c r="E1794" s="11">
        <v>7.8472222222222221E-2</v>
      </c>
      <c r="F1794" s="15">
        <f t="shared" si="81"/>
        <v>8</v>
      </c>
      <c r="G1794" s="10" t="str">
        <f t="shared" si="82"/>
        <v>Wednesday</v>
      </c>
      <c r="H1794" s="9" t="str">
        <f t="shared" si="83"/>
        <v>August</v>
      </c>
      <c r="I1794" t="s">
        <v>190</v>
      </c>
      <c r="J1794" t="s">
        <v>48</v>
      </c>
      <c r="K1794">
        <v>1736</v>
      </c>
      <c r="L1794" s="5" t="str">
        <f>IF(OR(K1794&lt;Answers!$C$16,Orders!K1794&gt;Answers!$C$17),"Yes","No")</f>
        <v>No</v>
      </c>
      <c r="M1794" s="14">
        <f>VLOOKUP(B1794,Customers!$A$1:$E$2501,4,0)</f>
        <v>46</v>
      </c>
    </row>
    <row r="1795" spans="1:13" x14ac:dyDescent="0.3">
      <c r="A1795">
        <v>1198743</v>
      </c>
      <c r="B1795">
        <v>782</v>
      </c>
      <c r="C1795" s="1" t="s">
        <v>98</v>
      </c>
      <c r="D1795" s="7">
        <v>45108</v>
      </c>
      <c r="E1795" s="11">
        <v>36647</v>
      </c>
      <c r="F1795" s="15">
        <f t="shared" ref="F1795:F1858" si="84">MONTH(D1795)</f>
        <v>7</v>
      </c>
      <c r="G1795" s="10" t="str">
        <f t="shared" ref="G1795:G1858" si="85">TEXT(D1795,"dddd")</f>
        <v>Saturday</v>
      </c>
      <c r="H1795" s="9" t="str">
        <f t="shared" ref="H1795:H1858" si="86">TEXT(D1795,"mmmm")</f>
        <v>July</v>
      </c>
      <c r="I1795" t="s">
        <v>96</v>
      </c>
      <c r="J1795" t="s">
        <v>70</v>
      </c>
      <c r="K1795">
        <v>2152</v>
      </c>
      <c r="L1795" s="5" t="str">
        <f>IF(OR(K1795&lt;Answers!$C$16,Orders!K1795&gt;Answers!$C$17),"Yes","No")</f>
        <v>No</v>
      </c>
      <c r="M1795" s="14">
        <f>VLOOKUP(B1795,Customers!$A$1:$E$2501,4,0)</f>
        <v>74</v>
      </c>
    </row>
    <row r="1796" spans="1:13" x14ac:dyDescent="0.3">
      <c r="A1796">
        <v>1199289</v>
      </c>
      <c r="B1796">
        <v>228</v>
      </c>
      <c r="C1796" s="1" t="s">
        <v>99</v>
      </c>
      <c r="D1796" s="7">
        <v>45093</v>
      </c>
      <c r="E1796" s="11">
        <v>36739</v>
      </c>
      <c r="F1796" s="15">
        <f t="shared" si="84"/>
        <v>6</v>
      </c>
      <c r="G1796" s="10" t="str">
        <f t="shared" si="85"/>
        <v>Friday</v>
      </c>
      <c r="H1796" s="9" t="str">
        <f t="shared" si="86"/>
        <v>June</v>
      </c>
      <c r="I1796" t="s">
        <v>97</v>
      </c>
      <c r="J1796" t="s">
        <v>42</v>
      </c>
      <c r="K1796">
        <v>1078</v>
      </c>
      <c r="L1796" s="5" t="str">
        <f>IF(OR(K1796&lt;Answers!$C$16,Orders!K1796&gt;Answers!$C$17),"Yes","No")</f>
        <v>No</v>
      </c>
      <c r="M1796" s="14">
        <f>VLOOKUP(B1796,Customers!$A$1:$E$2501,4,0)</f>
        <v>34</v>
      </c>
    </row>
    <row r="1797" spans="1:13" x14ac:dyDescent="0.3">
      <c r="A1797">
        <v>1200718</v>
      </c>
      <c r="B1797">
        <v>1963</v>
      </c>
      <c r="C1797" s="1" t="s">
        <v>100</v>
      </c>
      <c r="D1797" s="7">
        <v>45195</v>
      </c>
      <c r="E1797" s="11">
        <v>0.53125</v>
      </c>
      <c r="F1797" s="15">
        <f t="shared" si="84"/>
        <v>9</v>
      </c>
      <c r="G1797" s="10" t="str">
        <f t="shared" si="85"/>
        <v>Tuesday</v>
      </c>
      <c r="H1797" s="9" t="str">
        <f t="shared" si="86"/>
        <v>September</v>
      </c>
      <c r="I1797" t="s">
        <v>96</v>
      </c>
      <c r="J1797" t="s">
        <v>44</v>
      </c>
      <c r="K1797">
        <v>8488</v>
      </c>
      <c r="L1797" s="5" t="str">
        <f>IF(OR(K1797&lt;Answers!$C$16,Orders!K1797&gt;Answers!$C$17),"Yes","No")</f>
        <v>No</v>
      </c>
      <c r="M1797" s="14">
        <f>VLOOKUP(B1797,Customers!$A$1:$E$2501,4,0)</f>
        <v>25</v>
      </c>
    </row>
    <row r="1798" spans="1:13" x14ac:dyDescent="0.3">
      <c r="A1798">
        <v>1201138</v>
      </c>
      <c r="B1798">
        <v>1342</v>
      </c>
      <c r="C1798" s="1" t="s">
        <v>98</v>
      </c>
      <c r="D1798" s="7">
        <v>44999</v>
      </c>
      <c r="E1798" s="11">
        <v>0.5395833333333333</v>
      </c>
      <c r="F1798" s="15">
        <f t="shared" si="84"/>
        <v>3</v>
      </c>
      <c r="G1798" s="10" t="str">
        <f t="shared" si="85"/>
        <v>Tuesday</v>
      </c>
      <c r="H1798" s="9" t="str">
        <f t="shared" si="86"/>
        <v>March</v>
      </c>
      <c r="I1798" t="s">
        <v>97</v>
      </c>
      <c r="J1798" t="s">
        <v>57</v>
      </c>
      <c r="K1798">
        <v>6081</v>
      </c>
      <c r="L1798" s="5" t="str">
        <f>IF(OR(K1798&lt;Answers!$C$16,Orders!K1798&gt;Answers!$C$17),"Yes","No")</f>
        <v>No</v>
      </c>
      <c r="M1798" s="14">
        <f>VLOOKUP(B1798,Customers!$A$1:$E$2501,4,0)</f>
        <v>24</v>
      </c>
    </row>
    <row r="1799" spans="1:13" x14ac:dyDescent="0.3">
      <c r="A1799">
        <v>1201156</v>
      </c>
      <c r="B1799">
        <v>1931</v>
      </c>
      <c r="C1799" s="1" t="s">
        <v>98</v>
      </c>
      <c r="D1799" s="7">
        <v>45047</v>
      </c>
      <c r="E1799" s="11">
        <v>36557</v>
      </c>
      <c r="F1799" s="15">
        <f t="shared" si="84"/>
        <v>5</v>
      </c>
      <c r="G1799" s="10" t="str">
        <f t="shared" si="85"/>
        <v>Monday</v>
      </c>
      <c r="H1799" s="9" t="str">
        <f t="shared" si="86"/>
        <v>May</v>
      </c>
      <c r="I1799" t="s">
        <v>97</v>
      </c>
      <c r="J1799" t="s">
        <v>46</v>
      </c>
      <c r="K1799">
        <v>2329</v>
      </c>
      <c r="L1799" s="5" t="str">
        <f>IF(OR(K1799&lt;Answers!$C$16,Orders!K1799&gt;Answers!$C$17),"Yes","No")</f>
        <v>No</v>
      </c>
      <c r="M1799" s="14">
        <f>VLOOKUP(B1799,Customers!$A$1:$E$2501,4,0)</f>
        <v>76</v>
      </c>
    </row>
    <row r="1800" spans="1:13" x14ac:dyDescent="0.3">
      <c r="A1800">
        <v>1202375</v>
      </c>
      <c r="B1800">
        <v>1662</v>
      </c>
      <c r="C1800" s="1" t="s">
        <v>100</v>
      </c>
      <c r="D1800" s="7">
        <v>44970</v>
      </c>
      <c r="E1800" s="11">
        <v>5.2777777777777778E-2</v>
      </c>
      <c r="F1800" s="15">
        <f t="shared" si="84"/>
        <v>2</v>
      </c>
      <c r="G1800" s="10" t="str">
        <f t="shared" si="85"/>
        <v>Monday</v>
      </c>
      <c r="H1800" s="9" t="str">
        <f t="shared" si="86"/>
        <v>February</v>
      </c>
      <c r="I1800" t="s">
        <v>190</v>
      </c>
      <c r="J1800" t="s">
        <v>43</v>
      </c>
      <c r="K1800">
        <v>2832</v>
      </c>
      <c r="L1800" s="5" t="str">
        <f>IF(OR(K1800&lt;Answers!$C$16,Orders!K1800&gt;Answers!$C$17),"Yes","No")</f>
        <v>No</v>
      </c>
      <c r="M1800" s="14">
        <f>VLOOKUP(B1800,Customers!$A$1:$E$2501,4,0)</f>
        <v>25</v>
      </c>
    </row>
    <row r="1801" spans="1:13" x14ac:dyDescent="0.3">
      <c r="A1801">
        <v>1202392</v>
      </c>
      <c r="B1801">
        <v>344</v>
      </c>
      <c r="C1801" s="1" t="s">
        <v>101</v>
      </c>
      <c r="D1801" s="7">
        <v>45230</v>
      </c>
      <c r="E1801" s="11">
        <v>36628</v>
      </c>
      <c r="F1801" s="15">
        <f t="shared" si="84"/>
        <v>10</v>
      </c>
      <c r="G1801" s="10" t="str">
        <f t="shared" si="85"/>
        <v>Tuesday</v>
      </c>
      <c r="H1801" s="9" t="str">
        <f t="shared" si="86"/>
        <v>October</v>
      </c>
      <c r="I1801" t="s">
        <v>97</v>
      </c>
      <c r="J1801" t="s">
        <v>10</v>
      </c>
      <c r="K1801">
        <v>8051</v>
      </c>
      <c r="L1801" s="5" t="str">
        <f>IF(OR(K1801&lt;Answers!$C$16,Orders!K1801&gt;Answers!$C$17),"Yes","No")</f>
        <v>No</v>
      </c>
      <c r="M1801" s="14">
        <f>VLOOKUP(B1801,Customers!$A$1:$E$2501,4,0)</f>
        <v>84</v>
      </c>
    </row>
    <row r="1802" spans="1:13" x14ac:dyDescent="0.3">
      <c r="A1802">
        <v>1203146</v>
      </c>
      <c r="B1802">
        <v>1172</v>
      </c>
      <c r="C1802" s="1" t="s">
        <v>100</v>
      </c>
      <c r="D1802" s="7">
        <v>45239</v>
      </c>
      <c r="E1802" s="11">
        <v>0.52152777777777781</v>
      </c>
      <c r="F1802" s="15">
        <f t="shared" si="84"/>
        <v>11</v>
      </c>
      <c r="G1802" s="10" t="str">
        <f t="shared" si="85"/>
        <v>Thursday</v>
      </c>
      <c r="H1802" s="9" t="str">
        <f t="shared" si="86"/>
        <v>November</v>
      </c>
      <c r="I1802" t="s">
        <v>96</v>
      </c>
      <c r="J1802" t="s">
        <v>26</v>
      </c>
      <c r="K1802">
        <v>6152</v>
      </c>
      <c r="L1802" s="5" t="str">
        <f>IF(OR(K1802&lt;Answers!$C$16,Orders!K1802&gt;Answers!$C$17),"Yes","No")</f>
        <v>No</v>
      </c>
      <c r="M1802" s="14">
        <f>VLOOKUP(B1802,Customers!$A$1:$E$2501,4,0)</f>
        <v>23</v>
      </c>
    </row>
    <row r="1803" spans="1:13" x14ac:dyDescent="0.3">
      <c r="A1803">
        <v>1203312</v>
      </c>
      <c r="B1803">
        <v>1047</v>
      </c>
      <c r="C1803" s="1" t="s">
        <v>106</v>
      </c>
      <c r="D1803" s="7">
        <v>44938</v>
      </c>
      <c r="E1803" s="11">
        <v>0.49583333333333335</v>
      </c>
      <c r="F1803" s="15">
        <f t="shared" si="84"/>
        <v>1</v>
      </c>
      <c r="G1803" s="10" t="str">
        <f t="shared" si="85"/>
        <v>Thursday</v>
      </c>
      <c r="H1803" s="9" t="str">
        <f t="shared" si="86"/>
        <v>January</v>
      </c>
      <c r="I1803" t="s">
        <v>97</v>
      </c>
      <c r="J1803" t="s">
        <v>26</v>
      </c>
      <c r="K1803">
        <v>5488</v>
      </c>
      <c r="L1803" s="5" t="str">
        <f>IF(OR(K1803&lt;Answers!$C$16,Orders!K1803&gt;Answers!$C$17),"Yes","No")</f>
        <v>No</v>
      </c>
      <c r="M1803" s="14">
        <f>VLOOKUP(B1803,Customers!$A$1:$E$2501,4,0)</f>
        <v>20</v>
      </c>
    </row>
    <row r="1804" spans="1:13" x14ac:dyDescent="0.3">
      <c r="A1804">
        <v>1204548</v>
      </c>
      <c r="B1804">
        <v>1467</v>
      </c>
      <c r="C1804" s="1" t="s">
        <v>98</v>
      </c>
      <c r="D1804" s="7">
        <v>45118</v>
      </c>
      <c r="E1804" s="11">
        <v>0.4826388888888889</v>
      </c>
      <c r="F1804" s="15">
        <f t="shared" si="84"/>
        <v>7</v>
      </c>
      <c r="G1804" s="10" t="str">
        <f t="shared" si="85"/>
        <v>Tuesday</v>
      </c>
      <c r="H1804" s="9" t="str">
        <f t="shared" si="86"/>
        <v>July</v>
      </c>
      <c r="I1804" t="s">
        <v>190</v>
      </c>
      <c r="J1804" t="s">
        <v>72</v>
      </c>
      <c r="K1804">
        <v>5832</v>
      </c>
      <c r="L1804" s="5" t="str">
        <f>IF(OR(K1804&lt;Answers!$C$16,Orders!K1804&gt;Answers!$C$17),"Yes","No")</f>
        <v>No</v>
      </c>
      <c r="M1804" s="14">
        <f>VLOOKUP(B1804,Customers!$A$1:$E$2501,4,0)</f>
        <v>18</v>
      </c>
    </row>
    <row r="1805" spans="1:13" x14ac:dyDescent="0.3">
      <c r="A1805">
        <v>1205050</v>
      </c>
      <c r="B1805">
        <v>1695</v>
      </c>
      <c r="C1805" s="1" t="s">
        <v>104</v>
      </c>
      <c r="D1805" s="7">
        <v>45119</v>
      </c>
      <c r="E1805" s="11">
        <v>0.52430555555555558</v>
      </c>
      <c r="F1805" s="15">
        <f t="shared" si="84"/>
        <v>7</v>
      </c>
      <c r="G1805" s="10" t="str">
        <f t="shared" si="85"/>
        <v>Wednesday</v>
      </c>
      <c r="H1805" s="9" t="str">
        <f t="shared" si="86"/>
        <v>July</v>
      </c>
      <c r="I1805" t="s">
        <v>95</v>
      </c>
      <c r="J1805" t="s">
        <v>63</v>
      </c>
      <c r="K1805">
        <v>9562</v>
      </c>
      <c r="L1805" s="5" t="str">
        <f>IF(OR(K1805&lt;Answers!$C$16,Orders!K1805&gt;Answers!$C$17),"Yes","No")</f>
        <v>No</v>
      </c>
      <c r="M1805" s="14">
        <f>VLOOKUP(B1805,Customers!$A$1:$E$2501,4,0)</f>
        <v>37</v>
      </c>
    </row>
    <row r="1806" spans="1:13" x14ac:dyDescent="0.3">
      <c r="A1806">
        <v>1206775</v>
      </c>
      <c r="B1806">
        <v>728</v>
      </c>
      <c r="C1806" s="1" t="s">
        <v>112</v>
      </c>
      <c r="D1806" s="7">
        <v>45202</v>
      </c>
      <c r="E1806" s="11">
        <v>0.47361111111111109</v>
      </c>
      <c r="F1806" s="15">
        <f t="shared" si="84"/>
        <v>10</v>
      </c>
      <c r="G1806" s="10" t="str">
        <f t="shared" si="85"/>
        <v>Tuesday</v>
      </c>
      <c r="H1806" s="9" t="str">
        <f t="shared" si="86"/>
        <v>October</v>
      </c>
      <c r="I1806" t="s">
        <v>96</v>
      </c>
      <c r="J1806" t="s">
        <v>25</v>
      </c>
      <c r="K1806">
        <v>967</v>
      </c>
      <c r="L1806" s="5" t="str">
        <f>IF(OR(K1806&lt;Answers!$C$16,Orders!K1806&gt;Answers!$C$17),"Yes","No")</f>
        <v>No</v>
      </c>
      <c r="M1806" s="14">
        <f>VLOOKUP(B1806,Customers!$A$1:$E$2501,4,0)</f>
        <v>64</v>
      </c>
    </row>
    <row r="1807" spans="1:13" x14ac:dyDescent="0.3">
      <c r="A1807">
        <v>1211500</v>
      </c>
      <c r="B1807">
        <v>1120</v>
      </c>
      <c r="C1807" s="1" t="s">
        <v>107</v>
      </c>
      <c r="D1807" s="7">
        <v>45206</v>
      </c>
      <c r="E1807" s="11">
        <v>0.52013888888888893</v>
      </c>
      <c r="F1807" s="15">
        <f t="shared" si="84"/>
        <v>10</v>
      </c>
      <c r="G1807" s="10" t="str">
        <f t="shared" si="85"/>
        <v>Saturday</v>
      </c>
      <c r="H1807" s="9" t="str">
        <f t="shared" si="86"/>
        <v>October</v>
      </c>
      <c r="I1807" t="s">
        <v>95</v>
      </c>
      <c r="J1807" t="s">
        <v>73</v>
      </c>
      <c r="K1807">
        <v>845</v>
      </c>
      <c r="L1807" s="5" t="str">
        <f>IF(OR(K1807&lt;Answers!$C$16,Orders!K1807&gt;Answers!$C$17),"Yes","No")</f>
        <v>No</v>
      </c>
      <c r="M1807" s="14">
        <f>VLOOKUP(B1807,Customers!$A$1:$E$2501,4,0)</f>
        <v>53</v>
      </c>
    </row>
    <row r="1808" spans="1:13" x14ac:dyDescent="0.3">
      <c r="A1808">
        <v>1212151</v>
      </c>
      <c r="B1808">
        <v>1139</v>
      </c>
      <c r="C1808" s="1" t="s">
        <v>98</v>
      </c>
      <c r="D1808" s="7">
        <v>44935</v>
      </c>
      <c r="E1808" s="11">
        <v>0.48125000000000001</v>
      </c>
      <c r="F1808" s="15">
        <f t="shared" si="84"/>
        <v>1</v>
      </c>
      <c r="G1808" s="10" t="str">
        <f t="shared" si="85"/>
        <v>Monday</v>
      </c>
      <c r="H1808" s="9" t="str">
        <f t="shared" si="86"/>
        <v>January</v>
      </c>
      <c r="I1808" t="s">
        <v>190</v>
      </c>
      <c r="J1808" t="s">
        <v>87</v>
      </c>
      <c r="K1808">
        <v>374</v>
      </c>
      <c r="L1808" s="5" t="str">
        <f>IF(OR(K1808&lt;Answers!$C$16,Orders!K1808&gt;Answers!$C$17),"Yes","No")</f>
        <v>No</v>
      </c>
      <c r="M1808" s="14">
        <f>VLOOKUP(B1808,Customers!$A$1:$E$2501,4,0)</f>
        <v>84</v>
      </c>
    </row>
    <row r="1809" spans="1:13" x14ac:dyDescent="0.3">
      <c r="A1809">
        <v>1212775</v>
      </c>
      <c r="B1809">
        <v>1685</v>
      </c>
      <c r="C1809" s="1" t="s">
        <v>98</v>
      </c>
      <c r="D1809" s="7">
        <v>45163</v>
      </c>
      <c r="E1809" s="11">
        <v>5.9722222222222225E-2</v>
      </c>
      <c r="F1809" s="15">
        <f t="shared" si="84"/>
        <v>8</v>
      </c>
      <c r="G1809" s="10" t="str">
        <f t="shared" si="85"/>
        <v>Friday</v>
      </c>
      <c r="H1809" s="9" t="str">
        <f t="shared" si="86"/>
        <v>August</v>
      </c>
      <c r="I1809" t="s">
        <v>96</v>
      </c>
      <c r="J1809" t="s">
        <v>72</v>
      </c>
      <c r="K1809">
        <v>9604</v>
      </c>
      <c r="L1809" s="5" t="str">
        <f>IF(OR(K1809&lt;Answers!$C$16,Orders!K1809&gt;Answers!$C$17),"Yes","No")</f>
        <v>No</v>
      </c>
      <c r="M1809" s="14">
        <f>VLOOKUP(B1809,Customers!$A$1:$E$2501,4,0)</f>
        <v>74</v>
      </c>
    </row>
    <row r="1810" spans="1:13" x14ac:dyDescent="0.3">
      <c r="A1810">
        <v>1213103</v>
      </c>
      <c r="B1810">
        <v>1429</v>
      </c>
      <c r="C1810" s="1" t="s">
        <v>103</v>
      </c>
      <c r="D1810" s="7">
        <v>45113</v>
      </c>
      <c r="E1810" s="11">
        <v>36597</v>
      </c>
      <c r="F1810" s="15">
        <f t="shared" si="84"/>
        <v>7</v>
      </c>
      <c r="G1810" s="10" t="str">
        <f t="shared" si="85"/>
        <v>Thursday</v>
      </c>
      <c r="H1810" s="9" t="str">
        <f t="shared" si="86"/>
        <v>July</v>
      </c>
      <c r="I1810" t="s">
        <v>190</v>
      </c>
      <c r="J1810" t="s">
        <v>88</v>
      </c>
      <c r="K1810">
        <v>9678</v>
      </c>
      <c r="L1810" s="5" t="str">
        <f>IF(OR(K1810&lt;Answers!$C$16,Orders!K1810&gt;Answers!$C$17),"Yes","No")</f>
        <v>No</v>
      </c>
      <c r="M1810" s="14">
        <f>VLOOKUP(B1810,Customers!$A$1:$E$2501,4,0)</f>
        <v>47</v>
      </c>
    </row>
    <row r="1811" spans="1:13" x14ac:dyDescent="0.3">
      <c r="A1811">
        <v>1213344</v>
      </c>
      <c r="B1811">
        <v>504</v>
      </c>
      <c r="C1811" s="1" t="s">
        <v>101</v>
      </c>
      <c r="D1811" s="7">
        <v>45081</v>
      </c>
      <c r="E1811" s="11">
        <v>0.51249999999999996</v>
      </c>
      <c r="F1811" s="15">
        <f t="shared" si="84"/>
        <v>6</v>
      </c>
      <c r="G1811" s="10" t="str">
        <f t="shared" si="85"/>
        <v>Sunday</v>
      </c>
      <c r="H1811" s="9" t="str">
        <f t="shared" si="86"/>
        <v>June</v>
      </c>
      <c r="I1811" t="s">
        <v>95</v>
      </c>
      <c r="J1811" t="s">
        <v>71</v>
      </c>
      <c r="K1811">
        <v>4603</v>
      </c>
      <c r="L1811" s="5" t="str">
        <f>IF(OR(K1811&lt;Answers!$C$16,Orders!K1811&gt;Answers!$C$17),"Yes","No")</f>
        <v>No</v>
      </c>
      <c r="M1811" s="14">
        <f>VLOOKUP(B1811,Customers!$A$1:$E$2501,4,0)</f>
        <v>48</v>
      </c>
    </row>
    <row r="1812" spans="1:13" x14ac:dyDescent="0.3">
      <c r="A1812">
        <v>1213449</v>
      </c>
      <c r="B1812">
        <v>729</v>
      </c>
      <c r="C1812" s="1" t="s">
        <v>106</v>
      </c>
      <c r="D1812" s="7">
        <v>44992</v>
      </c>
      <c r="E1812" s="11">
        <v>0.51597222222222228</v>
      </c>
      <c r="F1812" s="15">
        <f t="shared" si="84"/>
        <v>3</v>
      </c>
      <c r="G1812" s="10" t="str">
        <f t="shared" si="85"/>
        <v>Tuesday</v>
      </c>
      <c r="H1812" s="9" t="str">
        <f t="shared" si="86"/>
        <v>March</v>
      </c>
      <c r="I1812" t="s">
        <v>95</v>
      </c>
      <c r="J1812" t="s">
        <v>24</v>
      </c>
      <c r="K1812">
        <v>3344</v>
      </c>
      <c r="L1812" s="5" t="str">
        <f>IF(OR(K1812&lt;Answers!$C$16,Orders!K1812&gt;Answers!$C$17),"Yes","No")</f>
        <v>No</v>
      </c>
      <c r="M1812" s="14">
        <f>VLOOKUP(B1812,Customers!$A$1:$E$2501,4,0)</f>
        <v>66</v>
      </c>
    </row>
    <row r="1813" spans="1:13" x14ac:dyDescent="0.3">
      <c r="A1813">
        <v>1214613</v>
      </c>
      <c r="B1813">
        <v>1563</v>
      </c>
      <c r="C1813" s="1" t="s">
        <v>102</v>
      </c>
      <c r="D1813" s="7">
        <v>44946</v>
      </c>
      <c r="E1813" s="11">
        <v>7.7083333333333337E-2</v>
      </c>
      <c r="F1813" s="15">
        <f t="shared" si="84"/>
        <v>1</v>
      </c>
      <c r="G1813" s="10" t="str">
        <f t="shared" si="85"/>
        <v>Friday</v>
      </c>
      <c r="H1813" s="9" t="str">
        <f t="shared" si="86"/>
        <v>January</v>
      </c>
      <c r="I1813" t="s">
        <v>97</v>
      </c>
      <c r="J1813" t="s">
        <v>48</v>
      </c>
      <c r="K1813">
        <v>2322</v>
      </c>
      <c r="L1813" s="5" t="str">
        <f>IF(OR(K1813&lt;Answers!$C$16,Orders!K1813&gt;Answers!$C$17),"Yes","No")</f>
        <v>No</v>
      </c>
      <c r="M1813" s="14">
        <f>VLOOKUP(B1813,Customers!$A$1:$E$2501,4,0)</f>
        <v>65</v>
      </c>
    </row>
    <row r="1814" spans="1:13" x14ac:dyDescent="0.3">
      <c r="A1814">
        <v>1214829</v>
      </c>
      <c r="B1814">
        <v>859</v>
      </c>
      <c r="C1814" s="1" t="s">
        <v>98</v>
      </c>
      <c r="D1814" s="7">
        <v>45219</v>
      </c>
      <c r="E1814" s="11">
        <v>0.52430555555555558</v>
      </c>
      <c r="F1814" s="15">
        <f t="shared" si="84"/>
        <v>10</v>
      </c>
      <c r="G1814" s="10" t="str">
        <f t="shared" si="85"/>
        <v>Friday</v>
      </c>
      <c r="H1814" s="9" t="str">
        <f t="shared" si="86"/>
        <v>October</v>
      </c>
      <c r="I1814" t="s">
        <v>190</v>
      </c>
      <c r="J1814" t="s">
        <v>13</v>
      </c>
      <c r="K1814">
        <v>7575</v>
      </c>
      <c r="L1814" s="5" t="str">
        <f>IF(OR(K1814&lt;Answers!$C$16,Orders!K1814&gt;Answers!$C$17),"Yes","No")</f>
        <v>No</v>
      </c>
      <c r="M1814" s="14">
        <f>VLOOKUP(B1814,Customers!$A$1:$E$2501,4,0)</f>
        <v>34</v>
      </c>
    </row>
    <row r="1815" spans="1:13" x14ac:dyDescent="0.3">
      <c r="A1815">
        <v>1215680</v>
      </c>
      <c r="B1815">
        <v>1927</v>
      </c>
      <c r="C1815" s="1" t="s">
        <v>104</v>
      </c>
      <c r="D1815" s="7">
        <v>45164</v>
      </c>
      <c r="E1815" s="11">
        <v>0.53194444444444444</v>
      </c>
      <c r="F1815" s="15">
        <f t="shared" si="84"/>
        <v>8</v>
      </c>
      <c r="G1815" s="10" t="str">
        <f t="shared" si="85"/>
        <v>Saturday</v>
      </c>
      <c r="H1815" s="9" t="str">
        <f t="shared" si="86"/>
        <v>August</v>
      </c>
      <c r="I1815" t="s">
        <v>97</v>
      </c>
      <c r="J1815" t="s">
        <v>26</v>
      </c>
      <c r="K1815">
        <v>1775</v>
      </c>
      <c r="L1815" s="5" t="str">
        <f>IF(OR(K1815&lt;Answers!$C$16,Orders!K1815&gt;Answers!$C$17),"Yes","No")</f>
        <v>No</v>
      </c>
      <c r="M1815" s="14">
        <f>VLOOKUP(B1815,Customers!$A$1:$E$2501,4,0)</f>
        <v>52</v>
      </c>
    </row>
    <row r="1816" spans="1:13" x14ac:dyDescent="0.3">
      <c r="A1816">
        <v>1217144</v>
      </c>
      <c r="B1816">
        <v>1762</v>
      </c>
      <c r="C1816" s="1" t="s">
        <v>98</v>
      </c>
      <c r="D1816" s="7">
        <v>45288</v>
      </c>
      <c r="E1816" s="11">
        <v>0.47916666666666669</v>
      </c>
      <c r="F1816" s="15">
        <f t="shared" si="84"/>
        <v>12</v>
      </c>
      <c r="G1816" s="10" t="str">
        <f t="shared" si="85"/>
        <v>Thursday</v>
      </c>
      <c r="H1816" s="9" t="str">
        <f t="shared" si="86"/>
        <v>December</v>
      </c>
      <c r="I1816" t="s">
        <v>190</v>
      </c>
      <c r="J1816" t="s">
        <v>6</v>
      </c>
      <c r="K1816">
        <v>3046</v>
      </c>
      <c r="L1816" s="5" t="str">
        <f>IF(OR(K1816&lt;Answers!$C$16,Orders!K1816&gt;Answers!$C$17),"Yes","No")</f>
        <v>No</v>
      </c>
      <c r="M1816" s="14">
        <f>VLOOKUP(B1816,Customers!$A$1:$E$2501,4,0)</f>
        <v>29</v>
      </c>
    </row>
    <row r="1817" spans="1:13" x14ac:dyDescent="0.3">
      <c r="A1817">
        <v>1218028</v>
      </c>
      <c r="B1817">
        <v>1649</v>
      </c>
      <c r="C1817" s="1" t="s">
        <v>98</v>
      </c>
      <c r="D1817" s="7">
        <v>44927</v>
      </c>
      <c r="E1817" s="11">
        <v>36617</v>
      </c>
      <c r="F1817" s="15">
        <f t="shared" si="84"/>
        <v>1</v>
      </c>
      <c r="G1817" s="10" t="str">
        <f t="shared" si="85"/>
        <v>Sunday</v>
      </c>
      <c r="H1817" s="9" t="str">
        <f t="shared" si="86"/>
        <v>January</v>
      </c>
      <c r="I1817" t="s">
        <v>97</v>
      </c>
      <c r="J1817" t="s">
        <v>26</v>
      </c>
      <c r="K1817">
        <v>3119</v>
      </c>
      <c r="L1817" s="5" t="str">
        <f>IF(OR(K1817&lt;Answers!$C$16,Orders!K1817&gt;Answers!$C$17),"Yes","No")</f>
        <v>No</v>
      </c>
      <c r="M1817" s="14">
        <f>VLOOKUP(B1817,Customers!$A$1:$E$2501,4,0)</f>
        <v>27</v>
      </c>
    </row>
    <row r="1818" spans="1:13" x14ac:dyDescent="0.3">
      <c r="A1818">
        <v>1218374</v>
      </c>
      <c r="B1818">
        <v>1511</v>
      </c>
      <c r="C1818" s="1" t="s">
        <v>98</v>
      </c>
      <c r="D1818" s="7">
        <v>44952</v>
      </c>
      <c r="E1818" s="11">
        <v>36597</v>
      </c>
      <c r="F1818" s="15">
        <f t="shared" si="84"/>
        <v>1</v>
      </c>
      <c r="G1818" s="10" t="str">
        <f t="shared" si="85"/>
        <v>Thursday</v>
      </c>
      <c r="H1818" s="9" t="str">
        <f t="shared" si="86"/>
        <v>January</v>
      </c>
      <c r="I1818" t="s">
        <v>96</v>
      </c>
      <c r="J1818" t="s">
        <v>42</v>
      </c>
      <c r="K1818">
        <v>44</v>
      </c>
      <c r="L1818" s="5" t="str">
        <f>IF(OR(K1818&lt;Answers!$C$16,Orders!K1818&gt;Answers!$C$17),"Yes","No")</f>
        <v>No</v>
      </c>
      <c r="M1818" s="14">
        <f>VLOOKUP(B1818,Customers!$A$1:$E$2501,4,0)</f>
        <v>19</v>
      </c>
    </row>
    <row r="1819" spans="1:13" x14ac:dyDescent="0.3">
      <c r="A1819">
        <v>1218403</v>
      </c>
      <c r="B1819">
        <v>1583</v>
      </c>
      <c r="C1819" s="1" t="s">
        <v>105</v>
      </c>
      <c r="D1819" s="7">
        <v>44995</v>
      </c>
      <c r="E1819" s="11">
        <v>5.5555555555555552E-2</v>
      </c>
      <c r="F1819" s="15">
        <f t="shared" si="84"/>
        <v>3</v>
      </c>
      <c r="G1819" s="10" t="str">
        <f t="shared" si="85"/>
        <v>Friday</v>
      </c>
      <c r="H1819" s="9" t="str">
        <f t="shared" si="86"/>
        <v>March</v>
      </c>
      <c r="I1819" t="s">
        <v>95</v>
      </c>
      <c r="J1819" t="s">
        <v>86</v>
      </c>
      <c r="K1819">
        <v>8012</v>
      </c>
      <c r="L1819" s="5" t="str">
        <f>IF(OR(K1819&lt;Answers!$C$16,Orders!K1819&gt;Answers!$C$17),"Yes","No")</f>
        <v>No</v>
      </c>
      <c r="M1819" s="14">
        <f>VLOOKUP(B1819,Customers!$A$1:$E$2501,4,0)</f>
        <v>73</v>
      </c>
    </row>
    <row r="1820" spans="1:13" x14ac:dyDescent="0.3">
      <c r="A1820">
        <v>1218457</v>
      </c>
      <c r="B1820">
        <v>870</v>
      </c>
      <c r="C1820" s="1" t="s">
        <v>112</v>
      </c>
      <c r="D1820" s="7">
        <v>44957</v>
      </c>
      <c r="E1820" s="11">
        <v>0.53333333333333333</v>
      </c>
      <c r="F1820" s="15">
        <f t="shared" si="84"/>
        <v>1</v>
      </c>
      <c r="G1820" s="10" t="str">
        <f t="shared" si="85"/>
        <v>Tuesday</v>
      </c>
      <c r="H1820" s="9" t="str">
        <f t="shared" si="86"/>
        <v>January</v>
      </c>
      <c r="I1820" t="s">
        <v>96</v>
      </c>
      <c r="J1820" t="s">
        <v>22</v>
      </c>
      <c r="K1820">
        <v>7602</v>
      </c>
      <c r="L1820" s="5" t="str">
        <f>IF(OR(K1820&lt;Answers!$C$16,Orders!K1820&gt;Answers!$C$17),"Yes","No")</f>
        <v>No</v>
      </c>
      <c r="M1820" s="14">
        <f>VLOOKUP(B1820,Customers!$A$1:$E$2501,4,0)</f>
        <v>65</v>
      </c>
    </row>
    <row r="1821" spans="1:13" x14ac:dyDescent="0.3">
      <c r="A1821">
        <v>1219438</v>
      </c>
      <c r="B1821">
        <v>1051</v>
      </c>
      <c r="C1821" s="1" t="s">
        <v>104</v>
      </c>
      <c r="D1821" s="7">
        <v>44936</v>
      </c>
      <c r="E1821" s="11">
        <v>5.2083333333333336E-2</v>
      </c>
      <c r="F1821" s="15">
        <f t="shared" si="84"/>
        <v>1</v>
      </c>
      <c r="G1821" s="10" t="str">
        <f t="shared" si="85"/>
        <v>Tuesday</v>
      </c>
      <c r="H1821" s="9" t="str">
        <f t="shared" si="86"/>
        <v>January</v>
      </c>
      <c r="I1821" t="s">
        <v>97</v>
      </c>
      <c r="J1821" t="s">
        <v>51</v>
      </c>
      <c r="K1821">
        <v>3777</v>
      </c>
      <c r="L1821" s="5" t="str">
        <f>IF(OR(K1821&lt;Answers!$C$16,Orders!K1821&gt;Answers!$C$17),"Yes","No")</f>
        <v>No</v>
      </c>
      <c r="M1821" s="14">
        <f>VLOOKUP(B1821,Customers!$A$1:$E$2501,4,0)</f>
        <v>36</v>
      </c>
    </row>
    <row r="1822" spans="1:13" x14ac:dyDescent="0.3">
      <c r="A1822">
        <v>1219662</v>
      </c>
      <c r="B1822">
        <v>45</v>
      </c>
      <c r="C1822" s="1" t="s">
        <v>98</v>
      </c>
      <c r="D1822" s="7">
        <v>45056</v>
      </c>
      <c r="E1822" s="11">
        <v>36567</v>
      </c>
      <c r="F1822" s="15">
        <f t="shared" si="84"/>
        <v>5</v>
      </c>
      <c r="G1822" s="10" t="str">
        <f t="shared" si="85"/>
        <v>Wednesday</v>
      </c>
      <c r="H1822" s="9" t="str">
        <f t="shared" si="86"/>
        <v>May</v>
      </c>
      <c r="I1822" t="s">
        <v>190</v>
      </c>
      <c r="J1822" t="s">
        <v>22</v>
      </c>
      <c r="K1822">
        <v>8683</v>
      </c>
      <c r="L1822" s="5" t="str">
        <f>IF(OR(K1822&lt;Answers!$C$16,Orders!K1822&gt;Answers!$C$17),"Yes","No")</f>
        <v>No</v>
      </c>
      <c r="M1822" s="14">
        <f>VLOOKUP(B1822,Customers!$A$1:$E$2501,4,0)</f>
        <v>89</v>
      </c>
    </row>
    <row r="1823" spans="1:13" x14ac:dyDescent="0.3">
      <c r="A1823">
        <v>1219899</v>
      </c>
      <c r="B1823">
        <v>469</v>
      </c>
      <c r="C1823" s="1" t="s">
        <v>99</v>
      </c>
      <c r="D1823" s="7">
        <v>45114</v>
      </c>
      <c r="E1823" s="11">
        <v>0.51041666666666663</v>
      </c>
      <c r="F1823" s="15">
        <f t="shared" si="84"/>
        <v>7</v>
      </c>
      <c r="G1823" s="10" t="str">
        <f t="shared" si="85"/>
        <v>Friday</v>
      </c>
      <c r="H1823" s="9" t="str">
        <f t="shared" si="86"/>
        <v>July</v>
      </c>
      <c r="I1823" t="s">
        <v>95</v>
      </c>
      <c r="J1823" t="s">
        <v>52</v>
      </c>
      <c r="K1823">
        <v>2819</v>
      </c>
      <c r="L1823" s="5" t="str">
        <f>IF(OR(K1823&lt;Answers!$C$16,Orders!K1823&gt;Answers!$C$17),"Yes","No")</f>
        <v>No</v>
      </c>
      <c r="M1823" s="14">
        <f>VLOOKUP(B1823,Customers!$A$1:$E$2501,4,0)</f>
        <v>90</v>
      </c>
    </row>
    <row r="1824" spans="1:13" x14ac:dyDescent="0.3">
      <c r="A1824">
        <v>1221201</v>
      </c>
      <c r="B1824">
        <v>1523</v>
      </c>
      <c r="C1824" s="1" t="s">
        <v>104</v>
      </c>
      <c r="D1824" s="7">
        <v>45159</v>
      </c>
      <c r="E1824" s="11">
        <v>36568</v>
      </c>
      <c r="F1824" s="15">
        <f t="shared" si="84"/>
        <v>8</v>
      </c>
      <c r="G1824" s="10" t="str">
        <f t="shared" si="85"/>
        <v>Monday</v>
      </c>
      <c r="H1824" s="9" t="str">
        <f t="shared" si="86"/>
        <v>August</v>
      </c>
      <c r="I1824" t="s">
        <v>97</v>
      </c>
      <c r="J1824" t="s">
        <v>42</v>
      </c>
      <c r="K1824">
        <v>9665</v>
      </c>
      <c r="L1824" s="5" t="str">
        <f>IF(OR(K1824&lt;Answers!$C$16,Orders!K1824&gt;Answers!$C$17),"Yes","No")</f>
        <v>No</v>
      </c>
      <c r="M1824" s="14">
        <f>VLOOKUP(B1824,Customers!$A$1:$E$2501,4,0)</f>
        <v>50</v>
      </c>
    </row>
    <row r="1825" spans="1:13" x14ac:dyDescent="0.3">
      <c r="A1825">
        <v>1221647</v>
      </c>
      <c r="B1825">
        <v>113</v>
      </c>
      <c r="C1825" s="1" t="s">
        <v>98</v>
      </c>
      <c r="D1825" s="7">
        <v>45011</v>
      </c>
      <c r="E1825" s="11">
        <v>0.52500000000000002</v>
      </c>
      <c r="F1825" s="15">
        <f t="shared" si="84"/>
        <v>3</v>
      </c>
      <c r="G1825" s="10" t="str">
        <f t="shared" si="85"/>
        <v>Sunday</v>
      </c>
      <c r="H1825" s="9" t="str">
        <f t="shared" si="86"/>
        <v>March</v>
      </c>
      <c r="I1825" t="s">
        <v>97</v>
      </c>
      <c r="J1825" t="s">
        <v>83</v>
      </c>
      <c r="K1825">
        <v>6210</v>
      </c>
      <c r="L1825" s="5" t="str">
        <f>IF(OR(K1825&lt;Answers!$C$16,Orders!K1825&gt;Answers!$C$17),"Yes","No")</f>
        <v>No</v>
      </c>
      <c r="M1825" s="14">
        <f>VLOOKUP(B1825,Customers!$A$1:$E$2501,4,0)</f>
        <v>72</v>
      </c>
    </row>
    <row r="1826" spans="1:13" x14ac:dyDescent="0.3">
      <c r="A1826">
        <v>1223016</v>
      </c>
      <c r="B1826">
        <v>1161</v>
      </c>
      <c r="C1826" s="1" t="s">
        <v>104</v>
      </c>
      <c r="D1826" s="7">
        <v>45180</v>
      </c>
      <c r="E1826" s="11">
        <v>0.48680555555555555</v>
      </c>
      <c r="F1826" s="15">
        <f t="shared" si="84"/>
        <v>9</v>
      </c>
      <c r="G1826" s="10" t="str">
        <f t="shared" si="85"/>
        <v>Monday</v>
      </c>
      <c r="H1826" s="9" t="str">
        <f t="shared" si="86"/>
        <v>September</v>
      </c>
      <c r="I1826" t="s">
        <v>190</v>
      </c>
      <c r="J1826" t="s">
        <v>40</v>
      </c>
      <c r="K1826">
        <v>4739</v>
      </c>
      <c r="L1826" s="5" t="str">
        <f>IF(OR(K1826&lt;Answers!$C$16,Orders!K1826&gt;Answers!$C$17),"Yes","No")</f>
        <v>No</v>
      </c>
      <c r="M1826" s="14">
        <f>VLOOKUP(B1826,Customers!$A$1:$E$2501,4,0)</f>
        <v>36</v>
      </c>
    </row>
    <row r="1827" spans="1:13" x14ac:dyDescent="0.3">
      <c r="A1827">
        <v>1223038</v>
      </c>
      <c r="B1827">
        <v>1723</v>
      </c>
      <c r="C1827" s="1" t="s">
        <v>104</v>
      </c>
      <c r="D1827" s="7">
        <v>45212</v>
      </c>
      <c r="E1827" s="11">
        <v>0.49375000000000002</v>
      </c>
      <c r="F1827" s="15">
        <f t="shared" si="84"/>
        <v>10</v>
      </c>
      <c r="G1827" s="10" t="str">
        <f t="shared" si="85"/>
        <v>Friday</v>
      </c>
      <c r="H1827" s="9" t="str">
        <f t="shared" si="86"/>
        <v>October</v>
      </c>
      <c r="I1827" t="s">
        <v>96</v>
      </c>
      <c r="J1827" t="s">
        <v>79</v>
      </c>
      <c r="K1827">
        <v>8273</v>
      </c>
      <c r="L1827" s="5" t="str">
        <f>IF(OR(K1827&lt;Answers!$C$16,Orders!K1827&gt;Answers!$C$17),"Yes","No")</f>
        <v>No</v>
      </c>
      <c r="M1827" s="14">
        <f>VLOOKUP(B1827,Customers!$A$1:$E$2501,4,0)</f>
        <v>82</v>
      </c>
    </row>
    <row r="1828" spans="1:13" x14ac:dyDescent="0.3">
      <c r="A1828">
        <v>1224367</v>
      </c>
      <c r="B1828">
        <v>1608</v>
      </c>
      <c r="C1828" s="1" t="s">
        <v>98</v>
      </c>
      <c r="D1828" s="7">
        <v>44979</v>
      </c>
      <c r="E1828" s="11">
        <v>0.52013888888888893</v>
      </c>
      <c r="F1828" s="15">
        <f t="shared" si="84"/>
        <v>2</v>
      </c>
      <c r="G1828" s="10" t="str">
        <f t="shared" si="85"/>
        <v>Wednesday</v>
      </c>
      <c r="H1828" s="9" t="str">
        <f t="shared" si="86"/>
        <v>February</v>
      </c>
      <c r="I1828" t="s">
        <v>96</v>
      </c>
      <c r="J1828" t="s">
        <v>53</v>
      </c>
      <c r="K1828">
        <v>3078</v>
      </c>
      <c r="L1828" s="5" t="str">
        <f>IF(OR(K1828&lt;Answers!$C$16,Orders!K1828&gt;Answers!$C$17),"Yes","No")</f>
        <v>No</v>
      </c>
      <c r="M1828" s="14">
        <f>VLOOKUP(B1828,Customers!$A$1:$E$2501,4,0)</f>
        <v>43</v>
      </c>
    </row>
    <row r="1829" spans="1:13" x14ac:dyDescent="0.3">
      <c r="A1829">
        <v>1225156</v>
      </c>
      <c r="B1829">
        <v>1447</v>
      </c>
      <c r="C1829" s="1" t="s">
        <v>105</v>
      </c>
      <c r="D1829" s="7">
        <v>45206</v>
      </c>
      <c r="E1829" s="11">
        <v>0.47291666666666665</v>
      </c>
      <c r="F1829" s="15">
        <f t="shared" si="84"/>
        <v>10</v>
      </c>
      <c r="G1829" s="10" t="str">
        <f t="shared" si="85"/>
        <v>Saturday</v>
      </c>
      <c r="H1829" s="9" t="str">
        <f t="shared" si="86"/>
        <v>October</v>
      </c>
      <c r="I1829" t="s">
        <v>190</v>
      </c>
      <c r="J1829" t="s">
        <v>56</v>
      </c>
      <c r="K1829">
        <v>520</v>
      </c>
      <c r="L1829" s="5" t="str">
        <f>IF(OR(K1829&lt;Answers!$C$16,Orders!K1829&gt;Answers!$C$17),"Yes","No")</f>
        <v>No</v>
      </c>
      <c r="M1829" s="14">
        <f>VLOOKUP(B1829,Customers!$A$1:$E$2501,4,0)</f>
        <v>20</v>
      </c>
    </row>
    <row r="1830" spans="1:13" x14ac:dyDescent="0.3">
      <c r="A1830">
        <v>1226095</v>
      </c>
      <c r="B1830">
        <v>1257</v>
      </c>
      <c r="C1830" s="1" t="s">
        <v>98</v>
      </c>
      <c r="D1830" s="7">
        <v>45230</v>
      </c>
      <c r="E1830" s="11">
        <v>0.51388888888888884</v>
      </c>
      <c r="F1830" s="15">
        <f t="shared" si="84"/>
        <v>10</v>
      </c>
      <c r="G1830" s="10" t="str">
        <f t="shared" si="85"/>
        <v>Tuesday</v>
      </c>
      <c r="H1830" s="9" t="str">
        <f t="shared" si="86"/>
        <v>October</v>
      </c>
      <c r="I1830" t="s">
        <v>190</v>
      </c>
      <c r="J1830" t="s">
        <v>33</v>
      </c>
      <c r="K1830">
        <v>782</v>
      </c>
      <c r="L1830" s="5" t="str">
        <f>IF(OR(K1830&lt;Answers!$C$16,Orders!K1830&gt;Answers!$C$17),"Yes","No")</f>
        <v>No</v>
      </c>
      <c r="M1830" s="14">
        <f>VLOOKUP(B1830,Customers!$A$1:$E$2501,4,0)</f>
        <v>69</v>
      </c>
    </row>
    <row r="1831" spans="1:13" x14ac:dyDescent="0.3">
      <c r="A1831">
        <v>1228500</v>
      </c>
      <c r="B1831">
        <v>355</v>
      </c>
      <c r="C1831" s="1" t="s">
        <v>99</v>
      </c>
      <c r="D1831" s="7">
        <v>45003</v>
      </c>
      <c r="E1831" s="11">
        <v>0.43888888888888888</v>
      </c>
      <c r="F1831" s="15">
        <f t="shared" si="84"/>
        <v>3</v>
      </c>
      <c r="G1831" s="10" t="str">
        <f t="shared" si="85"/>
        <v>Saturday</v>
      </c>
      <c r="H1831" s="9" t="str">
        <f t="shared" si="86"/>
        <v>March</v>
      </c>
      <c r="I1831" t="s">
        <v>190</v>
      </c>
      <c r="J1831" t="s">
        <v>58</v>
      </c>
      <c r="K1831">
        <v>8156</v>
      </c>
      <c r="L1831" s="5" t="str">
        <f>IF(OR(K1831&lt;Answers!$C$16,Orders!K1831&gt;Answers!$C$17),"Yes","No")</f>
        <v>No</v>
      </c>
      <c r="M1831" s="14">
        <f>VLOOKUP(B1831,Customers!$A$1:$E$2501,4,0)</f>
        <v>49</v>
      </c>
    </row>
    <row r="1832" spans="1:13" x14ac:dyDescent="0.3">
      <c r="A1832">
        <v>1228563</v>
      </c>
      <c r="B1832">
        <v>255</v>
      </c>
      <c r="C1832" s="1" t="s">
        <v>106</v>
      </c>
      <c r="D1832" s="7">
        <v>45213</v>
      </c>
      <c r="E1832" s="11">
        <v>0.53333333333333333</v>
      </c>
      <c r="F1832" s="15">
        <f t="shared" si="84"/>
        <v>10</v>
      </c>
      <c r="G1832" s="10" t="str">
        <f t="shared" si="85"/>
        <v>Saturday</v>
      </c>
      <c r="H1832" s="9" t="str">
        <f t="shared" si="86"/>
        <v>October</v>
      </c>
      <c r="I1832" t="s">
        <v>97</v>
      </c>
      <c r="J1832" t="s">
        <v>15</v>
      </c>
      <c r="K1832">
        <v>531</v>
      </c>
      <c r="L1832" s="5" t="str">
        <f>IF(OR(K1832&lt;Answers!$C$16,Orders!K1832&gt;Answers!$C$17),"Yes","No")</f>
        <v>No</v>
      </c>
      <c r="M1832" s="14">
        <f>VLOOKUP(B1832,Customers!$A$1:$E$2501,4,0)</f>
        <v>62</v>
      </c>
    </row>
    <row r="1833" spans="1:13" x14ac:dyDescent="0.3">
      <c r="A1833">
        <v>1229877</v>
      </c>
      <c r="B1833">
        <v>1342</v>
      </c>
      <c r="C1833" s="1" t="s">
        <v>98</v>
      </c>
      <c r="D1833" s="7">
        <v>45144</v>
      </c>
      <c r="E1833" s="11">
        <v>36536</v>
      </c>
      <c r="F1833" s="15">
        <f t="shared" si="84"/>
        <v>8</v>
      </c>
      <c r="G1833" s="10" t="str">
        <f t="shared" si="85"/>
        <v>Sunday</v>
      </c>
      <c r="H1833" s="9" t="str">
        <f t="shared" si="86"/>
        <v>August</v>
      </c>
      <c r="I1833" t="s">
        <v>95</v>
      </c>
      <c r="J1833" t="s">
        <v>3</v>
      </c>
      <c r="K1833">
        <v>3454</v>
      </c>
      <c r="L1833" s="5" t="str">
        <f>IF(OR(K1833&lt;Answers!$C$16,Orders!K1833&gt;Answers!$C$17),"Yes","No")</f>
        <v>No</v>
      </c>
      <c r="M1833" s="14">
        <f>VLOOKUP(B1833,Customers!$A$1:$E$2501,4,0)</f>
        <v>24</v>
      </c>
    </row>
    <row r="1834" spans="1:13" x14ac:dyDescent="0.3">
      <c r="A1834">
        <v>1229912</v>
      </c>
      <c r="B1834">
        <v>1193</v>
      </c>
      <c r="C1834" s="1" t="s">
        <v>106</v>
      </c>
      <c r="D1834" s="7">
        <v>45268</v>
      </c>
      <c r="E1834" s="11">
        <v>0.49375000000000002</v>
      </c>
      <c r="F1834" s="15">
        <f t="shared" si="84"/>
        <v>12</v>
      </c>
      <c r="G1834" s="10" t="str">
        <f t="shared" si="85"/>
        <v>Friday</v>
      </c>
      <c r="H1834" s="9" t="str">
        <f t="shared" si="86"/>
        <v>December</v>
      </c>
      <c r="I1834" t="s">
        <v>95</v>
      </c>
      <c r="J1834" t="s">
        <v>46</v>
      </c>
      <c r="K1834">
        <v>3977</v>
      </c>
      <c r="L1834" s="5" t="str">
        <f>IF(OR(K1834&lt;Answers!$C$16,Orders!K1834&gt;Answers!$C$17),"Yes","No")</f>
        <v>No</v>
      </c>
      <c r="M1834" s="14">
        <f>VLOOKUP(B1834,Customers!$A$1:$E$2501,4,0)</f>
        <v>69</v>
      </c>
    </row>
    <row r="1835" spans="1:13" x14ac:dyDescent="0.3">
      <c r="A1835">
        <v>1230163</v>
      </c>
      <c r="B1835">
        <v>793</v>
      </c>
      <c r="C1835" s="1" t="s">
        <v>98</v>
      </c>
      <c r="D1835" s="7">
        <v>45082</v>
      </c>
      <c r="E1835" s="11">
        <v>0.44513888888888886</v>
      </c>
      <c r="F1835" s="15">
        <f t="shared" si="84"/>
        <v>6</v>
      </c>
      <c r="G1835" s="10" t="str">
        <f t="shared" si="85"/>
        <v>Monday</v>
      </c>
      <c r="H1835" s="9" t="str">
        <f t="shared" si="86"/>
        <v>June</v>
      </c>
      <c r="I1835" t="s">
        <v>190</v>
      </c>
      <c r="J1835" t="s">
        <v>59</v>
      </c>
      <c r="K1835">
        <v>7586</v>
      </c>
      <c r="L1835" s="5" t="str">
        <f>IF(OR(K1835&lt;Answers!$C$16,Orders!K1835&gt;Answers!$C$17),"Yes","No")</f>
        <v>No</v>
      </c>
      <c r="M1835" s="14">
        <f>VLOOKUP(B1835,Customers!$A$1:$E$2501,4,0)</f>
        <v>87</v>
      </c>
    </row>
    <row r="1836" spans="1:13" x14ac:dyDescent="0.3">
      <c r="A1836">
        <v>1230246</v>
      </c>
      <c r="B1836">
        <v>190</v>
      </c>
      <c r="C1836" s="1" t="s">
        <v>99</v>
      </c>
      <c r="D1836" s="7">
        <v>45253</v>
      </c>
      <c r="E1836" s="11">
        <v>0.45277777777777778</v>
      </c>
      <c r="F1836" s="15">
        <f t="shared" si="84"/>
        <v>11</v>
      </c>
      <c r="G1836" s="10" t="str">
        <f t="shared" si="85"/>
        <v>Thursday</v>
      </c>
      <c r="H1836" s="9" t="str">
        <f t="shared" si="86"/>
        <v>November</v>
      </c>
      <c r="I1836" t="s">
        <v>97</v>
      </c>
      <c r="J1836" t="s">
        <v>60</v>
      </c>
      <c r="K1836">
        <v>7244</v>
      </c>
      <c r="L1836" s="5" t="str">
        <f>IF(OR(K1836&lt;Answers!$C$16,Orders!K1836&gt;Answers!$C$17),"Yes","No")</f>
        <v>No</v>
      </c>
      <c r="M1836" s="14">
        <f>VLOOKUP(B1836,Customers!$A$1:$E$2501,4,0)</f>
        <v>71</v>
      </c>
    </row>
    <row r="1837" spans="1:13" x14ac:dyDescent="0.3">
      <c r="A1837">
        <v>1230334</v>
      </c>
      <c r="B1837">
        <v>1502</v>
      </c>
      <c r="C1837" s="1" t="s">
        <v>104</v>
      </c>
      <c r="D1837" s="7">
        <v>45041</v>
      </c>
      <c r="E1837" s="11">
        <v>0.49722222222222223</v>
      </c>
      <c r="F1837" s="15">
        <f t="shared" si="84"/>
        <v>4</v>
      </c>
      <c r="G1837" s="10" t="str">
        <f t="shared" si="85"/>
        <v>Tuesday</v>
      </c>
      <c r="H1837" s="9" t="str">
        <f t="shared" si="86"/>
        <v>April</v>
      </c>
      <c r="I1837" t="s">
        <v>95</v>
      </c>
      <c r="J1837" t="s">
        <v>61</v>
      </c>
      <c r="K1837">
        <v>2395</v>
      </c>
      <c r="L1837" s="5" t="str">
        <f>IF(OR(K1837&lt;Answers!$C$16,Orders!K1837&gt;Answers!$C$17),"Yes","No")</f>
        <v>No</v>
      </c>
      <c r="M1837" s="14">
        <f>VLOOKUP(B1837,Customers!$A$1:$E$2501,4,0)</f>
        <v>33</v>
      </c>
    </row>
    <row r="1838" spans="1:13" x14ac:dyDescent="0.3">
      <c r="A1838">
        <v>1231036</v>
      </c>
      <c r="B1838">
        <v>53</v>
      </c>
      <c r="C1838" s="1" t="s">
        <v>106</v>
      </c>
      <c r="D1838" s="7">
        <v>45158</v>
      </c>
      <c r="E1838" s="11">
        <v>6.25E-2</v>
      </c>
      <c r="F1838" s="15">
        <f t="shared" si="84"/>
        <v>8</v>
      </c>
      <c r="G1838" s="10" t="str">
        <f t="shared" si="85"/>
        <v>Sunday</v>
      </c>
      <c r="H1838" s="9" t="str">
        <f t="shared" si="86"/>
        <v>August</v>
      </c>
      <c r="I1838" t="s">
        <v>97</v>
      </c>
      <c r="J1838" t="s">
        <v>80</v>
      </c>
      <c r="K1838">
        <v>312</v>
      </c>
      <c r="L1838" s="5" t="str">
        <f>IF(OR(K1838&lt;Answers!$C$16,Orders!K1838&gt;Answers!$C$17),"Yes","No")</f>
        <v>No</v>
      </c>
      <c r="M1838" s="14">
        <f>VLOOKUP(B1838,Customers!$A$1:$E$2501,4,0)</f>
        <v>62</v>
      </c>
    </row>
    <row r="1839" spans="1:13" x14ac:dyDescent="0.3">
      <c r="A1839">
        <v>1232244</v>
      </c>
      <c r="B1839">
        <v>1686</v>
      </c>
      <c r="C1839" s="1" t="s">
        <v>99</v>
      </c>
      <c r="D1839" s="7">
        <v>45034</v>
      </c>
      <c r="E1839" s="11">
        <v>7.2916666666666671E-2</v>
      </c>
      <c r="F1839" s="15">
        <f t="shared" si="84"/>
        <v>4</v>
      </c>
      <c r="G1839" s="10" t="str">
        <f t="shared" si="85"/>
        <v>Tuesday</v>
      </c>
      <c r="H1839" s="9" t="str">
        <f t="shared" si="86"/>
        <v>April</v>
      </c>
      <c r="I1839" t="s">
        <v>190</v>
      </c>
      <c r="J1839" t="s">
        <v>17</v>
      </c>
      <c r="K1839">
        <v>7689</v>
      </c>
      <c r="L1839" s="5" t="str">
        <f>IF(OR(K1839&lt;Answers!$C$16,Orders!K1839&gt;Answers!$C$17),"Yes","No")</f>
        <v>No</v>
      </c>
      <c r="M1839" s="14">
        <f>VLOOKUP(B1839,Customers!$A$1:$E$2501,4,0)</f>
        <v>53</v>
      </c>
    </row>
    <row r="1840" spans="1:13" x14ac:dyDescent="0.3">
      <c r="A1840">
        <v>1232656</v>
      </c>
      <c r="B1840">
        <v>888</v>
      </c>
      <c r="C1840" s="1" t="s">
        <v>107</v>
      </c>
      <c r="D1840" s="7">
        <v>45020</v>
      </c>
      <c r="E1840" s="11">
        <v>0.12361111111111112</v>
      </c>
      <c r="F1840" s="15">
        <f t="shared" si="84"/>
        <v>4</v>
      </c>
      <c r="G1840" s="10" t="str">
        <f t="shared" si="85"/>
        <v>Tuesday</v>
      </c>
      <c r="H1840" s="9" t="str">
        <f t="shared" si="86"/>
        <v>April</v>
      </c>
      <c r="I1840" t="s">
        <v>95</v>
      </c>
      <c r="J1840" t="s">
        <v>27</v>
      </c>
      <c r="K1840">
        <v>1139</v>
      </c>
      <c r="L1840" s="5" t="str">
        <f>IF(OR(K1840&lt;Answers!$C$16,Orders!K1840&gt;Answers!$C$17),"Yes","No")</f>
        <v>No</v>
      </c>
      <c r="M1840" s="14">
        <f>VLOOKUP(B1840,Customers!$A$1:$E$2501,4,0)</f>
        <v>71</v>
      </c>
    </row>
    <row r="1841" spans="1:13" x14ac:dyDescent="0.3">
      <c r="A1841">
        <v>1234361</v>
      </c>
      <c r="B1841">
        <v>1857</v>
      </c>
      <c r="C1841" s="1" t="s">
        <v>99</v>
      </c>
      <c r="D1841" s="7">
        <v>45198</v>
      </c>
      <c r="E1841" s="11">
        <v>8.2638888888888887E-2</v>
      </c>
      <c r="F1841" s="15">
        <f t="shared" si="84"/>
        <v>9</v>
      </c>
      <c r="G1841" s="10" t="str">
        <f t="shared" si="85"/>
        <v>Friday</v>
      </c>
      <c r="H1841" s="9" t="str">
        <f t="shared" si="86"/>
        <v>September</v>
      </c>
      <c r="I1841" t="s">
        <v>97</v>
      </c>
      <c r="J1841" t="s">
        <v>38</v>
      </c>
      <c r="K1841">
        <v>760</v>
      </c>
      <c r="L1841" s="5" t="str">
        <f>IF(OR(K1841&lt;Answers!$C$16,Orders!K1841&gt;Answers!$C$17),"Yes","No")</f>
        <v>No</v>
      </c>
      <c r="M1841" s="14">
        <f>VLOOKUP(B1841,Customers!$A$1:$E$2501,4,0)</f>
        <v>75</v>
      </c>
    </row>
    <row r="1842" spans="1:13" x14ac:dyDescent="0.3">
      <c r="A1842">
        <v>1234676</v>
      </c>
      <c r="B1842">
        <v>972</v>
      </c>
      <c r="C1842" s="1" t="s">
        <v>99</v>
      </c>
      <c r="D1842" s="7">
        <v>44929</v>
      </c>
      <c r="E1842" s="11">
        <v>0.52708333333333335</v>
      </c>
      <c r="F1842" s="15">
        <f t="shared" si="84"/>
        <v>1</v>
      </c>
      <c r="G1842" s="10" t="str">
        <f t="shared" si="85"/>
        <v>Tuesday</v>
      </c>
      <c r="H1842" s="9" t="str">
        <f t="shared" si="86"/>
        <v>January</v>
      </c>
      <c r="I1842" t="s">
        <v>96</v>
      </c>
      <c r="J1842" t="s">
        <v>26</v>
      </c>
      <c r="K1842">
        <v>9851</v>
      </c>
      <c r="L1842" s="5" t="str">
        <f>IF(OR(K1842&lt;Answers!$C$16,Orders!K1842&gt;Answers!$C$17),"Yes","No")</f>
        <v>No</v>
      </c>
      <c r="M1842" s="14">
        <f>VLOOKUP(B1842,Customers!$A$1:$E$2501,4,0)</f>
        <v>35</v>
      </c>
    </row>
    <row r="1843" spans="1:13" x14ac:dyDescent="0.3">
      <c r="A1843">
        <v>1234702</v>
      </c>
      <c r="B1843">
        <v>747</v>
      </c>
      <c r="C1843" s="1" t="s">
        <v>106</v>
      </c>
      <c r="D1843" s="7">
        <v>45202</v>
      </c>
      <c r="E1843" s="11">
        <v>36872</v>
      </c>
      <c r="F1843" s="15">
        <f t="shared" si="84"/>
        <v>10</v>
      </c>
      <c r="G1843" s="10" t="str">
        <f t="shared" si="85"/>
        <v>Tuesday</v>
      </c>
      <c r="H1843" s="9" t="str">
        <f t="shared" si="86"/>
        <v>October</v>
      </c>
      <c r="I1843" t="s">
        <v>95</v>
      </c>
      <c r="J1843" t="s">
        <v>63</v>
      </c>
      <c r="K1843">
        <v>8157</v>
      </c>
      <c r="L1843" s="5" t="str">
        <f>IF(OR(K1843&lt;Answers!$C$16,Orders!K1843&gt;Answers!$C$17),"Yes","No")</f>
        <v>No</v>
      </c>
      <c r="M1843" s="14">
        <f>VLOOKUP(B1843,Customers!$A$1:$E$2501,4,0)</f>
        <v>64</v>
      </c>
    </row>
    <row r="1844" spans="1:13" x14ac:dyDescent="0.3">
      <c r="A1844">
        <v>1234926</v>
      </c>
      <c r="B1844">
        <v>1983</v>
      </c>
      <c r="C1844" s="1" t="s">
        <v>104</v>
      </c>
      <c r="D1844" s="7">
        <v>45208</v>
      </c>
      <c r="E1844" s="11">
        <v>0.47708333333333336</v>
      </c>
      <c r="F1844" s="15">
        <f t="shared" si="84"/>
        <v>10</v>
      </c>
      <c r="G1844" s="10" t="str">
        <f t="shared" si="85"/>
        <v>Monday</v>
      </c>
      <c r="H1844" s="9" t="str">
        <f t="shared" si="86"/>
        <v>October</v>
      </c>
      <c r="I1844" t="s">
        <v>190</v>
      </c>
      <c r="J1844" t="s">
        <v>7</v>
      </c>
      <c r="K1844">
        <v>2280</v>
      </c>
      <c r="L1844" s="5" t="str">
        <f>IF(OR(K1844&lt;Answers!$C$16,Orders!K1844&gt;Answers!$C$17),"Yes","No")</f>
        <v>No</v>
      </c>
      <c r="M1844" s="14">
        <f>VLOOKUP(B1844,Customers!$A$1:$E$2501,4,0)</f>
        <v>35</v>
      </c>
    </row>
    <row r="1845" spans="1:13" x14ac:dyDescent="0.3">
      <c r="A1845">
        <v>1236573</v>
      </c>
      <c r="B1845">
        <v>1036</v>
      </c>
      <c r="C1845" s="1" t="s">
        <v>112</v>
      </c>
      <c r="D1845" s="7">
        <v>45166</v>
      </c>
      <c r="E1845" s="11">
        <v>0.49583333333333335</v>
      </c>
      <c r="F1845" s="15">
        <f t="shared" si="84"/>
        <v>8</v>
      </c>
      <c r="G1845" s="10" t="str">
        <f t="shared" si="85"/>
        <v>Monday</v>
      </c>
      <c r="H1845" s="9" t="str">
        <f t="shared" si="86"/>
        <v>August</v>
      </c>
      <c r="I1845" t="s">
        <v>97</v>
      </c>
      <c r="J1845" t="s">
        <v>42</v>
      </c>
      <c r="K1845">
        <v>1114</v>
      </c>
      <c r="L1845" s="5" t="str">
        <f>IF(OR(K1845&lt;Answers!$C$16,Orders!K1845&gt;Answers!$C$17),"Yes","No")</f>
        <v>No</v>
      </c>
      <c r="M1845" s="14">
        <f>VLOOKUP(B1845,Customers!$A$1:$E$2501,4,0)</f>
        <v>29</v>
      </c>
    </row>
    <row r="1846" spans="1:13" x14ac:dyDescent="0.3">
      <c r="A1846">
        <v>1236880</v>
      </c>
      <c r="B1846">
        <v>1511</v>
      </c>
      <c r="C1846" s="1" t="s">
        <v>98</v>
      </c>
      <c r="D1846" s="7">
        <v>45064</v>
      </c>
      <c r="E1846" s="11">
        <v>0.43819444444444444</v>
      </c>
      <c r="F1846" s="15">
        <f t="shared" si="84"/>
        <v>5</v>
      </c>
      <c r="G1846" s="10" t="str">
        <f t="shared" si="85"/>
        <v>Thursday</v>
      </c>
      <c r="H1846" s="9" t="str">
        <f t="shared" si="86"/>
        <v>May</v>
      </c>
      <c r="I1846" t="s">
        <v>95</v>
      </c>
      <c r="J1846" t="s">
        <v>61</v>
      </c>
      <c r="K1846">
        <v>1203</v>
      </c>
      <c r="L1846" s="5" t="str">
        <f>IF(OR(K1846&lt;Answers!$C$16,Orders!K1846&gt;Answers!$C$17),"Yes","No")</f>
        <v>No</v>
      </c>
      <c r="M1846" s="14">
        <f>VLOOKUP(B1846,Customers!$A$1:$E$2501,4,0)</f>
        <v>19</v>
      </c>
    </row>
    <row r="1847" spans="1:13" x14ac:dyDescent="0.3">
      <c r="A1847">
        <v>1237283</v>
      </c>
      <c r="B1847">
        <v>1263</v>
      </c>
      <c r="C1847" s="1" t="s">
        <v>98</v>
      </c>
      <c r="D1847" s="7">
        <v>44978</v>
      </c>
      <c r="E1847" s="11">
        <v>5.486111111111111E-2</v>
      </c>
      <c r="F1847" s="15">
        <f t="shared" si="84"/>
        <v>2</v>
      </c>
      <c r="G1847" s="10" t="str">
        <f t="shared" si="85"/>
        <v>Tuesday</v>
      </c>
      <c r="H1847" s="9" t="str">
        <f t="shared" si="86"/>
        <v>February</v>
      </c>
      <c r="I1847" t="s">
        <v>95</v>
      </c>
      <c r="J1847" t="s">
        <v>80</v>
      </c>
      <c r="K1847">
        <v>3809</v>
      </c>
      <c r="L1847" s="5" t="str">
        <f>IF(OR(K1847&lt;Answers!$C$16,Orders!K1847&gt;Answers!$C$17),"Yes","No")</f>
        <v>No</v>
      </c>
      <c r="M1847" s="14">
        <f>VLOOKUP(B1847,Customers!$A$1:$E$2501,4,0)</f>
        <v>78</v>
      </c>
    </row>
    <row r="1848" spans="1:13" x14ac:dyDescent="0.3">
      <c r="A1848">
        <v>1237541</v>
      </c>
      <c r="B1848">
        <v>354</v>
      </c>
      <c r="C1848" s="1" t="s">
        <v>112</v>
      </c>
      <c r="D1848" s="7">
        <v>45202</v>
      </c>
      <c r="E1848" s="11">
        <v>0.49861111111111112</v>
      </c>
      <c r="F1848" s="15">
        <f t="shared" si="84"/>
        <v>10</v>
      </c>
      <c r="G1848" s="10" t="str">
        <f t="shared" si="85"/>
        <v>Tuesday</v>
      </c>
      <c r="H1848" s="9" t="str">
        <f t="shared" si="86"/>
        <v>October</v>
      </c>
      <c r="I1848" t="s">
        <v>97</v>
      </c>
      <c r="J1848" t="s">
        <v>87</v>
      </c>
      <c r="K1848">
        <v>301</v>
      </c>
      <c r="L1848" s="5" t="str">
        <f>IF(OR(K1848&lt;Answers!$C$16,Orders!K1848&gt;Answers!$C$17),"Yes","No")</f>
        <v>No</v>
      </c>
      <c r="M1848" s="14">
        <f>VLOOKUP(B1848,Customers!$A$1:$E$2501,4,0)</f>
        <v>29</v>
      </c>
    </row>
    <row r="1849" spans="1:13" x14ac:dyDescent="0.3">
      <c r="A1849">
        <v>1238511</v>
      </c>
      <c r="B1849">
        <v>433</v>
      </c>
      <c r="C1849" s="1" t="s">
        <v>112</v>
      </c>
      <c r="D1849" s="7">
        <v>44935</v>
      </c>
      <c r="E1849" s="11">
        <v>0.51666666666666672</v>
      </c>
      <c r="F1849" s="15">
        <f t="shared" si="84"/>
        <v>1</v>
      </c>
      <c r="G1849" s="10" t="str">
        <f t="shared" si="85"/>
        <v>Monday</v>
      </c>
      <c r="H1849" s="9" t="str">
        <f t="shared" si="86"/>
        <v>January</v>
      </c>
      <c r="I1849" t="s">
        <v>190</v>
      </c>
      <c r="J1849" t="s">
        <v>45</v>
      </c>
      <c r="K1849">
        <v>7820</v>
      </c>
      <c r="L1849" s="5" t="str">
        <f>IF(OR(K1849&lt;Answers!$C$16,Orders!K1849&gt;Answers!$C$17),"Yes","No")</f>
        <v>No</v>
      </c>
      <c r="M1849" s="14">
        <f>VLOOKUP(B1849,Customers!$A$1:$E$2501,4,0)</f>
        <v>55</v>
      </c>
    </row>
    <row r="1850" spans="1:13" x14ac:dyDescent="0.3">
      <c r="A1850">
        <v>1239298</v>
      </c>
      <c r="B1850">
        <v>270</v>
      </c>
      <c r="C1850" s="1" t="s">
        <v>100</v>
      </c>
      <c r="D1850" s="7">
        <v>45193</v>
      </c>
      <c r="E1850" s="11">
        <v>0.48680555555555555</v>
      </c>
      <c r="F1850" s="15">
        <f t="shared" si="84"/>
        <v>9</v>
      </c>
      <c r="G1850" s="10" t="str">
        <f t="shared" si="85"/>
        <v>Sunday</v>
      </c>
      <c r="H1850" s="9" t="str">
        <f t="shared" si="86"/>
        <v>September</v>
      </c>
      <c r="I1850" t="s">
        <v>96</v>
      </c>
      <c r="J1850" t="s">
        <v>81</v>
      </c>
      <c r="K1850">
        <v>1355</v>
      </c>
      <c r="L1850" s="5" t="str">
        <f>IF(OR(K1850&lt;Answers!$C$16,Orders!K1850&gt;Answers!$C$17),"Yes","No")</f>
        <v>No</v>
      </c>
      <c r="M1850" s="14">
        <f>VLOOKUP(B1850,Customers!$A$1:$E$2501,4,0)</f>
        <v>74</v>
      </c>
    </row>
    <row r="1851" spans="1:13" x14ac:dyDescent="0.3">
      <c r="A1851">
        <v>1239461</v>
      </c>
      <c r="B1851">
        <v>245</v>
      </c>
      <c r="C1851" s="1" t="s">
        <v>112</v>
      </c>
      <c r="D1851" s="7">
        <v>45183</v>
      </c>
      <c r="E1851" s="11">
        <v>5.347222222222222E-2</v>
      </c>
      <c r="F1851" s="15">
        <f t="shared" si="84"/>
        <v>9</v>
      </c>
      <c r="G1851" s="10" t="str">
        <f t="shared" si="85"/>
        <v>Thursday</v>
      </c>
      <c r="H1851" s="9" t="str">
        <f t="shared" si="86"/>
        <v>September</v>
      </c>
      <c r="I1851" t="s">
        <v>97</v>
      </c>
      <c r="J1851" t="s">
        <v>16</v>
      </c>
      <c r="K1851">
        <v>653</v>
      </c>
      <c r="L1851" s="5" t="str">
        <f>IF(OR(K1851&lt;Answers!$C$16,Orders!K1851&gt;Answers!$C$17),"Yes","No")</f>
        <v>No</v>
      </c>
      <c r="M1851" s="14">
        <f>VLOOKUP(B1851,Customers!$A$1:$E$2501,4,0)</f>
        <v>63</v>
      </c>
    </row>
    <row r="1852" spans="1:13" x14ac:dyDescent="0.3">
      <c r="A1852">
        <v>1240058</v>
      </c>
      <c r="B1852">
        <v>1665</v>
      </c>
      <c r="C1852" s="1" t="s">
        <v>109</v>
      </c>
      <c r="D1852" s="7">
        <v>44929</v>
      </c>
      <c r="E1852" s="11">
        <v>5.2083333333333336E-2</v>
      </c>
      <c r="F1852" s="15">
        <f t="shared" si="84"/>
        <v>1</v>
      </c>
      <c r="G1852" s="10" t="str">
        <f t="shared" si="85"/>
        <v>Tuesday</v>
      </c>
      <c r="H1852" s="9" t="str">
        <f t="shared" si="86"/>
        <v>January</v>
      </c>
      <c r="I1852" t="s">
        <v>96</v>
      </c>
      <c r="J1852" t="s">
        <v>42</v>
      </c>
      <c r="K1852">
        <v>1633</v>
      </c>
      <c r="L1852" s="5" t="str">
        <f>IF(OR(K1852&lt;Answers!$C$16,Orders!K1852&gt;Answers!$C$17),"Yes","No")</f>
        <v>No</v>
      </c>
      <c r="M1852" s="14">
        <f>VLOOKUP(B1852,Customers!$A$1:$E$2501,4,0)</f>
        <v>19</v>
      </c>
    </row>
    <row r="1853" spans="1:13" x14ac:dyDescent="0.3">
      <c r="A1853">
        <v>1240090</v>
      </c>
      <c r="B1853">
        <v>319</v>
      </c>
      <c r="C1853" s="1" t="s">
        <v>112</v>
      </c>
      <c r="D1853" s="7">
        <v>44968</v>
      </c>
      <c r="E1853" s="11">
        <v>0.51597222222222228</v>
      </c>
      <c r="F1853" s="15">
        <f t="shared" si="84"/>
        <v>2</v>
      </c>
      <c r="G1853" s="10" t="str">
        <f t="shared" si="85"/>
        <v>Saturday</v>
      </c>
      <c r="H1853" s="9" t="str">
        <f t="shared" si="86"/>
        <v>February</v>
      </c>
      <c r="I1853" t="s">
        <v>96</v>
      </c>
      <c r="J1853" t="s">
        <v>43</v>
      </c>
      <c r="K1853">
        <v>286</v>
      </c>
      <c r="L1853" s="5" t="str">
        <f>IF(OR(K1853&lt;Answers!$C$16,Orders!K1853&gt;Answers!$C$17),"Yes","No")</f>
        <v>No</v>
      </c>
      <c r="M1853" s="14">
        <f>VLOOKUP(B1853,Customers!$A$1:$E$2501,4,0)</f>
        <v>39</v>
      </c>
    </row>
    <row r="1854" spans="1:13" x14ac:dyDescent="0.3">
      <c r="A1854">
        <v>1241751</v>
      </c>
      <c r="B1854">
        <v>1252</v>
      </c>
      <c r="C1854" s="1" t="s">
        <v>98</v>
      </c>
      <c r="D1854" s="7">
        <v>45050</v>
      </c>
      <c r="E1854" s="11">
        <v>0.4861111111111111</v>
      </c>
      <c r="F1854" s="15">
        <f t="shared" si="84"/>
        <v>5</v>
      </c>
      <c r="G1854" s="10" t="str">
        <f t="shared" si="85"/>
        <v>Thursday</v>
      </c>
      <c r="H1854" s="9" t="str">
        <f t="shared" si="86"/>
        <v>May</v>
      </c>
      <c r="I1854" t="s">
        <v>190</v>
      </c>
      <c r="J1854" t="s">
        <v>77</v>
      </c>
      <c r="K1854">
        <v>6106</v>
      </c>
      <c r="L1854" s="5" t="str">
        <f>IF(OR(K1854&lt;Answers!$C$16,Orders!K1854&gt;Answers!$C$17),"Yes","No")</f>
        <v>No</v>
      </c>
      <c r="M1854" s="14">
        <f>VLOOKUP(B1854,Customers!$A$1:$E$2501,4,0)</f>
        <v>66</v>
      </c>
    </row>
    <row r="1855" spans="1:13" x14ac:dyDescent="0.3">
      <c r="A1855">
        <v>1242334</v>
      </c>
      <c r="B1855">
        <v>701</v>
      </c>
      <c r="C1855" s="1" t="s">
        <v>112</v>
      </c>
      <c r="D1855" s="7">
        <v>44965</v>
      </c>
      <c r="E1855" s="11">
        <v>0.46875</v>
      </c>
      <c r="F1855" s="15">
        <f t="shared" si="84"/>
        <v>2</v>
      </c>
      <c r="G1855" s="10" t="str">
        <f t="shared" si="85"/>
        <v>Wednesday</v>
      </c>
      <c r="H1855" s="9" t="str">
        <f t="shared" si="86"/>
        <v>February</v>
      </c>
      <c r="I1855" t="s">
        <v>97</v>
      </c>
      <c r="J1855" t="s">
        <v>26</v>
      </c>
      <c r="K1855">
        <v>4664</v>
      </c>
      <c r="L1855" s="5" t="str">
        <f>IF(OR(K1855&lt;Answers!$C$16,Orders!K1855&gt;Answers!$C$17),"Yes","No")</f>
        <v>No</v>
      </c>
      <c r="M1855" s="14">
        <f>VLOOKUP(B1855,Customers!$A$1:$E$2501,4,0)</f>
        <v>72</v>
      </c>
    </row>
    <row r="1856" spans="1:13" x14ac:dyDescent="0.3">
      <c r="A1856">
        <v>1242726</v>
      </c>
      <c r="B1856">
        <v>724</v>
      </c>
      <c r="C1856" s="1" t="s">
        <v>98</v>
      </c>
      <c r="D1856" s="7">
        <v>44952</v>
      </c>
      <c r="E1856" s="11">
        <v>0.48333333333333334</v>
      </c>
      <c r="F1856" s="15">
        <f t="shared" si="84"/>
        <v>1</v>
      </c>
      <c r="G1856" s="10" t="str">
        <f t="shared" si="85"/>
        <v>Thursday</v>
      </c>
      <c r="H1856" s="9" t="str">
        <f t="shared" si="86"/>
        <v>January</v>
      </c>
      <c r="I1856" t="s">
        <v>97</v>
      </c>
      <c r="J1856" t="s">
        <v>33</v>
      </c>
      <c r="K1856">
        <v>3036</v>
      </c>
      <c r="L1856" s="5" t="str">
        <f>IF(OR(K1856&lt;Answers!$C$16,Orders!K1856&gt;Answers!$C$17),"Yes","No")</f>
        <v>No</v>
      </c>
      <c r="M1856" s="14">
        <f>VLOOKUP(B1856,Customers!$A$1:$E$2501,4,0)</f>
        <v>30</v>
      </c>
    </row>
    <row r="1857" spans="1:13" x14ac:dyDescent="0.3">
      <c r="A1857">
        <v>1243085</v>
      </c>
      <c r="B1857">
        <v>39</v>
      </c>
      <c r="C1857" s="1" t="s">
        <v>98</v>
      </c>
      <c r="D1857" s="7">
        <v>45241</v>
      </c>
      <c r="E1857" s="11">
        <v>6.8750000000000006E-2</v>
      </c>
      <c r="F1857" s="15">
        <f t="shared" si="84"/>
        <v>11</v>
      </c>
      <c r="G1857" s="10" t="str">
        <f t="shared" si="85"/>
        <v>Saturday</v>
      </c>
      <c r="H1857" s="9" t="str">
        <f t="shared" si="86"/>
        <v>November</v>
      </c>
      <c r="I1857" t="s">
        <v>190</v>
      </c>
      <c r="J1857" t="s">
        <v>86</v>
      </c>
      <c r="K1857">
        <v>6819</v>
      </c>
      <c r="L1857" s="5" t="str">
        <f>IF(OR(K1857&lt;Answers!$C$16,Orders!K1857&gt;Answers!$C$17),"Yes","No")</f>
        <v>No</v>
      </c>
      <c r="M1857" s="14">
        <f>VLOOKUP(B1857,Customers!$A$1:$E$2501,4,0)</f>
        <v>46</v>
      </c>
    </row>
    <row r="1858" spans="1:13" x14ac:dyDescent="0.3">
      <c r="A1858">
        <v>1243807</v>
      </c>
      <c r="B1858">
        <v>869</v>
      </c>
      <c r="C1858" s="1" t="s">
        <v>103</v>
      </c>
      <c r="D1858" s="7">
        <v>45099</v>
      </c>
      <c r="E1858" s="11">
        <v>5.8333333333333334E-2</v>
      </c>
      <c r="F1858" s="15">
        <f t="shared" si="84"/>
        <v>6</v>
      </c>
      <c r="G1858" s="10" t="str">
        <f t="shared" si="85"/>
        <v>Thursday</v>
      </c>
      <c r="H1858" s="9" t="str">
        <f t="shared" si="86"/>
        <v>June</v>
      </c>
      <c r="I1858" t="s">
        <v>97</v>
      </c>
      <c r="J1858" t="s">
        <v>77</v>
      </c>
      <c r="K1858">
        <v>5634</v>
      </c>
      <c r="L1858" s="5" t="str">
        <f>IF(OR(K1858&lt;Answers!$C$16,Orders!K1858&gt;Answers!$C$17),"Yes","No")</f>
        <v>No</v>
      </c>
      <c r="M1858" s="14">
        <f>VLOOKUP(B1858,Customers!$A$1:$E$2501,4,0)</f>
        <v>56</v>
      </c>
    </row>
    <row r="1859" spans="1:13" x14ac:dyDescent="0.3">
      <c r="A1859">
        <v>1244097</v>
      </c>
      <c r="B1859">
        <v>380</v>
      </c>
      <c r="C1859" s="1" t="s">
        <v>99</v>
      </c>
      <c r="D1859" s="7">
        <v>45035</v>
      </c>
      <c r="E1859" s="11">
        <v>0.51527777777777772</v>
      </c>
      <c r="F1859" s="15">
        <f t="shared" ref="F1859:F1922" si="87">MONTH(D1859)</f>
        <v>4</v>
      </c>
      <c r="G1859" s="10" t="str">
        <f t="shared" ref="G1859:G1922" si="88">TEXT(D1859,"dddd")</f>
        <v>Wednesday</v>
      </c>
      <c r="H1859" s="9" t="str">
        <f t="shared" ref="H1859:H1922" si="89">TEXT(D1859,"mmmm")</f>
        <v>April</v>
      </c>
      <c r="I1859" t="s">
        <v>190</v>
      </c>
      <c r="J1859" t="s">
        <v>26</v>
      </c>
      <c r="K1859">
        <v>1026</v>
      </c>
      <c r="L1859" s="5" t="str">
        <f>IF(OR(K1859&lt;Answers!$C$16,Orders!K1859&gt;Answers!$C$17),"Yes","No")</f>
        <v>No</v>
      </c>
      <c r="M1859" s="14">
        <f>VLOOKUP(B1859,Customers!$A$1:$E$2501,4,0)</f>
        <v>29</v>
      </c>
    </row>
    <row r="1860" spans="1:13" x14ac:dyDescent="0.3">
      <c r="A1860">
        <v>1244668</v>
      </c>
      <c r="B1860">
        <v>1872</v>
      </c>
      <c r="C1860" s="1" t="s">
        <v>99</v>
      </c>
      <c r="D1860" s="7">
        <v>45159</v>
      </c>
      <c r="E1860" s="11">
        <v>36678</v>
      </c>
      <c r="F1860" s="15">
        <f t="shared" si="87"/>
        <v>8</v>
      </c>
      <c r="G1860" s="10" t="str">
        <f t="shared" si="88"/>
        <v>Monday</v>
      </c>
      <c r="H1860" s="9" t="str">
        <f t="shared" si="89"/>
        <v>August</v>
      </c>
      <c r="I1860" t="s">
        <v>97</v>
      </c>
      <c r="J1860" t="s">
        <v>68</v>
      </c>
      <c r="K1860">
        <v>9021</v>
      </c>
      <c r="L1860" s="5" t="str">
        <f>IF(OR(K1860&lt;Answers!$C$16,Orders!K1860&gt;Answers!$C$17),"Yes","No")</f>
        <v>No</v>
      </c>
      <c r="M1860" s="14">
        <f>VLOOKUP(B1860,Customers!$A$1:$E$2501,4,0)</f>
        <v>34</v>
      </c>
    </row>
    <row r="1861" spans="1:13" x14ac:dyDescent="0.3">
      <c r="A1861">
        <v>1244841</v>
      </c>
      <c r="B1861">
        <v>402</v>
      </c>
      <c r="C1861" s="1" t="s">
        <v>112</v>
      </c>
      <c r="D1861" s="7">
        <v>45238</v>
      </c>
      <c r="E1861" s="11">
        <v>0.53333333333333333</v>
      </c>
      <c r="F1861" s="15">
        <f t="shared" si="87"/>
        <v>11</v>
      </c>
      <c r="G1861" s="10" t="str">
        <f t="shared" si="88"/>
        <v>Wednesday</v>
      </c>
      <c r="H1861" s="9" t="str">
        <f t="shared" si="89"/>
        <v>November</v>
      </c>
      <c r="I1861" t="s">
        <v>97</v>
      </c>
      <c r="J1861" t="s">
        <v>25</v>
      </c>
      <c r="K1861">
        <v>3692</v>
      </c>
      <c r="L1861" s="5" t="str">
        <f>IF(OR(K1861&lt;Answers!$C$16,Orders!K1861&gt;Answers!$C$17),"Yes","No")</f>
        <v>No</v>
      </c>
      <c r="M1861" s="14">
        <f>VLOOKUP(B1861,Customers!$A$1:$E$2501,4,0)</f>
        <v>27</v>
      </c>
    </row>
    <row r="1862" spans="1:13" x14ac:dyDescent="0.3">
      <c r="A1862">
        <v>1244975</v>
      </c>
      <c r="B1862">
        <v>413</v>
      </c>
      <c r="C1862" s="1" t="s">
        <v>104</v>
      </c>
      <c r="D1862" s="7">
        <v>45218</v>
      </c>
      <c r="E1862" s="11">
        <v>36771</v>
      </c>
      <c r="F1862" s="15">
        <f t="shared" si="87"/>
        <v>10</v>
      </c>
      <c r="G1862" s="10" t="str">
        <f t="shared" si="88"/>
        <v>Thursday</v>
      </c>
      <c r="H1862" s="9" t="str">
        <f t="shared" si="89"/>
        <v>October</v>
      </c>
      <c r="I1862" t="s">
        <v>190</v>
      </c>
      <c r="J1862" t="s">
        <v>26</v>
      </c>
      <c r="K1862">
        <v>9062</v>
      </c>
      <c r="L1862" s="5" t="str">
        <f>IF(OR(K1862&lt;Answers!$C$16,Orders!K1862&gt;Answers!$C$17),"Yes","No")</f>
        <v>No</v>
      </c>
      <c r="M1862" s="14">
        <f>VLOOKUP(B1862,Customers!$A$1:$E$2501,4,0)</f>
        <v>47</v>
      </c>
    </row>
    <row r="1863" spans="1:13" x14ac:dyDescent="0.3">
      <c r="A1863">
        <v>1245959</v>
      </c>
      <c r="B1863">
        <v>1983</v>
      </c>
      <c r="C1863" s="1" t="s">
        <v>104</v>
      </c>
      <c r="D1863" s="7">
        <v>44981</v>
      </c>
      <c r="E1863" s="11">
        <v>0.45277777777777778</v>
      </c>
      <c r="F1863" s="15">
        <f t="shared" si="87"/>
        <v>2</v>
      </c>
      <c r="G1863" s="10" t="str">
        <f t="shared" si="88"/>
        <v>Friday</v>
      </c>
      <c r="H1863" s="9" t="str">
        <f t="shared" si="89"/>
        <v>February</v>
      </c>
      <c r="I1863" t="s">
        <v>95</v>
      </c>
      <c r="J1863" t="s">
        <v>24</v>
      </c>
      <c r="K1863">
        <v>774</v>
      </c>
      <c r="L1863" s="5" t="str">
        <f>IF(OR(K1863&lt;Answers!$C$16,Orders!K1863&gt;Answers!$C$17),"Yes","No")</f>
        <v>No</v>
      </c>
      <c r="M1863" s="14">
        <f>VLOOKUP(B1863,Customers!$A$1:$E$2501,4,0)</f>
        <v>35</v>
      </c>
    </row>
    <row r="1864" spans="1:13" x14ac:dyDescent="0.3">
      <c r="A1864">
        <v>1246551</v>
      </c>
      <c r="B1864">
        <v>1907</v>
      </c>
      <c r="C1864" s="1" t="s">
        <v>100</v>
      </c>
      <c r="D1864" s="7">
        <v>45072</v>
      </c>
      <c r="E1864" s="11">
        <v>0.45347222222222222</v>
      </c>
      <c r="F1864" s="15">
        <f t="shared" si="87"/>
        <v>5</v>
      </c>
      <c r="G1864" s="10" t="str">
        <f t="shared" si="88"/>
        <v>Friday</v>
      </c>
      <c r="H1864" s="9" t="str">
        <f t="shared" si="89"/>
        <v>May</v>
      </c>
      <c r="I1864" t="s">
        <v>190</v>
      </c>
      <c r="J1864" t="s">
        <v>80</v>
      </c>
      <c r="K1864">
        <v>5938</v>
      </c>
      <c r="L1864" s="5" t="str">
        <f>IF(OR(K1864&lt;Answers!$C$16,Orders!K1864&gt;Answers!$C$17),"Yes","No")</f>
        <v>No</v>
      </c>
      <c r="M1864" s="14">
        <f>VLOOKUP(B1864,Customers!$A$1:$E$2501,4,0)</f>
        <v>83</v>
      </c>
    </row>
    <row r="1865" spans="1:13" x14ac:dyDescent="0.3">
      <c r="A1865">
        <v>1246866</v>
      </c>
      <c r="B1865">
        <v>1884</v>
      </c>
      <c r="C1865" s="1" t="s">
        <v>98</v>
      </c>
      <c r="D1865" s="7">
        <v>45104</v>
      </c>
      <c r="E1865" s="11">
        <v>0.4777777777777778</v>
      </c>
      <c r="F1865" s="15">
        <f t="shared" si="87"/>
        <v>6</v>
      </c>
      <c r="G1865" s="10" t="str">
        <f t="shared" si="88"/>
        <v>Tuesday</v>
      </c>
      <c r="H1865" s="9" t="str">
        <f t="shared" si="89"/>
        <v>June</v>
      </c>
      <c r="I1865" t="s">
        <v>97</v>
      </c>
      <c r="J1865" t="s">
        <v>87</v>
      </c>
      <c r="K1865">
        <v>849</v>
      </c>
      <c r="L1865" s="5" t="str">
        <f>IF(OR(K1865&lt;Answers!$C$16,Orders!K1865&gt;Answers!$C$17),"Yes","No")</f>
        <v>No</v>
      </c>
      <c r="M1865" s="14">
        <f>VLOOKUP(B1865,Customers!$A$1:$E$2501,4,0)</f>
        <v>31</v>
      </c>
    </row>
    <row r="1866" spans="1:13" x14ac:dyDescent="0.3">
      <c r="A1866">
        <v>1247542</v>
      </c>
      <c r="B1866">
        <v>1956</v>
      </c>
      <c r="C1866" s="1" t="s">
        <v>103</v>
      </c>
      <c r="D1866" s="7">
        <v>45151</v>
      </c>
      <c r="E1866" s="11">
        <v>0.49236111111111114</v>
      </c>
      <c r="F1866" s="15">
        <f t="shared" si="87"/>
        <v>8</v>
      </c>
      <c r="G1866" s="10" t="str">
        <f t="shared" si="88"/>
        <v>Sunday</v>
      </c>
      <c r="H1866" s="9" t="str">
        <f t="shared" si="89"/>
        <v>August</v>
      </c>
      <c r="I1866" t="s">
        <v>96</v>
      </c>
      <c r="J1866" t="s">
        <v>42</v>
      </c>
      <c r="K1866">
        <v>632</v>
      </c>
      <c r="L1866" s="5" t="str">
        <f>IF(OR(K1866&lt;Answers!$C$16,Orders!K1866&gt;Answers!$C$17),"Yes","No")</f>
        <v>No</v>
      </c>
      <c r="M1866" s="14">
        <f>VLOOKUP(B1866,Customers!$A$1:$E$2501,4,0)</f>
        <v>41</v>
      </c>
    </row>
    <row r="1867" spans="1:13" x14ac:dyDescent="0.3">
      <c r="A1867">
        <v>1249517</v>
      </c>
      <c r="B1867">
        <v>1371</v>
      </c>
      <c r="C1867" s="1" t="s">
        <v>98</v>
      </c>
      <c r="D1867" s="7">
        <v>44963</v>
      </c>
      <c r="E1867" s="11">
        <v>0.52500000000000002</v>
      </c>
      <c r="F1867" s="15">
        <f t="shared" si="87"/>
        <v>2</v>
      </c>
      <c r="G1867" s="10" t="str">
        <f t="shared" si="88"/>
        <v>Monday</v>
      </c>
      <c r="H1867" s="9" t="str">
        <f t="shared" si="89"/>
        <v>February</v>
      </c>
      <c r="I1867" t="s">
        <v>190</v>
      </c>
      <c r="J1867" t="s">
        <v>26</v>
      </c>
      <c r="K1867">
        <v>985</v>
      </c>
      <c r="L1867" s="5" t="str">
        <f>IF(OR(K1867&lt;Answers!$C$16,Orders!K1867&gt;Answers!$C$17),"Yes","No")</f>
        <v>No</v>
      </c>
      <c r="M1867" s="14">
        <f>VLOOKUP(B1867,Customers!$A$1:$E$2501,4,0)</f>
        <v>29</v>
      </c>
    </row>
    <row r="1868" spans="1:13" x14ac:dyDescent="0.3">
      <c r="A1868">
        <v>1250394</v>
      </c>
      <c r="B1868">
        <v>1969</v>
      </c>
      <c r="C1868" s="1" t="s">
        <v>104</v>
      </c>
      <c r="D1868" s="7">
        <v>44970</v>
      </c>
      <c r="E1868" s="11">
        <v>0.51666666666666672</v>
      </c>
      <c r="F1868" s="15">
        <f t="shared" si="87"/>
        <v>2</v>
      </c>
      <c r="G1868" s="10" t="str">
        <f t="shared" si="88"/>
        <v>Monday</v>
      </c>
      <c r="H1868" s="9" t="str">
        <f t="shared" si="89"/>
        <v>February</v>
      </c>
      <c r="I1868" t="s">
        <v>96</v>
      </c>
      <c r="J1868" t="s">
        <v>64</v>
      </c>
      <c r="K1868">
        <v>9703</v>
      </c>
      <c r="L1868" s="5" t="str">
        <f>IF(OR(K1868&lt;Answers!$C$16,Orders!K1868&gt;Answers!$C$17),"Yes","No")</f>
        <v>No</v>
      </c>
      <c r="M1868" s="14">
        <f>VLOOKUP(B1868,Customers!$A$1:$E$2501,4,0)</f>
        <v>41</v>
      </c>
    </row>
    <row r="1869" spans="1:13" x14ac:dyDescent="0.3">
      <c r="A1869">
        <v>1250419</v>
      </c>
      <c r="B1869">
        <v>1802</v>
      </c>
      <c r="C1869" s="1" t="s">
        <v>99</v>
      </c>
      <c r="D1869" s="7">
        <v>45070</v>
      </c>
      <c r="E1869" s="11">
        <v>6.5972222222222224E-2</v>
      </c>
      <c r="F1869" s="15">
        <f t="shared" si="87"/>
        <v>5</v>
      </c>
      <c r="G1869" s="10" t="str">
        <f t="shared" si="88"/>
        <v>Wednesday</v>
      </c>
      <c r="H1869" s="9" t="str">
        <f t="shared" si="89"/>
        <v>May</v>
      </c>
      <c r="I1869" t="s">
        <v>96</v>
      </c>
      <c r="J1869" t="s">
        <v>23</v>
      </c>
      <c r="K1869">
        <v>3390</v>
      </c>
      <c r="L1869" s="5" t="str">
        <f>IF(OR(K1869&lt;Answers!$C$16,Orders!K1869&gt;Answers!$C$17),"Yes","No")</f>
        <v>No</v>
      </c>
      <c r="M1869" s="14">
        <f>VLOOKUP(B1869,Customers!$A$1:$E$2501,4,0)</f>
        <v>61</v>
      </c>
    </row>
    <row r="1870" spans="1:13" x14ac:dyDescent="0.3">
      <c r="A1870">
        <v>1252385</v>
      </c>
      <c r="B1870">
        <v>958</v>
      </c>
      <c r="C1870" s="1" t="s">
        <v>98</v>
      </c>
      <c r="D1870" s="7">
        <v>44983</v>
      </c>
      <c r="E1870" s="11">
        <v>0.48472222222222222</v>
      </c>
      <c r="F1870" s="15">
        <f t="shared" si="87"/>
        <v>2</v>
      </c>
      <c r="G1870" s="10" t="str">
        <f t="shared" si="88"/>
        <v>Sunday</v>
      </c>
      <c r="H1870" s="9" t="str">
        <f t="shared" si="89"/>
        <v>February</v>
      </c>
      <c r="I1870" t="s">
        <v>96</v>
      </c>
      <c r="J1870" t="s">
        <v>69</v>
      </c>
      <c r="K1870">
        <v>9723</v>
      </c>
      <c r="L1870" s="5" t="str">
        <f>IF(OR(K1870&lt;Answers!$C$16,Orders!K1870&gt;Answers!$C$17),"Yes","No")</f>
        <v>No</v>
      </c>
      <c r="M1870" s="14">
        <f>VLOOKUP(B1870,Customers!$A$1:$E$2501,4,0)</f>
        <v>89</v>
      </c>
    </row>
    <row r="1871" spans="1:13" x14ac:dyDescent="0.3">
      <c r="A1871">
        <v>1252899</v>
      </c>
      <c r="B1871">
        <v>749</v>
      </c>
      <c r="C1871" s="1" t="s">
        <v>105</v>
      </c>
      <c r="D1871" s="7">
        <v>45261</v>
      </c>
      <c r="E1871" s="11">
        <v>7.013888888888889E-2</v>
      </c>
      <c r="F1871" s="15">
        <f t="shared" si="87"/>
        <v>12</v>
      </c>
      <c r="G1871" s="10" t="str">
        <f t="shared" si="88"/>
        <v>Friday</v>
      </c>
      <c r="H1871" s="9" t="str">
        <f t="shared" si="89"/>
        <v>December</v>
      </c>
      <c r="I1871" t="s">
        <v>96</v>
      </c>
      <c r="J1871" t="s">
        <v>70</v>
      </c>
      <c r="K1871">
        <v>3812</v>
      </c>
      <c r="L1871" s="5" t="str">
        <f>IF(OR(K1871&lt;Answers!$C$16,Orders!K1871&gt;Answers!$C$17),"Yes","No")</f>
        <v>No</v>
      </c>
      <c r="M1871" s="14">
        <f>VLOOKUP(B1871,Customers!$A$1:$E$2501,4,0)</f>
        <v>82</v>
      </c>
    </row>
    <row r="1872" spans="1:13" x14ac:dyDescent="0.3">
      <c r="A1872">
        <v>1253263</v>
      </c>
      <c r="B1872">
        <v>61</v>
      </c>
      <c r="C1872" s="1" t="s">
        <v>104</v>
      </c>
      <c r="D1872" s="7">
        <v>45072</v>
      </c>
      <c r="E1872" s="11">
        <v>6.805555555555555E-2</v>
      </c>
      <c r="F1872" s="15">
        <f t="shared" si="87"/>
        <v>5</v>
      </c>
      <c r="G1872" s="10" t="str">
        <f t="shared" si="88"/>
        <v>Friday</v>
      </c>
      <c r="H1872" s="9" t="str">
        <f t="shared" si="89"/>
        <v>May</v>
      </c>
      <c r="I1872" t="s">
        <v>190</v>
      </c>
      <c r="J1872" t="s">
        <v>42</v>
      </c>
      <c r="K1872">
        <v>2843</v>
      </c>
      <c r="L1872" s="5" t="str">
        <f>IF(OR(K1872&lt;Answers!$C$16,Orders!K1872&gt;Answers!$C$17),"Yes","No")</f>
        <v>No</v>
      </c>
      <c r="M1872" s="14">
        <f>VLOOKUP(B1872,Customers!$A$1:$E$2501,4,0)</f>
        <v>47</v>
      </c>
    </row>
    <row r="1873" spans="1:13" x14ac:dyDescent="0.3">
      <c r="A1873">
        <v>1253641</v>
      </c>
      <c r="B1873">
        <v>786</v>
      </c>
      <c r="C1873" s="1" t="s">
        <v>107</v>
      </c>
      <c r="D1873" s="7">
        <v>44956</v>
      </c>
      <c r="E1873" s="11">
        <v>7.6388888888888895E-2</v>
      </c>
      <c r="F1873" s="15">
        <f t="shared" si="87"/>
        <v>1</v>
      </c>
      <c r="G1873" s="10" t="str">
        <f t="shared" si="88"/>
        <v>Monday</v>
      </c>
      <c r="H1873" s="9" t="str">
        <f t="shared" si="89"/>
        <v>January</v>
      </c>
      <c r="I1873" t="s">
        <v>97</v>
      </c>
      <c r="J1873" t="s">
        <v>44</v>
      </c>
      <c r="K1873">
        <v>2881</v>
      </c>
      <c r="L1873" s="5" t="str">
        <f>IF(OR(K1873&lt;Answers!$C$16,Orders!K1873&gt;Answers!$C$17),"Yes","No")</f>
        <v>No</v>
      </c>
      <c r="M1873" s="14">
        <f>VLOOKUP(B1873,Customers!$A$1:$E$2501,4,0)</f>
        <v>61</v>
      </c>
    </row>
    <row r="1874" spans="1:13" x14ac:dyDescent="0.3">
      <c r="A1874">
        <v>1254071</v>
      </c>
      <c r="B1874">
        <v>1367</v>
      </c>
      <c r="C1874" s="1" t="s">
        <v>106</v>
      </c>
      <c r="D1874" s="7">
        <v>44983</v>
      </c>
      <c r="E1874" s="11">
        <v>0.5180555555555556</v>
      </c>
      <c r="F1874" s="15">
        <f t="shared" si="87"/>
        <v>2</v>
      </c>
      <c r="G1874" s="10" t="str">
        <f t="shared" si="88"/>
        <v>Sunday</v>
      </c>
      <c r="H1874" s="9" t="str">
        <f t="shared" si="89"/>
        <v>February</v>
      </c>
      <c r="I1874" t="s">
        <v>190</v>
      </c>
      <c r="J1874" t="s">
        <v>7</v>
      </c>
      <c r="K1874">
        <v>3090</v>
      </c>
      <c r="L1874" s="5" t="str">
        <f>IF(OR(K1874&lt;Answers!$C$16,Orders!K1874&gt;Answers!$C$17),"Yes","No")</f>
        <v>No</v>
      </c>
      <c r="M1874" s="14">
        <f>VLOOKUP(B1874,Customers!$A$1:$E$2501,4,0)</f>
        <v>25</v>
      </c>
    </row>
    <row r="1875" spans="1:13" x14ac:dyDescent="0.3">
      <c r="A1875">
        <v>1254601</v>
      </c>
      <c r="B1875">
        <v>1734</v>
      </c>
      <c r="C1875" s="1" t="s">
        <v>98</v>
      </c>
      <c r="D1875" s="7">
        <v>45049</v>
      </c>
      <c r="E1875" s="11">
        <v>0.52916666666666667</v>
      </c>
      <c r="F1875" s="15">
        <f t="shared" si="87"/>
        <v>5</v>
      </c>
      <c r="G1875" s="10" t="str">
        <f t="shared" si="88"/>
        <v>Wednesday</v>
      </c>
      <c r="H1875" s="9" t="str">
        <f t="shared" si="89"/>
        <v>May</v>
      </c>
      <c r="I1875" t="s">
        <v>97</v>
      </c>
      <c r="J1875" t="s">
        <v>45</v>
      </c>
      <c r="K1875">
        <v>4180</v>
      </c>
      <c r="L1875" s="5" t="str">
        <f>IF(OR(K1875&lt;Answers!$C$16,Orders!K1875&gt;Answers!$C$17),"Yes","No")</f>
        <v>No</v>
      </c>
      <c r="M1875" s="14">
        <f>VLOOKUP(B1875,Customers!$A$1:$E$2501,4,0)</f>
        <v>62</v>
      </c>
    </row>
    <row r="1876" spans="1:13" x14ac:dyDescent="0.3">
      <c r="A1876">
        <v>1254623</v>
      </c>
      <c r="B1876">
        <v>1234</v>
      </c>
      <c r="C1876" s="1" t="s">
        <v>98</v>
      </c>
      <c r="D1876" s="7">
        <v>44958</v>
      </c>
      <c r="E1876" s="11">
        <v>0.51875000000000004</v>
      </c>
      <c r="F1876" s="15">
        <f t="shared" si="87"/>
        <v>2</v>
      </c>
      <c r="G1876" s="10" t="str">
        <f t="shared" si="88"/>
        <v>Wednesday</v>
      </c>
      <c r="H1876" s="9" t="str">
        <f t="shared" si="89"/>
        <v>February</v>
      </c>
      <c r="I1876" t="s">
        <v>190</v>
      </c>
      <c r="J1876" t="s">
        <v>10</v>
      </c>
      <c r="K1876">
        <v>3138</v>
      </c>
      <c r="L1876" s="5" t="str">
        <f>IF(OR(K1876&lt;Answers!$C$16,Orders!K1876&gt;Answers!$C$17),"Yes","No")</f>
        <v>No</v>
      </c>
      <c r="M1876" s="14">
        <f>VLOOKUP(B1876,Customers!$A$1:$E$2501,4,0)</f>
        <v>89</v>
      </c>
    </row>
    <row r="1877" spans="1:13" x14ac:dyDescent="0.3">
      <c r="A1877">
        <v>1255175</v>
      </c>
      <c r="B1877">
        <v>458</v>
      </c>
      <c r="C1877" s="1" t="s">
        <v>101</v>
      </c>
      <c r="D1877" s="7">
        <v>45254</v>
      </c>
      <c r="E1877" s="11">
        <v>0.47013888888888888</v>
      </c>
      <c r="F1877" s="15">
        <f t="shared" si="87"/>
        <v>11</v>
      </c>
      <c r="G1877" s="10" t="str">
        <f t="shared" si="88"/>
        <v>Friday</v>
      </c>
      <c r="H1877" s="9" t="str">
        <f t="shared" si="89"/>
        <v>November</v>
      </c>
      <c r="I1877" t="s">
        <v>96</v>
      </c>
      <c r="J1877" t="s">
        <v>71</v>
      </c>
      <c r="K1877">
        <v>505</v>
      </c>
      <c r="L1877" s="5" t="str">
        <f>IF(OR(K1877&lt;Answers!$C$16,Orders!K1877&gt;Answers!$C$17),"Yes","No")</f>
        <v>No</v>
      </c>
      <c r="M1877" s="14">
        <f>VLOOKUP(B1877,Customers!$A$1:$E$2501,4,0)</f>
        <v>60</v>
      </c>
    </row>
    <row r="1878" spans="1:13" x14ac:dyDescent="0.3">
      <c r="A1878">
        <v>1255720</v>
      </c>
      <c r="B1878">
        <v>1690</v>
      </c>
      <c r="C1878" s="1" t="s">
        <v>100</v>
      </c>
      <c r="D1878" s="7">
        <v>45178</v>
      </c>
      <c r="E1878" s="11">
        <v>0.51388888888888884</v>
      </c>
      <c r="F1878" s="15">
        <f t="shared" si="87"/>
        <v>9</v>
      </c>
      <c r="G1878" s="10" t="str">
        <f t="shared" si="88"/>
        <v>Saturday</v>
      </c>
      <c r="H1878" s="9" t="str">
        <f t="shared" si="89"/>
        <v>September</v>
      </c>
      <c r="I1878" t="s">
        <v>96</v>
      </c>
      <c r="J1878" t="s">
        <v>26</v>
      </c>
      <c r="K1878">
        <v>6466</v>
      </c>
      <c r="L1878" s="5" t="str">
        <f>IF(OR(K1878&lt;Answers!$C$16,Orders!K1878&gt;Answers!$C$17),"Yes","No")</f>
        <v>No</v>
      </c>
      <c r="M1878" s="14">
        <f>VLOOKUP(B1878,Customers!$A$1:$E$2501,4,0)</f>
        <v>57</v>
      </c>
    </row>
    <row r="1879" spans="1:13" x14ac:dyDescent="0.3">
      <c r="A1879">
        <v>1255723</v>
      </c>
      <c r="B1879">
        <v>57</v>
      </c>
      <c r="C1879" s="1" t="s">
        <v>112</v>
      </c>
      <c r="D1879" s="7">
        <v>45087</v>
      </c>
      <c r="E1879" s="11">
        <v>0.49583333333333335</v>
      </c>
      <c r="F1879" s="15">
        <f t="shared" si="87"/>
        <v>6</v>
      </c>
      <c r="G1879" s="10" t="str">
        <f t="shared" si="88"/>
        <v>Saturday</v>
      </c>
      <c r="H1879" s="9" t="str">
        <f t="shared" si="89"/>
        <v>June</v>
      </c>
      <c r="I1879" t="s">
        <v>95</v>
      </c>
      <c r="J1879" t="s">
        <v>12</v>
      </c>
      <c r="K1879">
        <v>9161</v>
      </c>
      <c r="L1879" s="5" t="str">
        <f>IF(OR(K1879&lt;Answers!$C$16,Orders!K1879&gt;Answers!$C$17),"Yes","No")</f>
        <v>No</v>
      </c>
      <c r="M1879" s="14">
        <f>VLOOKUP(B1879,Customers!$A$1:$E$2501,4,0)</f>
        <v>79</v>
      </c>
    </row>
    <row r="1880" spans="1:13" x14ac:dyDescent="0.3">
      <c r="A1880">
        <v>1256035</v>
      </c>
      <c r="B1880">
        <v>105</v>
      </c>
      <c r="C1880" s="1" t="s">
        <v>98</v>
      </c>
      <c r="D1880" s="7">
        <v>44941</v>
      </c>
      <c r="E1880" s="11">
        <v>36810</v>
      </c>
      <c r="F1880" s="15">
        <f t="shared" si="87"/>
        <v>1</v>
      </c>
      <c r="G1880" s="10" t="str">
        <f t="shared" si="88"/>
        <v>Sunday</v>
      </c>
      <c r="H1880" s="9" t="str">
        <f t="shared" si="89"/>
        <v>January</v>
      </c>
      <c r="I1880" t="s">
        <v>190</v>
      </c>
      <c r="J1880" t="s">
        <v>72</v>
      </c>
      <c r="K1880">
        <v>2774</v>
      </c>
      <c r="L1880" s="5" t="str">
        <f>IF(OR(K1880&lt;Answers!$C$16,Orders!K1880&gt;Answers!$C$17),"Yes","No")</f>
        <v>No</v>
      </c>
      <c r="M1880" s="14">
        <f>VLOOKUP(B1880,Customers!$A$1:$E$2501,4,0)</f>
        <v>80</v>
      </c>
    </row>
    <row r="1881" spans="1:13" x14ac:dyDescent="0.3">
      <c r="A1881">
        <v>1256522</v>
      </c>
      <c r="B1881">
        <v>816</v>
      </c>
      <c r="C1881" s="1" t="s">
        <v>112</v>
      </c>
      <c r="D1881" s="7">
        <v>45071</v>
      </c>
      <c r="E1881" s="11">
        <v>0.44444444444444442</v>
      </c>
      <c r="F1881" s="15">
        <f t="shared" si="87"/>
        <v>5</v>
      </c>
      <c r="G1881" s="10" t="str">
        <f t="shared" si="88"/>
        <v>Thursday</v>
      </c>
      <c r="H1881" s="9" t="str">
        <f t="shared" si="89"/>
        <v>May</v>
      </c>
      <c r="I1881" t="s">
        <v>95</v>
      </c>
      <c r="J1881" t="s">
        <v>51</v>
      </c>
      <c r="K1881">
        <v>7805</v>
      </c>
      <c r="L1881" s="5" t="str">
        <f>IF(OR(K1881&lt;Answers!$C$16,Orders!K1881&gt;Answers!$C$17),"Yes","No")</f>
        <v>No</v>
      </c>
      <c r="M1881" s="14">
        <f>VLOOKUP(B1881,Customers!$A$1:$E$2501,4,0)</f>
        <v>46</v>
      </c>
    </row>
    <row r="1882" spans="1:13" x14ac:dyDescent="0.3">
      <c r="A1882">
        <v>1256855</v>
      </c>
      <c r="B1882">
        <v>243</v>
      </c>
      <c r="C1882" s="1" t="s">
        <v>98</v>
      </c>
      <c r="D1882" s="7">
        <v>45185</v>
      </c>
      <c r="E1882" s="11">
        <v>0.53888888888888886</v>
      </c>
      <c r="F1882" s="15">
        <f t="shared" si="87"/>
        <v>9</v>
      </c>
      <c r="G1882" s="10" t="str">
        <f t="shared" si="88"/>
        <v>Saturday</v>
      </c>
      <c r="H1882" s="9" t="str">
        <f t="shared" si="89"/>
        <v>September</v>
      </c>
      <c r="I1882" t="s">
        <v>97</v>
      </c>
      <c r="J1882" t="s">
        <v>25</v>
      </c>
      <c r="K1882">
        <v>2567</v>
      </c>
      <c r="L1882" s="5" t="str">
        <f>IF(OR(K1882&lt;Answers!$C$16,Orders!K1882&gt;Answers!$C$17),"Yes","No")</f>
        <v>No</v>
      </c>
      <c r="M1882" s="14">
        <f>VLOOKUP(B1882,Customers!$A$1:$E$2501,4,0)</f>
        <v>18</v>
      </c>
    </row>
    <row r="1883" spans="1:13" x14ac:dyDescent="0.3">
      <c r="A1883">
        <v>1257018</v>
      </c>
      <c r="B1883">
        <v>87</v>
      </c>
      <c r="C1883" s="1" t="s">
        <v>112</v>
      </c>
      <c r="D1883" s="7">
        <v>44961</v>
      </c>
      <c r="E1883" s="11">
        <v>6.25E-2</v>
      </c>
      <c r="F1883" s="15">
        <f t="shared" si="87"/>
        <v>2</v>
      </c>
      <c r="G1883" s="10" t="str">
        <f t="shared" si="88"/>
        <v>Saturday</v>
      </c>
      <c r="H1883" s="9" t="str">
        <f t="shared" si="89"/>
        <v>February</v>
      </c>
      <c r="I1883" t="s">
        <v>96</v>
      </c>
      <c r="J1883" t="s">
        <v>73</v>
      </c>
      <c r="K1883">
        <v>8149</v>
      </c>
      <c r="L1883" s="5" t="str">
        <f>IF(OR(K1883&lt;Answers!$C$16,Orders!K1883&gt;Answers!$C$17),"Yes","No")</f>
        <v>No</v>
      </c>
      <c r="M1883" s="14">
        <f>VLOOKUP(B1883,Customers!$A$1:$E$2501,4,0)</f>
        <v>62</v>
      </c>
    </row>
    <row r="1884" spans="1:13" x14ac:dyDescent="0.3">
      <c r="A1884">
        <v>1258064</v>
      </c>
      <c r="B1884">
        <v>1478</v>
      </c>
      <c r="C1884" s="1" t="s">
        <v>103</v>
      </c>
      <c r="D1884" s="7">
        <v>45042</v>
      </c>
      <c r="E1884" s="11">
        <v>0.51944444444444449</v>
      </c>
      <c r="F1884" s="15">
        <f t="shared" si="87"/>
        <v>4</v>
      </c>
      <c r="G1884" s="10" t="str">
        <f t="shared" si="88"/>
        <v>Wednesday</v>
      </c>
      <c r="H1884" s="9" t="str">
        <f t="shared" si="89"/>
        <v>April</v>
      </c>
      <c r="I1884" t="s">
        <v>190</v>
      </c>
      <c r="J1884" t="s">
        <v>74</v>
      </c>
      <c r="K1884">
        <v>6527</v>
      </c>
      <c r="L1884" s="5" t="str">
        <f>IF(OR(K1884&lt;Answers!$C$16,Orders!K1884&gt;Answers!$C$17),"Yes","No")</f>
        <v>No</v>
      </c>
      <c r="M1884" s="14">
        <f>VLOOKUP(B1884,Customers!$A$1:$E$2501,4,0)</f>
        <v>43</v>
      </c>
    </row>
    <row r="1885" spans="1:13" x14ac:dyDescent="0.3">
      <c r="A1885">
        <v>1258245</v>
      </c>
      <c r="B1885">
        <v>1654</v>
      </c>
      <c r="C1885" s="1" t="s">
        <v>98</v>
      </c>
      <c r="D1885" s="7">
        <v>45020</v>
      </c>
      <c r="E1885" s="11">
        <v>0.49444444444444446</v>
      </c>
      <c r="F1885" s="15">
        <f t="shared" si="87"/>
        <v>4</v>
      </c>
      <c r="G1885" s="10" t="str">
        <f t="shared" si="88"/>
        <v>Tuesday</v>
      </c>
      <c r="H1885" s="9" t="str">
        <f t="shared" si="89"/>
        <v>April</v>
      </c>
      <c r="I1885" t="s">
        <v>96</v>
      </c>
      <c r="J1885" t="s">
        <v>72</v>
      </c>
      <c r="K1885">
        <v>3634</v>
      </c>
      <c r="L1885" s="5" t="str">
        <f>IF(OR(K1885&lt;Answers!$C$16,Orders!K1885&gt;Answers!$C$17),"Yes","No")</f>
        <v>No</v>
      </c>
      <c r="M1885" s="14">
        <f>VLOOKUP(B1885,Customers!$A$1:$E$2501,4,0)</f>
        <v>56</v>
      </c>
    </row>
    <row r="1886" spans="1:13" x14ac:dyDescent="0.3">
      <c r="A1886">
        <v>1259011</v>
      </c>
      <c r="B1886">
        <v>1198</v>
      </c>
      <c r="C1886" s="1" t="s">
        <v>98</v>
      </c>
      <c r="D1886" s="7">
        <v>45087</v>
      </c>
      <c r="E1886" s="11">
        <v>7.1527777777777773E-2</v>
      </c>
      <c r="F1886" s="15">
        <f t="shared" si="87"/>
        <v>6</v>
      </c>
      <c r="G1886" s="10" t="str">
        <f t="shared" si="88"/>
        <v>Saturday</v>
      </c>
      <c r="H1886" s="9" t="str">
        <f t="shared" si="89"/>
        <v>June</v>
      </c>
      <c r="I1886" t="s">
        <v>97</v>
      </c>
      <c r="J1886" t="s">
        <v>75</v>
      </c>
      <c r="K1886">
        <v>247</v>
      </c>
      <c r="L1886" s="5" t="str">
        <f>IF(OR(K1886&lt;Answers!$C$16,Orders!K1886&gt;Answers!$C$17),"Yes","No")</f>
        <v>No</v>
      </c>
      <c r="M1886" s="14">
        <f>VLOOKUP(B1886,Customers!$A$1:$E$2501,4,0)</f>
        <v>63</v>
      </c>
    </row>
    <row r="1887" spans="1:13" x14ac:dyDescent="0.3">
      <c r="A1887">
        <v>1259418</v>
      </c>
      <c r="B1887">
        <v>1199</v>
      </c>
      <c r="C1887" s="1" t="s">
        <v>106</v>
      </c>
      <c r="D1887" s="7">
        <v>44953</v>
      </c>
      <c r="E1887" s="11">
        <v>0.51458333333333328</v>
      </c>
      <c r="F1887" s="15">
        <f t="shared" si="87"/>
        <v>1</v>
      </c>
      <c r="G1887" s="10" t="str">
        <f t="shared" si="88"/>
        <v>Friday</v>
      </c>
      <c r="H1887" s="9" t="str">
        <f t="shared" si="89"/>
        <v>January</v>
      </c>
      <c r="I1887" t="s">
        <v>96</v>
      </c>
      <c r="J1887" t="s">
        <v>71</v>
      </c>
      <c r="K1887">
        <v>7775</v>
      </c>
      <c r="L1887" s="5" t="str">
        <f>IF(OR(K1887&lt;Answers!$C$16,Orders!K1887&gt;Answers!$C$17),"Yes","No")</f>
        <v>No</v>
      </c>
      <c r="M1887" s="14">
        <f>VLOOKUP(B1887,Customers!$A$1:$E$2501,4,0)</f>
        <v>38</v>
      </c>
    </row>
    <row r="1888" spans="1:13" x14ac:dyDescent="0.3">
      <c r="A1888">
        <v>1259696</v>
      </c>
      <c r="B1888">
        <v>1798</v>
      </c>
      <c r="C1888" s="1" t="s">
        <v>98</v>
      </c>
      <c r="D1888" s="7">
        <v>45030</v>
      </c>
      <c r="E1888" s="11">
        <v>0.52638888888888891</v>
      </c>
      <c r="F1888" s="15">
        <f t="shared" si="87"/>
        <v>4</v>
      </c>
      <c r="G1888" s="10" t="str">
        <f t="shared" si="88"/>
        <v>Friday</v>
      </c>
      <c r="H1888" s="9" t="str">
        <f t="shared" si="89"/>
        <v>April</v>
      </c>
      <c r="I1888" t="s">
        <v>97</v>
      </c>
      <c r="J1888" t="s">
        <v>27</v>
      </c>
      <c r="K1888">
        <v>4028</v>
      </c>
      <c r="L1888" s="5" t="str">
        <f>IF(OR(K1888&lt;Answers!$C$16,Orders!K1888&gt;Answers!$C$17),"Yes","No")</f>
        <v>No</v>
      </c>
      <c r="M1888" s="14">
        <f>VLOOKUP(B1888,Customers!$A$1:$E$2501,4,0)</f>
        <v>31</v>
      </c>
    </row>
    <row r="1889" spans="1:13" x14ac:dyDescent="0.3">
      <c r="A1889">
        <v>1260670</v>
      </c>
      <c r="B1889">
        <v>1301</v>
      </c>
      <c r="C1889" s="1" t="s">
        <v>104</v>
      </c>
      <c r="D1889" s="7">
        <v>44934</v>
      </c>
      <c r="E1889" s="11">
        <v>36739</v>
      </c>
      <c r="F1889" s="15">
        <f t="shared" si="87"/>
        <v>1</v>
      </c>
      <c r="G1889" s="10" t="str">
        <f t="shared" si="88"/>
        <v>Sunday</v>
      </c>
      <c r="H1889" s="9" t="str">
        <f t="shared" si="89"/>
        <v>January</v>
      </c>
      <c r="I1889" t="s">
        <v>190</v>
      </c>
      <c r="J1889" t="s">
        <v>48</v>
      </c>
      <c r="K1889">
        <v>1655</v>
      </c>
      <c r="L1889" s="5" t="str">
        <f>IF(OR(K1889&lt;Answers!$C$16,Orders!K1889&gt;Answers!$C$17),"Yes","No")</f>
        <v>No</v>
      </c>
      <c r="M1889" s="14">
        <f>VLOOKUP(B1889,Customers!$A$1:$E$2501,4,0)</f>
        <v>84</v>
      </c>
    </row>
    <row r="1890" spans="1:13" x14ac:dyDescent="0.3">
      <c r="A1890">
        <v>1262059</v>
      </c>
      <c r="B1890">
        <v>1719</v>
      </c>
      <c r="C1890" s="1" t="s">
        <v>106</v>
      </c>
      <c r="D1890" s="7">
        <v>45134</v>
      </c>
      <c r="E1890" s="11">
        <v>6.6666666666666666E-2</v>
      </c>
      <c r="F1890" s="15">
        <f t="shared" si="87"/>
        <v>7</v>
      </c>
      <c r="G1890" s="10" t="str">
        <f t="shared" si="88"/>
        <v>Thursday</v>
      </c>
      <c r="H1890" s="9" t="str">
        <f t="shared" si="89"/>
        <v>July</v>
      </c>
      <c r="I1890" t="s">
        <v>95</v>
      </c>
      <c r="J1890" t="s">
        <v>13</v>
      </c>
      <c r="K1890">
        <v>1114</v>
      </c>
      <c r="L1890" s="5" t="str">
        <f>IF(OR(K1890&lt;Answers!$C$16,Orders!K1890&gt;Answers!$C$17),"Yes","No")</f>
        <v>No</v>
      </c>
      <c r="M1890" s="14">
        <f>VLOOKUP(B1890,Customers!$A$1:$E$2501,4,0)</f>
        <v>23</v>
      </c>
    </row>
    <row r="1891" spans="1:13" x14ac:dyDescent="0.3">
      <c r="A1891">
        <v>1265339</v>
      </c>
      <c r="B1891">
        <v>1916</v>
      </c>
      <c r="C1891" s="1" t="s">
        <v>109</v>
      </c>
      <c r="D1891" s="7">
        <v>44928</v>
      </c>
      <c r="E1891" s="11">
        <v>7.5694444444444439E-2</v>
      </c>
      <c r="F1891" s="15">
        <f t="shared" si="87"/>
        <v>1</v>
      </c>
      <c r="G1891" s="10" t="str">
        <f t="shared" si="88"/>
        <v>Monday</v>
      </c>
      <c r="H1891" s="9" t="str">
        <f t="shared" si="89"/>
        <v>January</v>
      </c>
      <c r="I1891" t="s">
        <v>97</v>
      </c>
      <c r="J1891" t="s">
        <v>26</v>
      </c>
      <c r="K1891">
        <v>5272</v>
      </c>
      <c r="L1891" s="5" t="str">
        <f>IF(OR(K1891&lt;Answers!$C$16,Orders!K1891&gt;Answers!$C$17),"Yes","No")</f>
        <v>No</v>
      </c>
      <c r="M1891" s="14">
        <f>VLOOKUP(B1891,Customers!$A$1:$E$2501,4,0)</f>
        <v>34</v>
      </c>
    </row>
    <row r="1892" spans="1:13" x14ac:dyDescent="0.3">
      <c r="A1892">
        <v>1265561</v>
      </c>
      <c r="B1892">
        <v>1</v>
      </c>
      <c r="C1892" s="1" t="s">
        <v>99</v>
      </c>
      <c r="D1892" s="7">
        <v>44985</v>
      </c>
      <c r="E1892" s="11">
        <v>0.52361111111111114</v>
      </c>
      <c r="F1892" s="15">
        <f t="shared" si="87"/>
        <v>2</v>
      </c>
      <c r="G1892" s="10" t="str">
        <f t="shared" si="88"/>
        <v>Tuesday</v>
      </c>
      <c r="H1892" s="9" t="str">
        <f t="shared" si="89"/>
        <v>February</v>
      </c>
      <c r="I1892" t="s">
        <v>97</v>
      </c>
      <c r="J1892" t="s">
        <v>76</v>
      </c>
      <c r="K1892">
        <v>3338</v>
      </c>
      <c r="L1892" s="5" t="str">
        <f>IF(OR(K1892&lt;Answers!$C$16,Orders!K1892&gt;Answers!$C$17),"Yes","No")</f>
        <v>No</v>
      </c>
      <c r="M1892" s="14">
        <f>VLOOKUP(B1892,Customers!$A$1:$E$2501,4,0)</f>
        <v>31</v>
      </c>
    </row>
    <row r="1893" spans="1:13" x14ac:dyDescent="0.3">
      <c r="A1893">
        <v>1267084</v>
      </c>
      <c r="B1893">
        <v>312</v>
      </c>
      <c r="C1893" s="1" t="s">
        <v>106</v>
      </c>
      <c r="D1893" s="7">
        <v>45271</v>
      </c>
      <c r="E1893" s="11">
        <v>0.46805555555555556</v>
      </c>
      <c r="F1893" s="15">
        <f t="shared" si="87"/>
        <v>12</v>
      </c>
      <c r="G1893" s="10" t="str">
        <f t="shared" si="88"/>
        <v>Monday</v>
      </c>
      <c r="H1893" s="9" t="str">
        <f t="shared" si="89"/>
        <v>December</v>
      </c>
      <c r="I1893" t="s">
        <v>95</v>
      </c>
      <c r="J1893" t="s">
        <v>26</v>
      </c>
      <c r="K1893">
        <v>3305</v>
      </c>
      <c r="L1893" s="5" t="str">
        <f>IF(OR(K1893&lt;Answers!$C$16,Orders!K1893&gt;Answers!$C$17),"Yes","No")</f>
        <v>No</v>
      </c>
      <c r="M1893" s="14">
        <f>VLOOKUP(B1893,Customers!$A$1:$E$2501,4,0)</f>
        <v>38</v>
      </c>
    </row>
    <row r="1894" spans="1:13" x14ac:dyDescent="0.3">
      <c r="A1894">
        <v>1267886</v>
      </c>
      <c r="B1894">
        <v>1900</v>
      </c>
      <c r="C1894" s="1" t="s">
        <v>105</v>
      </c>
      <c r="D1894" s="7">
        <v>45086</v>
      </c>
      <c r="E1894" s="11">
        <v>6.9444444444444448E-2</v>
      </c>
      <c r="F1894" s="15">
        <f t="shared" si="87"/>
        <v>6</v>
      </c>
      <c r="G1894" s="10" t="str">
        <f t="shared" si="88"/>
        <v>Friday</v>
      </c>
      <c r="H1894" s="9" t="str">
        <f t="shared" si="89"/>
        <v>June</v>
      </c>
      <c r="I1894" t="s">
        <v>96</v>
      </c>
      <c r="J1894" t="s">
        <v>42</v>
      </c>
      <c r="K1894">
        <v>5588</v>
      </c>
      <c r="L1894" s="5" t="str">
        <f>IF(OR(K1894&lt;Answers!$C$16,Orders!K1894&gt;Answers!$C$17),"Yes","No")</f>
        <v>No</v>
      </c>
      <c r="M1894" s="14">
        <f>VLOOKUP(B1894,Customers!$A$1:$E$2501,4,0)</f>
        <v>28</v>
      </c>
    </row>
    <row r="1895" spans="1:13" x14ac:dyDescent="0.3">
      <c r="A1895">
        <v>1268060</v>
      </c>
      <c r="B1895">
        <v>1316</v>
      </c>
      <c r="C1895" s="1" t="s">
        <v>100</v>
      </c>
      <c r="D1895" s="7">
        <v>44930</v>
      </c>
      <c r="E1895" s="11">
        <v>7.6388888888888895E-2</v>
      </c>
      <c r="F1895" s="15">
        <f t="shared" si="87"/>
        <v>1</v>
      </c>
      <c r="G1895" s="10" t="str">
        <f t="shared" si="88"/>
        <v>Wednesday</v>
      </c>
      <c r="H1895" s="9" t="str">
        <f t="shared" si="89"/>
        <v>January</v>
      </c>
      <c r="I1895" t="s">
        <v>190</v>
      </c>
      <c r="J1895" t="s">
        <v>22</v>
      </c>
      <c r="K1895">
        <v>3876</v>
      </c>
      <c r="L1895" s="5" t="str">
        <f>IF(OR(K1895&lt;Answers!$C$16,Orders!K1895&gt;Answers!$C$17),"Yes","No")</f>
        <v>No</v>
      </c>
      <c r="M1895" s="14">
        <f>VLOOKUP(B1895,Customers!$A$1:$E$2501,4,0)</f>
        <v>70</v>
      </c>
    </row>
    <row r="1896" spans="1:13" x14ac:dyDescent="0.3">
      <c r="A1896">
        <v>1269964</v>
      </c>
      <c r="B1896">
        <v>1035</v>
      </c>
      <c r="C1896" s="1" t="s">
        <v>112</v>
      </c>
      <c r="D1896" s="7">
        <v>44969</v>
      </c>
      <c r="E1896" s="11">
        <v>0.52777777777777779</v>
      </c>
      <c r="F1896" s="15">
        <f t="shared" si="87"/>
        <v>2</v>
      </c>
      <c r="G1896" s="10" t="str">
        <f t="shared" si="88"/>
        <v>Sunday</v>
      </c>
      <c r="H1896" s="9" t="str">
        <f t="shared" si="89"/>
        <v>February</v>
      </c>
      <c r="I1896" t="s">
        <v>190</v>
      </c>
      <c r="J1896" t="s">
        <v>89</v>
      </c>
      <c r="K1896">
        <v>9940</v>
      </c>
      <c r="L1896" s="5" t="str">
        <f>IF(OR(K1896&lt;Answers!$C$16,Orders!K1896&gt;Answers!$C$17),"Yes","No")</f>
        <v>No</v>
      </c>
      <c r="M1896" s="14">
        <f>VLOOKUP(B1896,Customers!$A$1:$E$2501,4,0)</f>
        <v>56</v>
      </c>
    </row>
    <row r="1897" spans="1:13" x14ac:dyDescent="0.3">
      <c r="A1897">
        <v>1271055</v>
      </c>
      <c r="B1897">
        <v>1509</v>
      </c>
      <c r="C1897" s="1" t="s">
        <v>98</v>
      </c>
      <c r="D1897" s="7">
        <v>44935</v>
      </c>
      <c r="E1897" s="11">
        <v>0.53541666666666665</v>
      </c>
      <c r="F1897" s="15">
        <f t="shared" si="87"/>
        <v>1</v>
      </c>
      <c r="G1897" s="10" t="str">
        <f t="shared" si="88"/>
        <v>Monday</v>
      </c>
      <c r="H1897" s="9" t="str">
        <f t="shared" si="89"/>
        <v>January</v>
      </c>
      <c r="I1897" t="s">
        <v>96</v>
      </c>
      <c r="J1897" t="s">
        <v>22</v>
      </c>
      <c r="K1897">
        <v>9159</v>
      </c>
      <c r="L1897" s="5" t="str">
        <f>IF(OR(K1897&lt;Answers!$C$16,Orders!K1897&gt;Answers!$C$17),"Yes","No")</f>
        <v>No</v>
      </c>
      <c r="M1897" s="14">
        <f>VLOOKUP(B1897,Customers!$A$1:$E$2501,4,0)</f>
        <v>31</v>
      </c>
    </row>
    <row r="1898" spans="1:13" x14ac:dyDescent="0.3">
      <c r="A1898">
        <v>1271264</v>
      </c>
      <c r="B1898">
        <v>450</v>
      </c>
      <c r="C1898" s="1" t="s">
        <v>106</v>
      </c>
      <c r="D1898" s="7">
        <v>45198</v>
      </c>
      <c r="E1898" s="11">
        <v>5.0694444444444445E-2</v>
      </c>
      <c r="F1898" s="15">
        <f t="shared" si="87"/>
        <v>9</v>
      </c>
      <c r="G1898" s="10" t="str">
        <f t="shared" si="88"/>
        <v>Friday</v>
      </c>
      <c r="H1898" s="9" t="str">
        <f t="shared" si="89"/>
        <v>September</v>
      </c>
      <c r="I1898" t="s">
        <v>97</v>
      </c>
      <c r="J1898" t="s">
        <v>91</v>
      </c>
      <c r="K1898">
        <v>2686</v>
      </c>
      <c r="L1898" s="5" t="str">
        <f>IF(OR(K1898&lt;Answers!$C$16,Orders!K1898&gt;Answers!$C$17),"Yes","No")</f>
        <v>No</v>
      </c>
      <c r="M1898" s="14">
        <f>VLOOKUP(B1898,Customers!$A$1:$E$2501,4,0)</f>
        <v>53</v>
      </c>
    </row>
    <row r="1899" spans="1:13" x14ac:dyDescent="0.3">
      <c r="A1899">
        <v>1271599</v>
      </c>
      <c r="B1899">
        <v>987</v>
      </c>
      <c r="C1899" s="1" t="s">
        <v>98</v>
      </c>
      <c r="D1899" s="7">
        <v>45125</v>
      </c>
      <c r="E1899" s="11">
        <v>0.47569444444444442</v>
      </c>
      <c r="F1899" s="15">
        <f t="shared" si="87"/>
        <v>7</v>
      </c>
      <c r="G1899" s="10" t="str">
        <f t="shared" si="88"/>
        <v>Tuesday</v>
      </c>
      <c r="H1899" s="9" t="str">
        <f t="shared" si="89"/>
        <v>July</v>
      </c>
      <c r="I1899" t="s">
        <v>96</v>
      </c>
      <c r="J1899" t="s">
        <v>53</v>
      </c>
      <c r="K1899">
        <v>2478</v>
      </c>
      <c r="L1899" s="5" t="str">
        <f>IF(OR(K1899&lt;Answers!$C$16,Orders!K1899&gt;Answers!$C$17),"Yes","No")</f>
        <v>No</v>
      </c>
      <c r="M1899" s="14">
        <f>VLOOKUP(B1899,Customers!$A$1:$E$2501,4,0)</f>
        <v>23</v>
      </c>
    </row>
    <row r="1900" spans="1:13" x14ac:dyDescent="0.3">
      <c r="A1900">
        <v>1272310</v>
      </c>
      <c r="B1900">
        <v>1183</v>
      </c>
      <c r="C1900" s="1" t="s">
        <v>99</v>
      </c>
      <c r="D1900" s="7">
        <v>45139</v>
      </c>
      <c r="E1900" s="11">
        <v>36719</v>
      </c>
      <c r="F1900" s="15">
        <f t="shared" si="87"/>
        <v>8</v>
      </c>
      <c r="G1900" s="10" t="str">
        <f t="shared" si="88"/>
        <v>Tuesday</v>
      </c>
      <c r="H1900" s="9" t="str">
        <f t="shared" si="89"/>
        <v>August</v>
      </c>
      <c r="I1900" t="s">
        <v>95</v>
      </c>
      <c r="J1900" t="s">
        <v>19</v>
      </c>
      <c r="K1900">
        <v>7092</v>
      </c>
      <c r="L1900" s="5" t="str">
        <f>IF(OR(K1900&lt;Answers!$C$16,Orders!K1900&gt;Answers!$C$17),"Yes","No")</f>
        <v>No</v>
      </c>
      <c r="M1900" s="14">
        <f>VLOOKUP(B1900,Customers!$A$1:$E$2501,4,0)</f>
        <v>66</v>
      </c>
    </row>
    <row r="1901" spans="1:13" x14ac:dyDescent="0.3">
      <c r="A1901">
        <v>1272986</v>
      </c>
      <c r="B1901">
        <v>1475</v>
      </c>
      <c r="C1901" s="1" t="s">
        <v>104</v>
      </c>
      <c r="D1901" s="7">
        <v>44965</v>
      </c>
      <c r="E1901" s="11">
        <v>6.805555555555555E-2</v>
      </c>
      <c r="F1901" s="15">
        <f t="shared" si="87"/>
        <v>2</v>
      </c>
      <c r="G1901" s="10" t="str">
        <f t="shared" si="88"/>
        <v>Wednesday</v>
      </c>
      <c r="H1901" s="9" t="str">
        <f t="shared" si="89"/>
        <v>February</v>
      </c>
      <c r="I1901" t="s">
        <v>96</v>
      </c>
      <c r="J1901" t="s">
        <v>40</v>
      </c>
      <c r="K1901">
        <v>4629</v>
      </c>
      <c r="L1901" s="5" t="str">
        <f>IF(OR(K1901&lt;Answers!$C$16,Orders!K1901&gt;Answers!$C$17),"Yes","No")</f>
        <v>No</v>
      </c>
      <c r="M1901" s="14">
        <f>VLOOKUP(B1901,Customers!$A$1:$E$2501,4,0)</f>
        <v>25</v>
      </c>
    </row>
    <row r="1902" spans="1:13" x14ac:dyDescent="0.3">
      <c r="A1902">
        <v>1273418</v>
      </c>
      <c r="B1902">
        <v>581</v>
      </c>
      <c r="C1902" s="1" t="s">
        <v>98</v>
      </c>
      <c r="D1902" s="7">
        <v>45253</v>
      </c>
      <c r="E1902" s="11">
        <v>0.46944444444444444</v>
      </c>
      <c r="F1902" s="15">
        <f t="shared" si="87"/>
        <v>11</v>
      </c>
      <c r="G1902" s="10" t="str">
        <f t="shared" si="88"/>
        <v>Thursday</v>
      </c>
      <c r="H1902" s="9" t="str">
        <f t="shared" si="89"/>
        <v>November</v>
      </c>
      <c r="I1902" t="s">
        <v>190</v>
      </c>
      <c r="J1902" t="s">
        <v>54</v>
      </c>
      <c r="K1902">
        <v>5316</v>
      </c>
      <c r="L1902" s="5" t="str">
        <f>IF(OR(K1902&lt;Answers!$C$16,Orders!K1902&gt;Answers!$C$17),"Yes","No")</f>
        <v>No</v>
      </c>
      <c r="M1902" s="14">
        <f>VLOOKUP(B1902,Customers!$A$1:$E$2501,4,0)</f>
        <v>53</v>
      </c>
    </row>
    <row r="1903" spans="1:13" x14ac:dyDescent="0.3">
      <c r="A1903">
        <v>1273432</v>
      </c>
      <c r="B1903">
        <v>1216</v>
      </c>
      <c r="C1903" s="1" t="s">
        <v>100</v>
      </c>
      <c r="D1903" s="7">
        <v>44963</v>
      </c>
      <c r="E1903" s="11">
        <v>0.4909722222222222</v>
      </c>
      <c r="F1903" s="15">
        <f t="shared" si="87"/>
        <v>2</v>
      </c>
      <c r="G1903" s="10" t="str">
        <f t="shared" si="88"/>
        <v>Monday</v>
      </c>
      <c r="H1903" s="9" t="str">
        <f t="shared" si="89"/>
        <v>February</v>
      </c>
      <c r="I1903" t="s">
        <v>95</v>
      </c>
      <c r="J1903" t="s">
        <v>55</v>
      </c>
      <c r="K1903">
        <v>3235</v>
      </c>
      <c r="L1903" s="5" t="str">
        <f>IF(OR(K1903&lt;Answers!$C$16,Orders!K1903&gt;Answers!$C$17),"Yes","No")</f>
        <v>No</v>
      </c>
      <c r="M1903" s="14">
        <f>VLOOKUP(B1903,Customers!$A$1:$E$2501,4,0)</f>
        <v>63</v>
      </c>
    </row>
    <row r="1904" spans="1:13" x14ac:dyDescent="0.3">
      <c r="A1904">
        <v>1273811</v>
      </c>
      <c r="B1904">
        <v>1905</v>
      </c>
      <c r="C1904" s="1" t="s">
        <v>104</v>
      </c>
      <c r="D1904" s="7">
        <v>45277</v>
      </c>
      <c r="E1904" s="11">
        <v>0.49791666666666667</v>
      </c>
      <c r="F1904" s="15">
        <f t="shared" si="87"/>
        <v>12</v>
      </c>
      <c r="G1904" s="10" t="str">
        <f t="shared" si="88"/>
        <v>Sunday</v>
      </c>
      <c r="H1904" s="9" t="str">
        <f t="shared" si="89"/>
        <v>December</v>
      </c>
      <c r="I1904" t="s">
        <v>97</v>
      </c>
      <c r="J1904" t="s">
        <v>69</v>
      </c>
      <c r="K1904">
        <v>5538</v>
      </c>
      <c r="L1904" s="5" t="str">
        <f>IF(OR(K1904&lt;Answers!$C$16,Orders!K1904&gt;Answers!$C$17),"Yes","No")</f>
        <v>No</v>
      </c>
      <c r="M1904" s="14">
        <f>VLOOKUP(B1904,Customers!$A$1:$E$2501,4,0)</f>
        <v>48</v>
      </c>
    </row>
    <row r="1905" spans="1:13" x14ac:dyDescent="0.3">
      <c r="A1905">
        <v>1274337</v>
      </c>
      <c r="B1905">
        <v>974</v>
      </c>
      <c r="C1905" s="1" t="s">
        <v>99</v>
      </c>
      <c r="D1905" s="7">
        <v>45231</v>
      </c>
      <c r="E1905" s="11">
        <v>36679</v>
      </c>
      <c r="F1905" s="15">
        <f t="shared" si="87"/>
        <v>11</v>
      </c>
      <c r="G1905" s="10" t="str">
        <f t="shared" si="88"/>
        <v>Wednesday</v>
      </c>
      <c r="H1905" s="9" t="str">
        <f t="shared" si="89"/>
        <v>November</v>
      </c>
      <c r="I1905" t="s">
        <v>190</v>
      </c>
      <c r="J1905" t="s">
        <v>57</v>
      </c>
      <c r="K1905">
        <v>856</v>
      </c>
      <c r="L1905" s="5" t="str">
        <f>IF(OR(K1905&lt;Answers!$C$16,Orders!K1905&gt;Answers!$C$17),"Yes","No")</f>
        <v>No</v>
      </c>
      <c r="M1905" s="14">
        <f>VLOOKUP(B1905,Customers!$A$1:$E$2501,4,0)</f>
        <v>60</v>
      </c>
    </row>
    <row r="1906" spans="1:13" x14ac:dyDescent="0.3">
      <c r="A1906">
        <v>1274561</v>
      </c>
      <c r="B1906">
        <v>640</v>
      </c>
      <c r="C1906" s="1" t="s">
        <v>99</v>
      </c>
      <c r="D1906" s="7">
        <v>45188</v>
      </c>
      <c r="E1906" s="11">
        <v>8.1250000000000003E-2</v>
      </c>
      <c r="F1906" s="15">
        <f t="shared" si="87"/>
        <v>9</v>
      </c>
      <c r="G1906" s="10" t="str">
        <f t="shared" si="88"/>
        <v>Tuesday</v>
      </c>
      <c r="H1906" s="9" t="str">
        <f t="shared" si="89"/>
        <v>September</v>
      </c>
      <c r="I1906" t="s">
        <v>96</v>
      </c>
      <c r="J1906" t="s">
        <v>58</v>
      </c>
      <c r="K1906">
        <v>3448</v>
      </c>
      <c r="L1906" s="5" t="str">
        <f>IF(OR(K1906&lt;Answers!$C$16,Orders!K1906&gt;Answers!$C$17),"Yes","No")</f>
        <v>No</v>
      </c>
      <c r="M1906" s="14">
        <f>VLOOKUP(B1906,Customers!$A$1:$E$2501,4,0)</f>
        <v>51</v>
      </c>
    </row>
    <row r="1907" spans="1:13" x14ac:dyDescent="0.3">
      <c r="A1907">
        <v>1275891</v>
      </c>
      <c r="B1907">
        <v>248</v>
      </c>
      <c r="C1907" s="1" t="s">
        <v>98</v>
      </c>
      <c r="D1907" s="7">
        <v>45248</v>
      </c>
      <c r="E1907" s="11">
        <v>0.44374999999999998</v>
      </c>
      <c r="F1907" s="15">
        <f t="shared" si="87"/>
        <v>11</v>
      </c>
      <c r="G1907" s="10" t="str">
        <f t="shared" si="88"/>
        <v>Saturday</v>
      </c>
      <c r="H1907" s="9" t="str">
        <f t="shared" si="89"/>
        <v>November</v>
      </c>
      <c r="I1907" t="s">
        <v>95</v>
      </c>
      <c r="J1907" t="s">
        <v>36</v>
      </c>
      <c r="K1907">
        <v>1143</v>
      </c>
      <c r="L1907" s="5" t="str">
        <f>IF(OR(K1907&lt;Answers!$C$16,Orders!K1907&gt;Answers!$C$17),"Yes","No")</f>
        <v>No</v>
      </c>
      <c r="M1907" s="14">
        <f>VLOOKUP(B1907,Customers!$A$1:$E$2501,4,0)</f>
        <v>47</v>
      </c>
    </row>
    <row r="1908" spans="1:13" x14ac:dyDescent="0.3">
      <c r="A1908">
        <v>1275955</v>
      </c>
      <c r="B1908">
        <v>1506</v>
      </c>
      <c r="C1908" s="1" t="s">
        <v>98</v>
      </c>
      <c r="D1908" s="7">
        <v>45144</v>
      </c>
      <c r="E1908" s="11">
        <v>6.7361111111111108E-2</v>
      </c>
      <c r="F1908" s="15">
        <f t="shared" si="87"/>
        <v>8</v>
      </c>
      <c r="G1908" s="10" t="str">
        <f t="shared" si="88"/>
        <v>Sunday</v>
      </c>
      <c r="H1908" s="9" t="str">
        <f t="shared" si="89"/>
        <v>August</v>
      </c>
      <c r="I1908" t="s">
        <v>190</v>
      </c>
      <c r="J1908" t="s">
        <v>26</v>
      </c>
      <c r="K1908">
        <v>8000</v>
      </c>
      <c r="L1908" s="5" t="str">
        <f>IF(OR(K1908&lt;Answers!$C$16,Orders!K1908&gt;Answers!$C$17),"Yes","No")</f>
        <v>No</v>
      </c>
      <c r="M1908" s="14">
        <f>VLOOKUP(B1908,Customers!$A$1:$E$2501,4,0)</f>
        <v>18</v>
      </c>
    </row>
    <row r="1909" spans="1:13" x14ac:dyDescent="0.3">
      <c r="A1909">
        <v>1276372</v>
      </c>
      <c r="B1909">
        <v>414</v>
      </c>
      <c r="C1909" s="1" t="s">
        <v>112</v>
      </c>
      <c r="D1909" s="7">
        <v>44988</v>
      </c>
      <c r="E1909" s="11">
        <v>0.53680555555555554</v>
      </c>
      <c r="F1909" s="15">
        <f t="shared" si="87"/>
        <v>3</v>
      </c>
      <c r="G1909" s="10" t="str">
        <f t="shared" si="88"/>
        <v>Friday</v>
      </c>
      <c r="H1909" s="9" t="str">
        <f t="shared" si="89"/>
        <v>March</v>
      </c>
      <c r="I1909" t="s">
        <v>95</v>
      </c>
      <c r="J1909" t="s">
        <v>44</v>
      </c>
      <c r="K1909">
        <v>1465</v>
      </c>
      <c r="L1909" s="5" t="str">
        <f>IF(OR(K1909&lt;Answers!$C$16,Orders!K1909&gt;Answers!$C$17),"Yes","No")</f>
        <v>No</v>
      </c>
      <c r="M1909" s="14">
        <f>VLOOKUP(B1909,Customers!$A$1:$E$2501,4,0)</f>
        <v>86</v>
      </c>
    </row>
    <row r="1910" spans="1:13" x14ac:dyDescent="0.3">
      <c r="A1910">
        <v>1277957</v>
      </c>
      <c r="B1910">
        <v>1687</v>
      </c>
      <c r="C1910" s="1" t="s">
        <v>100</v>
      </c>
      <c r="D1910" s="7">
        <v>44952</v>
      </c>
      <c r="E1910" s="11">
        <v>7.1527777777777773E-2</v>
      </c>
      <c r="F1910" s="15">
        <f t="shared" si="87"/>
        <v>1</v>
      </c>
      <c r="G1910" s="10" t="str">
        <f t="shared" si="88"/>
        <v>Thursday</v>
      </c>
      <c r="H1910" s="9" t="str">
        <f t="shared" si="89"/>
        <v>January</v>
      </c>
      <c r="I1910" t="s">
        <v>97</v>
      </c>
      <c r="J1910" t="s">
        <v>88</v>
      </c>
      <c r="K1910">
        <v>2062</v>
      </c>
      <c r="L1910" s="5" t="str">
        <f>IF(OR(K1910&lt;Answers!$C$16,Orders!K1910&gt;Answers!$C$17),"Yes","No")</f>
        <v>No</v>
      </c>
      <c r="M1910" s="14">
        <f>VLOOKUP(B1910,Customers!$A$1:$E$2501,4,0)</f>
        <v>38</v>
      </c>
    </row>
    <row r="1911" spans="1:13" x14ac:dyDescent="0.3">
      <c r="A1911">
        <v>1278430</v>
      </c>
      <c r="B1911">
        <v>1947</v>
      </c>
      <c r="C1911" s="1" t="s">
        <v>104</v>
      </c>
      <c r="D1911" s="7">
        <v>45141</v>
      </c>
      <c r="E1911" s="11">
        <v>0.49444444444444446</v>
      </c>
      <c r="F1911" s="15">
        <f t="shared" si="87"/>
        <v>8</v>
      </c>
      <c r="G1911" s="10" t="str">
        <f t="shared" si="88"/>
        <v>Thursday</v>
      </c>
      <c r="H1911" s="9" t="str">
        <f t="shared" si="89"/>
        <v>August</v>
      </c>
      <c r="I1911" t="s">
        <v>97</v>
      </c>
      <c r="J1911" t="s">
        <v>92</v>
      </c>
      <c r="K1911">
        <v>2876</v>
      </c>
      <c r="L1911" s="5" t="str">
        <f>IF(OR(K1911&lt;Answers!$C$16,Orders!K1911&gt;Answers!$C$17),"Yes","No")</f>
        <v>No</v>
      </c>
      <c r="M1911" s="14">
        <f>VLOOKUP(B1911,Customers!$A$1:$E$2501,4,0)</f>
        <v>33</v>
      </c>
    </row>
    <row r="1912" spans="1:13" x14ac:dyDescent="0.3">
      <c r="A1912">
        <v>1278929</v>
      </c>
      <c r="B1912">
        <v>413</v>
      </c>
      <c r="C1912" s="1" t="s">
        <v>104</v>
      </c>
      <c r="D1912" s="7">
        <v>45032</v>
      </c>
      <c r="E1912" s="11">
        <v>0.47638888888888886</v>
      </c>
      <c r="F1912" s="15">
        <f t="shared" si="87"/>
        <v>4</v>
      </c>
      <c r="G1912" s="10" t="str">
        <f t="shared" si="88"/>
        <v>Sunday</v>
      </c>
      <c r="H1912" s="9" t="str">
        <f t="shared" si="89"/>
        <v>April</v>
      </c>
      <c r="I1912" t="s">
        <v>97</v>
      </c>
      <c r="J1912" t="s">
        <v>32</v>
      </c>
      <c r="K1912">
        <v>6020</v>
      </c>
      <c r="L1912" s="5" t="str">
        <f>IF(OR(K1912&lt;Answers!$C$16,Orders!K1912&gt;Answers!$C$17),"Yes","No")</f>
        <v>No</v>
      </c>
      <c r="M1912" s="14">
        <f>VLOOKUP(B1912,Customers!$A$1:$E$2501,4,0)</f>
        <v>47</v>
      </c>
    </row>
    <row r="1913" spans="1:13" x14ac:dyDescent="0.3">
      <c r="A1913">
        <v>1279393</v>
      </c>
      <c r="B1913">
        <v>1340</v>
      </c>
      <c r="C1913" s="1" t="s">
        <v>106</v>
      </c>
      <c r="D1913" s="7">
        <v>45177</v>
      </c>
      <c r="E1913" s="11">
        <v>36526</v>
      </c>
      <c r="F1913" s="15">
        <f t="shared" si="87"/>
        <v>9</v>
      </c>
      <c r="G1913" s="10" t="str">
        <f t="shared" si="88"/>
        <v>Friday</v>
      </c>
      <c r="H1913" s="9" t="str">
        <f t="shared" si="89"/>
        <v>September</v>
      </c>
      <c r="I1913" t="s">
        <v>95</v>
      </c>
      <c r="J1913" t="s">
        <v>62</v>
      </c>
      <c r="K1913">
        <v>9753</v>
      </c>
      <c r="L1913" s="5" t="str">
        <f>IF(OR(K1913&lt;Answers!$C$16,Orders!K1913&gt;Answers!$C$17),"Yes","No")</f>
        <v>No</v>
      </c>
      <c r="M1913" s="14">
        <f>VLOOKUP(B1913,Customers!$A$1:$E$2501,4,0)</f>
        <v>40</v>
      </c>
    </row>
    <row r="1914" spans="1:13" x14ac:dyDescent="0.3">
      <c r="A1914">
        <v>1280103</v>
      </c>
      <c r="B1914">
        <v>909</v>
      </c>
      <c r="C1914" s="1" t="s">
        <v>112</v>
      </c>
      <c r="D1914" s="7">
        <v>45205</v>
      </c>
      <c r="E1914" s="11">
        <v>36800</v>
      </c>
      <c r="F1914" s="15">
        <f t="shared" si="87"/>
        <v>10</v>
      </c>
      <c r="G1914" s="10" t="str">
        <f t="shared" si="88"/>
        <v>Friday</v>
      </c>
      <c r="H1914" s="9" t="str">
        <f t="shared" si="89"/>
        <v>October</v>
      </c>
      <c r="I1914" t="s">
        <v>95</v>
      </c>
      <c r="J1914" t="s">
        <v>89</v>
      </c>
      <c r="K1914">
        <v>2054</v>
      </c>
      <c r="L1914" s="5" t="str">
        <f>IF(OR(K1914&lt;Answers!$C$16,Orders!K1914&gt;Answers!$C$17),"Yes","No")</f>
        <v>No</v>
      </c>
      <c r="M1914" s="14">
        <f>VLOOKUP(B1914,Customers!$A$1:$E$2501,4,0)</f>
        <v>71</v>
      </c>
    </row>
    <row r="1915" spans="1:13" x14ac:dyDescent="0.3">
      <c r="A1915">
        <v>1280199</v>
      </c>
      <c r="B1915">
        <v>337</v>
      </c>
      <c r="C1915" s="1" t="s">
        <v>105</v>
      </c>
      <c r="D1915" s="7">
        <v>45223</v>
      </c>
      <c r="E1915" s="11">
        <v>0.52569444444444446</v>
      </c>
      <c r="F1915" s="15">
        <f t="shared" si="87"/>
        <v>10</v>
      </c>
      <c r="G1915" s="10" t="str">
        <f t="shared" si="88"/>
        <v>Tuesday</v>
      </c>
      <c r="H1915" s="9" t="str">
        <f t="shared" si="89"/>
        <v>October</v>
      </c>
      <c r="I1915" t="s">
        <v>95</v>
      </c>
      <c r="J1915" t="s">
        <v>38</v>
      </c>
      <c r="K1915">
        <v>622</v>
      </c>
      <c r="L1915" s="5" t="str">
        <f>IF(OR(K1915&lt;Answers!$C$16,Orders!K1915&gt;Answers!$C$17),"Yes","No")</f>
        <v>No</v>
      </c>
      <c r="M1915" s="14">
        <f>VLOOKUP(B1915,Customers!$A$1:$E$2501,4,0)</f>
        <v>58</v>
      </c>
    </row>
    <row r="1916" spans="1:13" x14ac:dyDescent="0.3">
      <c r="A1916">
        <v>1282426</v>
      </c>
      <c r="B1916">
        <v>1866</v>
      </c>
      <c r="C1916" s="1" t="s">
        <v>104</v>
      </c>
      <c r="D1916" s="7">
        <v>45112</v>
      </c>
      <c r="E1916" s="11">
        <v>36842</v>
      </c>
      <c r="F1916" s="15">
        <f t="shared" si="87"/>
        <v>7</v>
      </c>
      <c r="G1916" s="10" t="str">
        <f t="shared" si="88"/>
        <v>Wednesday</v>
      </c>
      <c r="H1916" s="9" t="str">
        <f t="shared" si="89"/>
        <v>July</v>
      </c>
      <c r="I1916" t="s">
        <v>190</v>
      </c>
      <c r="J1916" t="s">
        <v>52</v>
      </c>
      <c r="K1916">
        <v>9455</v>
      </c>
      <c r="L1916" s="5" t="str">
        <f>IF(OR(K1916&lt;Answers!$C$16,Orders!K1916&gt;Answers!$C$17),"Yes","No")</f>
        <v>No</v>
      </c>
      <c r="M1916" s="14">
        <f>VLOOKUP(B1916,Customers!$A$1:$E$2501,4,0)</f>
        <v>53</v>
      </c>
    </row>
    <row r="1917" spans="1:13" x14ac:dyDescent="0.3">
      <c r="A1917">
        <v>1283493</v>
      </c>
      <c r="B1917">
        <v>1075</v>
      </c>
      <c r="C1917" s="1" t="s">
        <v>107</v>
      </c>
      <c r="D1917" s="7">
        <v>45226</v>
      </c>
      <c r="E1917" s="11">
        <v>36770</v>
      </c>
      <c r="F1917" s="15">
        <f t="shared" si="87"/>
        <v>10</v>
      </c>
      <c r="G1917" s="10" t="str">
        <f t="shared" si="88"/>
        <v>Friday</v>
      </c>
      <c r="H1917" s="9" t="str">
        <f t="shared" si="89"/>
        <v>October</v>
      </c>
      <c r="I1917" t="s">
        <v>97</v>
      </c>
      <c r="J1917" t="s">
        <v>23</v>
      </c>
      <c r="K1917">
        <v>4773</v>
      </c>
      <c r="L1917" s="5" t="str">
        <f>IF(OR(K1917&lt;Answers!$C$16,Orders!K1917&gt;Answers!$C$17),"Yes","No")</f>
        <v>No</v>
      </c>
      <c r="M1917" s="14">
        <f>VLOOKUP(B1917,Customers!$A$1:$E$2501,4,0)</f>
        <v>55</v>
      </c>
    </row>
    <row r="1918" spans="1:13" x14ac:dyDescent="0.3">
      <c r="A1918">
        <v>1284119</v>
      </c>
      <c r="B1918">
        <v>1980</v>
      </c>
      <c r="C1918" s="1" t="s">
        <v>109</v>
      </c>
      <c r="D1918" s="7">
        <v>45206</v>
      </c>
      <c r="E1918" s="11">
        <v>5.1388888888888887E-2</v>
      </c>
      <c r="F1918" s="15">
        <f t="shared" si="87"/>
        <v>10</v>
      </c>
      <c r="G1918" s="10" t="str">
        <f t="shared" si="88"/>
        <v>Saturday</v>
      </c>
      <c r="H1918" s="9" t="str">
        <f t="shared" si="89"/>
        <v>October</v>
      </c>
      <c r="I1918" t="s">
        <v>96</v>
      </c>
      <c r="J1918" t="s">
        <v>63</v>
      </c>
      <c r="K1918">
        <v>6976</v>
      </c>
      <c r="L1918" s="5" t="str">
        <f>IF(OR(K1918&lt;Answers!$C$16,Orders!K1918&gt;Answers!$C$17),"Yes","No")</f>
        <v>No</v>
      </c>
      <c r="M1918" s="14">
        <f>VLOOKUP(B1918,Customers!$A$1:$E$2501,4,0)</f>
        <v>57</v>
      </c>
    </row>
    <row r="1919" spans="1:13" x14ac:dyDescent="0.3">
      <c r="A1919">
        <v>1284352</v>
      </c>
      <c r="B1919">
        <v>1957</v>
      </c>
      <c r="C1919" s="1" t="s">
        <v>98</v>
      </c>
      <c r="D1919" s="7">
        <v>45082</v>
      </c>
      <c r="E1919" s="11">
        <v>36537</v>
      </c>
      <c r="F1919" s="15">
        <f t="shared" si="87"/>
        <v>6</v>
      </c>
      <c r="G1919" s="10" t="str">
        <f t="shared" si="88"/>
        <v>Monday</v>
      </c>
      <c r="H1919" s="9" t="str">
        <f t="shared" si="89"/>
        <v>June</v>
      </c>
      <c r="I1919" t="s">
        <v>190</v>
      </c>
      <c r="J1919" t="s">
        <v>26</v>
      </c>
      <c r="K1919">
        <v>2512</v>
      </c>
      <c r="L1919" s="5" t="str">
        <f>IF(OR(K1919&lt;Answers!$C$16,Orders!K1919&gt;Answers!$C$17),"Yes","No")</f>
        <v>No</v>
      </c>
      <c r="M1919" s="14">
        <f>VLOOKUP(B1919,Customers!$A$1:$E$2501,4,0)</f>
        <v>42</v>
      </c>
    </row>
    <row r="1920" spans="1:13" x14ac:dyDescent="0.3">
      <c r="A1920">
        <v>1284756</v>
      </c>
      <c r="B1920">
        <v>1015</v>
      </c>
      <c r="C1920" s="1" t="s">
        <v>106</v>
      </c>
      <c r="D1920" s="7">
        <v>45237</v>
      </c>
      <c r="E1920" s="11">
        <v>36689</v>
      </c>
      <c r="F1920" s="15">
        <f t="shared" si="87"/>
        <v>11</v>
      </c>
      <c r="G1920" s="10" t="str">
        <f t="shared" si="88"/>
        <v>Tuesday</v>
      </c>
      <c r="H1920" s="9" t="str">
        <f t="shared" si="89"/>
        <v>November</v>
      </c>
      <c r="I1920" t="s">
        <v>96</v>
      </c>
      <c r="J1920" t="s">
        <v>4</v>
      </c>
      <c r="K1920">
        <v>8923</v>
      </c>
      <c r="L1920" s="5" t="str">
        <f>IF(OR(K1920&lt;Answers!$C$16,Orders!K1920&gt;Answers!$C$17),"Yes","No")</f>
        <v>No</v>
      </c>
      <c r="M1920" s="14">
        <f>VLOOKUP(B1920,Customers!$A$1:$E$2501,4,0)</f>
        <v>50</v>
      </c>
    </row>
    <row r="1921" spans="1:13" x14ac:dyDescent="0.3">
      <c r="A1921">
        <v>1287324</v>
      </c>
      <c r="B1921">
        <v>819</v>
      </c>
      <c r="C1921" s="1" t="s">
        <v>110</v>
      </c>
      <c r="D1921" s="7">
        <v>44988</v>
      </c>
      <c r="E1921" s="11">
        <v>36689</v>
      </c>
      <c r="F1921" s="15">
        <f t="shared" si="87"/>
        <v>3</v>
      </c>
      <c r="G1921" s="10" t="str">
        <f t="shared" si="88"/>
        <v>Friday</v>
      </c>
      <c r="H1921" s="9" t="str">
        <f t="shared" si="89"/>
        <v>March</v>
      </c>
      <c r="I1921" t="s">
        <v>190</v>
      </c>
      <c r="J1921" t="s">
        <v>64</v>
      </c>
      <c r="K1921">
        <v>930</v>
      </c>
      <c r="L1921" s="5" t="str">
        <f>IF(OR(K1921&lt;Answers!$C$16,Orders!K1921&gt;Answers!$C$17),"Yes","No")</f>
        <v>No</v>
      </c>
      <c r="M1921" s="14">
        <f>VLOOKUP(B1921,Customers!$A$1:$E$2501,4,0)</f>
        <v>75</v>
      </c>
    </row>
    <row r="1922" spans="1:13" x14ac:dyDescent="0.3">
      <c r="A1922">
        <v>1288242</v>
      </c>
      <c r="B1922">
        <v>1879</v>
      </c>
      <c r="C1922" s="1" t="s">
        <v>98</v>
      </c>
      <c r="D1922" s="7">
        <v>45161</v>
      </c>
      <c r="E1922" s="11">
        <v>36658</v>
      </c>
      <c r="F1922" s="15">
        <f t="shared" si="87"/>
        <v>8</v>
      </c>
      <c r="G1922" s="10" t="str">
        <f t="shared" si="88"/>
        <v>Wednesday</v>
      </c>
      <c r="H1922" s="9" t="str">
        <f t="shared" si="89"/>
        <v>August</v>
      </c>
      <c r="I1922" t="s">
        <v>190</v>
      </c>
      <c r="J1922" t="s">
        <v>90</v>
      </c>
      <c r="K1922">
        <v>5169</v>
      </c>
      <c r="L1922" s="5" t="str">
        <f>IF(OR(K1922&lt;Answers!$C$16,Orders!K1922&gt;Answers!$C$17),"Yes","No")</f>
        <v>No</v>
      </c>
      <c r="M1922" s="14">
        <f>VLOOKUP(B1922,Customers!$A$1:$E$2501,4,0)</f>
        <v>76</v>
      </c>
    </row>
    <row r="1923" spans="1:13" x14ac:dyDescent="0.3">
      <c r="A1923">
        <v>1288279</v>
      </c>
      <c r="B1923">
        <v>420</v>
      </c>
      <c r="C1923" s="1" t="s">
        <v>104</v>
      </c>
      <c r="D1923" s="7">
        <v>45073</v>
      </c>
      <c r="E1923" s="11">
        <v>0.49930555555555556</v>
      </c>
      <c r="F1923" s="15">
        <f t="shared" ref="F1923:F1986" si="90">MONTH(D1923)</f>
        <v>5</v>
      </c>
      <c r="G1923" s="10" t="str">
        <f t="shared" ref="G1923:G1986" si="91">TEXT(D1923,"dddd")</f>
        <v>Saturday</v>
      </c>
      <c r="H1923" s="9" t="str">
        <f t="shared" ref="H1923:H1986" si="92">TEXT(D1923,"mmmm")</f>
        <v>May</v>
      </c>
      <c r="I1923" t="s">
        <v>96</v>
      </c>
      <c r="J1923" t="s">
        <v>80</v>
      </c>
      <c r="K1923">
        <v>5628</v>
      </c>
      <c r="L1923" s="5" t="str">
        <f>IF(OR(K1923&lt;Answers!$C$16,Orders!K1923&gt;Answers!$C$17),"Yes","No")</f>
        <v>No</v>
      </c>
      <c r="M1923" s="14">
        <f>VLOOKUP(B1923,Customers!$A$1:$E$2501,4,0)</f>
        <v>72</v>
      </c>
    </row>
    <row r="1924" spans="1:13" x14ac:dyDescent="0.3">
      <c r="A1924">
        <v>1288732</v>
      </c>
      <c r="B1924">
        <v>354</v>
      </c>
      <c r="C1924" s="1" t="s">
        <v>112</v>
      </c>
      <c r="D1924" s="7">
        <v>44965</v>
      </c>
      <c r="E1924" s="11">
        <v>0.46805555555555556</v>
      </c>
      <c r="F1924" s="15">
        <f t="shared" si="90"/>
        <v>2</v>
      </c>
      <c r="G1924" s="10" t="str">
        <f t="shared" si="91"/>
        <v>Wednesday</v>
      </c>
      <c r="H1924" s="9" t="str">
        <f t="shared" si="92"/>
        <v>February</v>
      </c>
      <c r="I1924" t="s">
        <v>190</v>
      </c>
      <c r="J1924" t="s">
        <v>87</v>
      </c>
      <c r="K1924">
        <v>1265</v>
      </c>
      <c r="L1924" s="5" t="str">
        <f>IF(OR(K1924&lt;Answers!$C$16,Orders!K1924&gt;Answers!$C$17),"Yes","No")</f>
        <v>No</v>
      </c>
      <c r="M1924" s="14">
        <f>VLOOKUP(B1924,Customers!$A$1:$E$2501,4,0)</f>
        <v>29</v>
      </c>
    </row>
    <row r="1925" spans="1:13" x14ac:dyDescent="0.3">
      <c r="A1925">
        <v>1288792</v>
      </c>
      <c r="B1925">
        <v>25</v>
      </c>
      <c r="C1925" s="1" t="s">
        <v>98</v>
      </c>
      <c r="D1925" s="7">
        <v>45265</v>
      </c>
      <c r="E1925" s="11">
        <v>7.013888888888889E-2</v>
      </c>
      <c r="F1925" s="15">
        <f t="shared" si="90"/>
        <v>12</v>
      </c>
      <c r="G1925" s="10" t="str">
        <f t="shared" si="91"/>
        <v>Tuesday</v>
      </c>
      <c r="H1925" s="9" t="str">
        <f t="shared" si="92"/>
        <v>December</v>
      </c>
      <c r="I1925" t="s">
        <v>190</v>
      </c>
      <c r="J1925" t="s">
        <v>45</v>
      </c>
      <c r="K1925">
        <v>3516</v>
      </c>
      <c r="L1925" s="5" t="str">
        <f>IF(OR(K1925&lt;Answers!$C$16,Orders!K1925&gt;Answers!$C$17),"Yes","No")</f>
        <v>No</v>
      </c>
      <c r="M1925" s="14">
        <f>VLOOKUP(B1925,Customers!$A$1:$E$2501,4,0)</f>
        <v>59</v>
      </c>
    </row>
    <row r="1926" spans="1:13" x14ac:dyDescent="0.3">
      <c r="A1926">
        <v>1288824</v>
      </c>
      <c r="B1926">
        <v>912</v>
      </c>
      <c r="C1926" s="1" t="s">
        <v>98</v>
      </c>
      <c r="D1926" s="7">
        <v>44930</v>
      </c>
      <c r="E1926" s="11">
        <v>36597</v>
      </c>
      <c r="F1926" s="15">
        <f t="shared" si="90"/>
        <v>1</v>
      </c>
      <c r="G1926" s="10" t="str">
        <f t="shared" si="91"/>
        <v>Wednesday</v>
      </c>
      <c r="H1926" s="9" t="str">
        <f t="shared" si="92"/>
        <v>January</v>
      </c>
      <c r="I1926" t="s">
        <v>96</v>
      </c>
      <c r="J1926" t="s">
        <v>81</v>
      </c>
      <c r="K1926">
        <v>8079</v>
      </c>
      <c r="L1926" s="5" t="str">
        <f>IF(OR(K1926&lt;Answers!$C$16,Orders!K1926&gt;Answers!$C$17),"Yes","No")</f>
        <v>No</v>
      </c>
      <c r="M1926" s="14">
        <f>VLOOKUP(B1926,Customers!$A$1:$E$2501,4,0)</f>
        <v>33</v>
      </c>
    </row>
    <row r="1927" spans="1:13" x14ac:dyDescent="0.3">
      <c r="A1927">
        <v>1289179</v>
      </c>
      <c r="B1927">
        <v>65</v>
      </c>
      <c r="C1927" s="1" t="s">
        <v>104</v>
      </c>
      <c r="D1927" s="7">
        <v>44961</v>
      </c>
      <c r="E1927" s="11">
        <v>36617</v>
      </c>
      <c r="F1927" s="15">
        <f t="shared" si="90"/>
        <v>2</v>
      </c>
      <c r="G1927" s="10" t="str">
        <f t="shared" si="91"/>
        <v>Saturday</v>
      </c>
      <c r="H1927" s="9" t="str">
        <f t="shared" si="92"/>
        <v>February</v>
      </c>
      <c r="I1927" t="s">
        <v>97</v>
      </c>
      <c r="J1927" t="s">
        <v>16</v>
      </c>
      <c r="K1927">
        <v>2409</v>
      </c>
      <c r="L1927" s="5" t="str">
        <f>IF(OR(K1927&lt;Answers!$C$16,Orders!K1927&gt;Answers!$C$17),"Yes","No")</f>
        <v>No</v>
      </c>
      <c r="M1927" s="14">
        <f>VLOOKUP(B1927,Customers!$A$1:$E$2501,4,0)</f>
        <v>37</v>
      </c>
    </row>
    <row r="1928" spans="1:13" x14ac:dyDescent="0.3">
      <c r="A1928">
        <v>1289588</v>
      </c>
      <c r="B1928">
        <v>336</v>
      </c>
      <c r="C1928" s="1" t="s">
        <v>104</v>
      </c>
      <c r="D1928" s="7">
        <v>45174</v>
      </c>
      <c r="E1928" s="11">
        <v>0.49583333333333335</v>
      </c>
      <c r="F1928" s="15">
        <f t="shared" si="90"/>
        <v>9</v>
      </c>
      <c r="G1928" s="10" t="str">
        <f t="shared" si="91"/>
        <v>Tuesday</v>
      </c>
      <c r="H1928" s="9" t="str">
        <f t="shared" si="92"/>
        <v>September</v>
      </c>
      <c r="I1928" t="s">
        <v>190</v>
      </c>
      <c r="J1928" t="s">
        <v>42</v>
      </c>
      <c r="K1928">
        <v>4944</v>
      </c>
      <c r="L1928" s="5" t="str">
        <f>IF(OR(K1928&lt;Answers!$C$16,Orders!K1928&gt;Answers!$C$17),"Yes","No")</f>
        <v>No</v>
      </c>
      <c r="M1928" s="14">
        <f>VLOOKUP(B1928,Customers!$A$1:$E$2501,4,0)</f>
        <v>26</v>
      </c>
    </row>
    <row r="1929" spans="1:13" x14ac:dyDescent="0.3">
      <c r="A1929">
        <v>1289856</v>
      </c>
      <c r="B1929">
        <v>1174</v>
      </c>
      <c r="C1929" s="1" t="s">
        <v>98</v>
      </c>
      <c r="D1929" s="7">
        <v>45115</v>
      </c>
      <c r="E1929" s="11">
        <v>0.5180555555555556</v>
      </c>
      <c r="F1929" s="15">
        <f t="shared" si="90"/>
        <v>7</v>
      </c>
      <c r="G1929" s="10" t="str">
        <f t="shared" si="91"/>
        <v>Saturday</v>
      </c>
      <c r="H1929" s="9" t="str">
        <f t="shared" si="92"/>
        <v>July</v>
      </c>
      <c r="I1929" t="s">
        <v>190</v>
      </c>
      <c r="J1929" t="s">
        <v>43</v>
      </c>
      <c r="K1929">
        <v>5660</v>
      </c>
      <c r="L1929" s="5" t="str">
        <f>IF(OR(K1929&lt;Answers!$C$16,Orders!K1929&gt;Answers!$C$17),"Yes","No")</f>
        <v>No</v>
      </c>
      <c r="M1929" s="14">
        <f>VLOOKUP(B1929,Customers!$A$1:$E$2501,4,0)</f>
        <v>60</v>
      </c>
    </row>
    <row r="1930" spans="1:13" x14ac:dyDescent="0.3">
      <c r="A1930">
        <v>1289947</v>
      </c>
      <c r="B1930">
        <v>164</v>
      </c>
      <c r="C1930" s="1" t="s">
        <v>98</v>
      </c>
      <c r="D1930" s="7">
        <v>45251</v>
      </c>
      <c r="E1930" s="11">
        <v>0.47569444444444442</v>
      </c>
      <c r="F1930" s="15">
        <f t="shared" si="90"/>
        <v>11</v>
      </c>
      <c r="G1930" s="10" t="str">
        <f t="shared" si="91"/>
        <v>Tuesday</v>
      </c>
      <c r="H1930" s="9" t="str">
        <f t="shared" si="92"/>
        <v>November</v>
      </c>
      <c r="I1930" t="s">
        <v>97</v>
      </c>
      <c r="J1930" t="s">
        <v>77</v>
      </c>
      <c r="K1930">
        <v>1867</v>
      </c>
      <c r="L1930" s="5" t="str">
        <f>IF(OR(K1930&lt;Answers!$C$16,Orders!K1930&gt;Answers!$C$17),"Yes","No")</f>
        <v>No</v>
      </c>
      <c r="M1930" s="14">
        <f>VLOOKUP(B1930,Customers!$A$1:$E$2501,4,0)</f>
        <v>36</v>
      </c>
    </row>
    <row r="1931" spans="1:13" x14ac:dyDescent="0.3">
      <c r="A1931">
        <v>1290448</v>
      </c>
      <c r="B1931">
        <v>1083</v>
      </c>
      <c r="C1931" s="1" t="s">
        <v>104</v>
      </c>
      <c r="D1931" s="7">
        <v>44971</v>
      </c>
      <c r="E1931" s="11">
        <v>6.5972222222222224E-2</v>
      </c>
      <c r="F1931" s="15">
        <f t="shared" si="90"/>
        <v>2</v>
      </c>
      <c r="G1931" s="10" t="str">
        <f t="shared" si="91"/>
        <v>Tuesday</v>
      </c>
      <c r="H1931" s="9" t="str">
        <f t="shared" si="92"/>
        <v>February</v>
      </c>
      <c r="I1931" t="s">
        <v>190</v>
      </c>
      <c r="J1931" t="s">
        <v>26</v>
      </c>
      <c r="K1931">
        <v>9507</v>
      </c>
      <c r="L1931" s="5" t="str">
        <f>IF(OR(K1931&lt;Answers!$C$16,Orders!K1931&gt;Answers!$C$17),"Yes","No")</f>
        <v>No</v>
      </c>
      <c r="M1931" s="14">
        <f>VLOOKUP(B1931,Customers!$A$1:$E$2501,4,0)</f>
        <v>25</v>
      </c>
    </row>
    <row r="1932" spans="1:13" x14ac:dyDescent="0.3">
      <c r="A1932">
        <v>1290759</v>
      </c>
      <c r="B1932">
        <v>497</v>
      </c>
      <c r="C1932" s="1" t="s">
        <v>98</v>
      </c>
      <c r="D1932" s="7">
        <v>44976</v>
      </c>
      <c r="E1932" s="11">
        <v>0.53680555555555554</v>
      </c>
      <c r="F1932" s="15">
        <f t="shared" si="90"/>
        <v>2</v>
      </c>
      <c r="G1932" s="10" t="str">
        <f t="shared" si="91"/>
        <v>Sunday</v>
      </c>
      <c r="H1932" s="9" t="str">
        <f t="shared" si="92"/>
        <v>February</v>
      </c>
      <c r="I1932" t="s">
        <v>97</v>
      </c>
      <c r="J1932" t="s">
        <v>58</v>
      </c>
      <c r="K1932">
        <v>6538</v>
      </c>
      <c r="L1932" s="5" t="str">
        <f>IF(OR(K1932&lt;Answers!$C$16,Orders!K1932&gt;Answers!$C$17),"Yes","No")</f>
        <v>No</v>
      </c>
      <c r="M1932" s="14">
        <f>VLOOKUP(B1932,Customers!$A$1:$E$2501,4,0)</f>
        <v>88</v>
      </c>
    </row>
    <row r="1933" spans="1:13" x14ac:dyDescent="0.3">
      <c r="A1933">
        <v>1290822</v>
      </c>
      <c r="B1933">
        <v>430</v>
      </c>
      <c r="C1933" s="1" t="s">
        <v>112</v>
      </c>
      <c r="D1933" s="7">
        <v>45034</v>
      </c>
      <c r="E1933" s="11">
        <v>5.6944444444444443E-2</v>
      </c>
      <c r="F1933" s="15">
        <f t="shared" si="90"/>
        <v>4</v>
      </c>
      <c r="G1933" s="10" t="str">
        <f t="shared" si="91"/>
        <v>Tuesday</v>
      </c>
      <c r="H1933" s="9" t="str">
        <f t="shared" si="92"/>
        <v>April</v>
      </c>
      <c r="I1933" t="s">
        <v>96</v>
      </c>
      <c r="J1933" t="s">
        <v>86</v>
      </c>
      <c r="K1933">
        <v>3136</v>
      </c>
      <c r="L1933" s="5" t="str">
        <f>IF(OR(K1933&lt;Answers!$C$16,Orders!K1933&gt;Answers!$C$17),"Yes","No")</f>
        <v>No</v>
      </c>
      <c r="M1933" s="14">
        <f>VLOOKUP(B1933,Customers!$A$1:$E$2501,4,0)</f>
        <v>82</v>
      </c>
    </row>
    <row r="1934" spans="1:13" x14ac:dyDescent="0.3">
      <c r="A1934">
        <v>1291386</v>
      </c>
      <c r="B1934">
        <v>1855</v>
      </c>
      <c r="C1934" s="1" t="s">
        <v>107</v>
      </c>
      <c r="D1934" s="7">
        <v>45098</v>
      </c>
      <c r="E1934" s="11">
        <v>5.1388888888888887E-2</v>
      </c>
      <c r="F1934" s="15">
        <f t="shared" si="90"/>
        <v>6</v>
      </c>
      <c r="G1934" s="10" t="str">
        <f t="shared" si="91"/>
        <v>Wednesday</v>
      </c>
      <c r="H1934" s="9" t="str">
        <f t="shared" si="92"/>
        <v>June</v>
      </c>
      <c r="I1934" t="s">
        <v>97</v>
      </c>
      <c r="J1934" t="s">
        <v>77</v>
      </c>
      <c r="K1934">
        <v>6840</v>
      </c>
      <c r="L1934" s="5" t="str">
        <f>IF(OR(K1934&lt;Answers!$C$16,Orders!K1934&gt;Answers!$C$17),"Yes","No")</f>
        <v>No</v>
      </c>
      <c r="M1934" s="14">
        <f>VLOOKUP(B1934,Customers!$A$1:$E$2501,4,0)</f>
        <v>44</v>
      </c>
    </row>
    <row r="1935" spans="1:13" x14ac:dyDescent="0.3">
      <c r="A1935">
        <v>1291392</v>
      </c>
      <c r="B1935">
        <v>1083</v>
      </c>
      <c r="C1935" s="1" t="s">
        <v>104</v>
      </c>
      <c r="D1935" s="7">
        <v>45119</v>
      </c>
      <c r="E1935" s="11">
        <v>0.52500000000000002</v>
      </c>
      <c r="F1935" s="15">
        <f t="shared" si="90"/>
        <v>7</v>
      </c>
      <c r="G1935" s="10" t="str">
        <f t="shared" si="91"/>
        <v>Wednesday</v>
      </c>
      <c r="H1935" s="9" t="str">
        <f t="shared" si="92"/>
        <v>July</v>
      </c>
      <c r="I1935" t="s">
        <v>96</v>
      </c>
      <c r="J1935" t="s">
        <v>26</v>
      </c>
      <c r="K1935">
        <v>7984</v>
      </c>
      <c r="L1935" s="5" t="str">
        <f>IF(OR(K1935&lt;Answers!$C$16,Orders!K1935&gt;Answers!$C$17),"Yes","No")</f>
        <v>No</v>
      </c>
      <c r="M1935" s="14">
        <f>VLOOKUP(B1935,Customers!$A$1:$E$2501,4,0)</f>
        <v>25</v>
      </c>
    </row>
    <row r="1936" spans="1:13" x14ac:dyDescent="0.3">
      <c r="A1936">
        <v>1291584</v>
      </c>
      <c r="B1936">
        <v>1215</v>
      </c>
      <c r="C1936" s="1" t="s">
        <v>98</v>
      </c>
      <c r="D1936" s="7">
        <v>45074</v>
      </c>
      <c r="E1936" s="11">
        <v>0.52847222222222223</v>
      </c>
      <c r="F1936" s="15">
        <f t="shared" si="90"/>
        <v>5</v>
      </c>
      <c r="G1936" s="10" t="str">
        <f t="shared" si="91"/>
        <v>Sunday</v>
      </c>
      <c r="H1936" s="9" t="str">
        <f t="shared" si="92"/>
        <v>May</v>
      </c>
      <c r="I1936" t="s">
        <v>96</v>
      </c>
      <c r="J1936" t="s">
        <v>68</v>
      </c>
      <c r="K1936">
        <v>813</v>
      </c>
      <c r="L1936" s="5" t="str">
        <f>IF(OR(K1936&lt;Answers!$C$16,Orders!K1936&gt;Answers!$C$17),"Yes","No")</f>
        <v>No</v>
      </c>
      <c r="M1936" s="14">
        <f>VLOOKUP(B1936,Customers!$A$1:$E$2501,4,0)</f>
        <v>33</v>
      </c>
    </row>
    <row r="1937" spans="1:13" x14ac:dyDescent="0.3">
      <c r="A1937">
        <v>1291650</v>
      </c>
      <c r="B1937">
        <v>1982</v>
      </c>
      <c r="C1937" s="1" t="s">
        <v>106</v>
      </c>
      <c r="D1937" s="7">
        <v>45080</v>
      </c>
      <c r="E1937" s="11">
        <v>6.5972222222222224E-2</v>
      </c>
      <c r="F1937" s="15">
        <f t="shared" si="90"/>
        <v>6</v>
      </c>
      <c r="G1937" s="10" t="str">
        <f t="shared" si="91"/>
        <v>Saturday</v>
      </c>
      <c r="H1937" s="9" t="str">
        <f t="shared" si="92"/>
        <v>June</v>
      </c>
      <c r="I1937" t="s">
        <v>97</v>
      </c>
      <c r="J1937" t="s">
        <v>88</v>
      </c>
      <c r="K1937">
        <v>5585</v>
      </c>
      <c r="L1937" s="5" t="str">
        <f>IF(OR(K1937&lt;Answers!$C$16,Orders!K1937&gt;Answers!$C$17),"Yes","No")</f>
        <v>No</v>
      </c>
      <c r="M1937" s="14">
        <f>VLOOKUP(B1937,Customers!$A$1:$E$2501,4,0)</f>
        <v>74</v>
      </c>
    </row>
    <row r="1938" spans="1:13" x14ac:dyDescent="0.3">
      <c r="A1938">
        <v>1291973</v>
      </c>
      <c r="B1938">
        <v>461</v>
      </c>
      <c r="C1938" s="1" t="s">
        <v>100</v>
      </c>
      <c r="D1938" s="7">
        <v>44933</v>
      </c>
      <c r="E1938" s="11">
        <v>5.7638888888888892E-2</v>
      </c>
      <c r="F1938" s="15">
        <f t="shared" si="90"/>
        <v>1</v>
      </c>
      <c r="G1938" s="10" t="str">
        <f t="shared" si="91"/>
        <v>Saturday</v>
      </c>
      <c r="H1938" s="9" t="str">
        <f t="shared" si="92"/>
        <v>January</v>
      </c>
      <c r="I1938" t="s">
        <v>95</v>
      </c>
      <c r="J1938" t="s">
        <v>26</v>
      </c>
      <c r="K1938">
        <v>5976</v>
      </c>
      <c r="L1938" s="5" t="str">
        <f>IF(OR(K1938&lt;Answers!$C$16,Orders!K1938&gt;Answers!$C$17),"Yes","No")</f>
        <v>No</v>
      </c>
      <c r="M1938" s="14">
        <f>VLOOKUP(B1938,Customers!$A$1:$E$2501,4,0)</f>
        <v>77</v>
      </c>
    </row>
    <row r="1939" spans="1:13" x14ac:dyDescent="0.3">
      <c r="A1939">
        <v>1292166</v>
      </c>
      <c r="B1939">
        <v>758</v>
      </c>
      <c r="C1939" s="1" t="s">
        <v>98</v>
      </c>
      <c r="D1939" s="7">
        <v>44974</v>
      </c>
      <c r="E1939" s="11">
        <v>36597</v>
      </c>
      <c r="F1939" s="15">
        <f t="shared" si="90"/>
        <v>2</v>
      </c>
      <c r="G1939" s="10" t="str">
        <f t="shared" si="91"/>
        <v>Friday</v>
      </c>
      <c r="H1939" s="9" t="str">
        <f t="shared" si="92"/>
        <v>February</v>
      </c>
      <c r="I1939" t="s">
        <v>95</v>
      </c>
      <c r="J1939" t="s">
        <v>24</v>
      </c>
      <c r="K1939">
        <v>7030</v>
      </c>
      <c r="L1939" s="5" t="str">
        <f>IF(OR(K1939&lt;Answers!$C$16,Orders!K1939&gt;Answers!$C$17),"Yes","No")</f>
        <v>No</v>
      </c>
      <c r="M1939" s="14">
        <f>VLOOKUP(B1939,Customers!$A$1:$E$2501,4,0)</f>
        <v>22</v>
      </c>
    </row>
    <row r="1940" spans="1:13" x14ac:dyDescent="0.3">
      <c r="A1940">
        <v>1292922</v>
      </c>
      <c r="B1940">
        <v>27</v>
      </c>
      <c r="C1940" s="1" t="s">
        <v>98</v>
      </c>
      <c r="D1940" s="7">
        <v>44966</v>
      </c>
      <c r="E1940" s="11">
        <v>7.4305555555555555E-2</v>
      </c>
      <c r="F1940" s="15">
        <f t="shared" si="90"/>
        <v>2</v>
      </c>
      <c r="G1940" s="10" t="str">
        <f t="shared" si="91"/>
        <v>Thursday</v>
      </c>
      <c r="H1940" s="9" t="str">
        <f t="shared" si="92"/>
        <v>February</v>
      </c>
      <c r="I1940" t="s">
        <v>96</v>
      </c>
      <c r="J1940" t="s">
        <v>80</v>
      </c>
      <c r="K1940">
        <v>1646</v>
      </c>
      <c r="L1940" s="5" t="str">
        <f>IF(OR(K1940&lt;Answers!$C$16,Orders!K1940&gt;Answers!$C$17),"Yes","No")</f>
        <v>No</v>
      </c>
      <c r="M1940" s="14">
        <f>VLOOKUP(B1940,Customers!$A$1:$E$2501,4,0)</f>
        <v>66</v>
      </c>
    </row>
    <row r="1941" spans="1:13" x14ac:dyDescent="0.3">
      <c r="A1941">
        <v>1294009</v>
      </c>
      <c r="B1941">
        <v>538</v>
      </c>
      <c r="C1941" s="1" t="s">
        <v>112</v>
      </c>
      <c r="D1941" s="7">
        <v>44932</v>
      </c>
      <c r="E1941" s="11">
        <v>7.3611111111111113E-2</v>
      </c>
      <c r="F1941" s="15">
        <f t="shared" si="90"/>
        <v>1</v>
      </c>
      <c r="G1941" s="10" t="str">
        <f t="shared" si="91"/>
        <v>Friday</v>
      </c>
      <c r="H1941" s="9" t="str">
        <f t="shared" si="92"/>
        <v>January</v>
      </c>
      <c r="I1941" t="s">
        <v>95</v>
      </c>
      <c r="J1941" t="s">
        <v>87</v>
      </c>
      <c r="K1941">
        <v>4279</v>
      </c>
      <c r="L1941" s="5" t="str">
        <f>IF(OR(K1941&lt;Answers!$C$16,Orders!K1941&gt;Answers!$C$17),"Yes","No")</f>
        <v>No</v>
      </c>
      <c r="M1941" s="14">
        <f>VLOOKUP(B1941,Customers!$A$1:$E$2501,4,0)</f>
        <v>32</v>
      </c>
    </row>
    <row r="1942" spans="1:13" x14ac:dyDescent="0.3">
      <c r="A1942">
        <v>1297610</v>
      </c>
      <c r="B1942">
        <v>1732</v>
      </c>
      <c r="C1942" s="1" t="s">
        <v>98</v>
      </c>
      <c r="D1942" s="7">
        <v>45209</v>
      </c>
      <c r="E1942" s="11">
        <v>5.8333333333333334E-2</v>
      </c>
      <c r="F1942" s="15">
        <f t="shared" si="90"/>
        <v>10</v>
      </c>
      <c r="G1942" s="10" t="str">
        <f t="shared" si="91"/>
        <v>Tuesday</v>
      </c>
      <c r="H1942" s="9" t="str">
        <f t="shared" si="92"/>
        <v>October</v>
      </c>
      <c r="I1942" t="s">
        <v>97</v>
      </c>
      <c r="J1942" t="s">
        <v>42</v>
      </c>
      <c r="K1942">
        <v>2563</v>
      </c>
      <c r="L1942" s="5" t="str">
        <f>IF(OR(K1942&lt;Answers!$C$16,Orders!K1942&gt;Answers!$C$17),"Yes","No")</f>
        <v>No</v>
      </c>
      <c r="M1942" s="14">
        <f>VLOOKUP(B1942,Customers!$A$1:$E$2501,4,0)</f>
        <v>90</v>
      </c>
    </row>
    <row r="1943" spans="1:13" x14ac:dyDescent="0.3">
      <c r="A1943">
        <v>1297796</v>
      </c>
      <c r="B1943">
        <v>640</v>
      </c>
      <c r="C1943" s="1" t="s">
        <v>99</v>
      </c>
      <c r="D1943" s="7">
        <v>44983</v>
      </c>
      <c r="E1943" s="11">
        <v>0.52777777777777779</v>
      </c>
      <c r="F1943" s="15">
        <f t="shared" si="90"/>
        <v>2</v>
      </c>
      <c r="G1943" s="10" t="str">
        <f t="shared" si="91"/>
        <v>Sunday</v>
      </c>
      <c r="H1943" s="9" t="str">
        <f t="shared" si="92"/>
        <v>February</v>
      </c>
      <c r="I1943" t="s">
        <v>96</v>
      </c>
      <c r="J1943" t="s">
        <v>26</v>
      </c>
      <c r="K1943">
        <v>9438</v>
      </c>
      <c r="L1943" s="5" t="str">
        <f>IF(OR(K1943&lt;Answers!$C$16,Orders!K1943&gt;Answers!$C$17),"Yes","No")</f>
        <v>No</v>
      </c>
      <c r="M1943" s="14">
        <f>VLOOKUP(B1943,Customers!$A$1:$E$2501,4,0)</f>
        <v>51</v>
      </c>
    </row>
    <row r="1944" spans="1:13" x14ac:dyDescent="0.3">
      <c r="A1944">
        <v>1299122</v>
      </c>
      <c r="B1944">
        <v>220</v>
      </c>
      <c r="C1944" s="1" t="s">
        <v>100</v>
      </c>
      <c r="D1944" s="7">
        <v>44933</v>
      </c>
      <c r="E1944" s="11">
        <v>0.47152777777777777</v>
      </c>
      <c r="F1944" s="15">
        <f t="shared" si="90"/>
        <v>1</v>
      </c>
      <c r="G1944" s="10" t="str">
        <f t="shared" si="91"/>
        <v>Saturday</v>
      </c>
      <c r="H1944" s="9" t="str">
        <f t="shared" si="92"/>
        <v>January</v>
      </c>
      <c r="I1944" t="s">
        <v>97</v>
      </c>
      <c r="J1944" t="s">
        <v>64</v>
      </c>
      <c r="K1944">
        <v>9458</v>
      </c>
      <c r="L1944" s="5" t="str">
        <f>IF(OR(K1944&lt;Answers!$C$16,Orders!K1944&gt;Answers!$C$17),"Yes","No")</f>
        <v>No</v>
      </c>
      <c r="M1944" s="14">
        <f>VLOOKUP(B1944,Customers!$A$1:$E$2501,4,0)</f>
        <v>71</v>
      </c>
    </row>
    <row r="1945" spans="1:13" x14ac:dyDescent="0.3">
      <c r="A1945">
        <v>1303658</v>
      </c>
      <c r="B1945">
        <v>67</v>
      </c>
      <c r="C1945" s="1" t="s">
        <v>106</v>
      </c>
      <c r="D1945" s="7">
        <v>45087</v>
      </c>
      <c r="E1945" s="11">
        <v>7.0833333333333331E-2</v>
      </c>
      <c r="F1945" s="15">
        <f t="shared" si="90"/>
        <v>6</v>
      </c>
      <c r="G1945" s="10" t="str">
        <f t="shared" si="91"/>
        <v>Saturday</v>
      </c>
      <c r="H1945" s="9" t="str">
        <f t="shared" si="92"/>
        <v>June</v>
      </c>
      <c r="I1945" t="s">
        <v>96</v>
      </c>
      <c r="J1945" t="s">
        <v>23</v>
      </c>
      <c r="K1945">
        <v>897</v>
      </c>
      <c r="L1945" s="5" t="str">
        <f>IF(OR(K1945&lt;Answers!$C$16,Orders!K1945&gt;Answers!$C$17),"Yes","No")</f>
        <v>No</v>
      </c>
      <c r="M1945" s="14">
        <f>VLOOKUP(B1945,Customers!$A$1:$E$2501,4,0)</f>
        <v>51</v>
      </c>
    </row>
    <row r="1946" spans="1:13" x14ac:dyDescent="0.3">
      <c r="A1946">
        <v>1305831</v>
      </c>
      <c r="B1946">
        <v>1531</v>
      </c>
      <c r="C1946" s="1" t="s">
        <v>105</v>
      </c>
      <c r="D1946" s="7">
        <v>45195</v>
      </c>
      <c r="E1946" s="11">
        <v>36841</v>
      </c>
      <c r="F1946" s="15">
        <f t="shared" si="90"/>
        <v>9</v>
      </c>
      <c r="G1946" s="10" t="str">
        <f t="shared" si="91"/>
        <v>Tuesday</v>
      </c>
      <c r="H1946" s="9" t="str">
        <f t="shared" si="92"/>
        <v>September</v>
      </c>
      <c r="I1946" t="s">
        <v>190</v>
      </c>
      <c r="J1946" t="s">
        <v>51</v>
      </c>
      <c r="K1946">
        <v>695</v>
      </c>
      <c r="L1946" s="5" t="str">
        <f>IF(OR(K1946&lt;Answers!$C$16,Orders!K1946&gt;Answers!$C$17),"Yes","No")</f>
        <v>No</v>
      </c>
      <c r="M1946" s="14">
        <f>VLOOKUP(B1946,Customers!$A$1:$E$2501,4,0)</f>
        <v>41</v>
      </c>
    </row>
    <row r="1947" spans="1:13" x14ac:dyDescent="0.3">
      <c r="A1947">
        <v>1307458</v>
      </c>
      <c r="B1947">
        <v>122</v>
      </c>
      <c r="C1947" s="1" t="s">
        <v>104</v>
      </c>
      <c r="D1947" s="7">
        <v>44927</v>
      </c>
      <c r="E1947" s="11">
        <v>6.3194444444444442E-2</v>
      </c>
      <c r="F1947" s="15">
        <f t="shared" si="90"/>
        <v>1</v>
      </c>
      <c r="G1947" s="10" t="str">
        <f t="shared" si="91"/>
        <v>Sunday</v>
      </c>
      <c r="H1947" s="9" t="str">
        <f t="shared" si="92"/>
        <v>January</v>
      </c>
      <c r="I1947" t="s">
        <v>190</v>
      </c>
      <c r="J1947" t="s">
        <v>22</v>
      </c>
      <c r="K1947">
        <v>943</v>
      </c>
      <c r="L1947" s="5" t="str">
        <f>IF(OR(K1947&lt;Answers!$C$16,Orders!K1947&gt;Answers!$C$17),"Yes","No")</f>
        <v>No</v>
      </c>
      <c r="M1947" s="14">
        <f>VLOOKUP(B1947,Customers!$A$1:$E$2501,4,0)</f>
        <v>41</v>
      </c>
    </row>
    <row r="1948" spans="1:13" x14ac:dyDescent="0.3">
      <c r="A1948">
        <v>1308621</v>
      </c>
      <c r="B1948">
        <v>1948</v>
      </c>
      <c r="C1948" s="1" t="s">
        <v>98</v>
      </c>
      <c r="D1948" s="7">
        <v>45227</v>
      </c>
      <c r="E1948" s="11">
        <v>0.51111111111111107</v>
      </c>
      <c r="F1948" s="15">
        <f t="shared" si="90"/>
        <v>10</v>
      </c>
      <c r="G1948" s="10" t="str">
        <f t="shared" si="91"/>
        <v>Saturday</v>
      </c>
      <c r="H1948" s="9" t="str">
        <f t="shared" si="92"/>
        <v>October</v>
      </c>
      <c r="I1948" t="s">
        <v>97</v>
      </c>
      <c r="J1948" t="s">
        <v>52</v>
      </c>
      <c r="K1948">
        <v>1684</v>
      </c>
      <c r="L1948" s="5" t="str">
        <f>IF(OR(K1948&lt;Answers!$C$16,Orders!K1948&gt;Answers!$C$17),"Yes","No")</f>
        <v>No</v>
      </c>
      <c r="M1948" s="14">
        <f>VLOOKUP(B1948,Customers!$A$1:$E$2501,4,0)</f>
        <v>79</v>
      </c>
    </row>
    <row r="1949" spans="1:13" x14ac:dyDescent="0.3">
      <c r="A1949">
        <v>1308737</v>
      </c>
      <c r="B1949">
        <v>344</v>
      </c>
      <c r="C1949" s="1" t="s">
        <v>101</v>
      </c>
      <c r="D1949" s="7">
        <v>45139</v>
      </c>
      <c r="E1949" s="11">
        <v>0.53888888888888886</v>
      </c>
      <c r="F1949" s="15">
        <f t="shared" si="90"/>
        <v>8</v>
      </c>
      <c r="G1949" s="10" t="str">
        <f t="shared" si="91"/>
        <v>Tuesday</v>
      </c>
      <c r="H1949" s="9" t="str">
        <f t="shared" si="92"/>
        <v>August</v>
      </c>
      <c r="I1949" t="s">
        <v>190</v>
      </c>
      <c r="J1949" t="s">
        <v>53</v>
      </c>
      <c r="K1949">
        <v>144</v>
      </c>
      <c r="L1949" s="5" t="str">
        <f>IF(OR(K1949&lt;Answers!$C$16,Orders!K1949&gt;Answers!$C$17),"Yes","No")</f>
        <v>No</v>
      </c>
      <c r="M1949" s="14">
        <f>VLOOKUP(B1949,Customers!$A$1:$E$2501,4,0)</f>
        <v>84</v>
      </c>
    </row>
    <row r="1950" spans="1:13" x14ac:dyDescent="0.3">
      <c r="A1950">
        <v>1309217</v>
      </c>
      <c r="B1950">
        <v>1458</v>
      </c>
      <c r="C1950" s="1" t="s">
        <v>99</v>
      </c>
      <c r="D1950" s="7">
        <v>45103</v>
      </c>
      <c r="E1950" s="11">
        <v>0.52916666666666667</v>
      </c>
      <c r="F1950" s="15">
        <f t="shared" si="90"/>
        <v>6</v>
      </c>
      <c r="G1950" s="10" t="str">
        <f t="shared" si="91"/>
        <v>Monday</v>
      </c>
      <c r="H1950" s="9" t="str">
        <f t="shared" si="92"/>
        <v>June</v>
      </c>
      <c r="I1950" t="s">
        <v>96</v>
      </c>
      <c r="J1950" t="s">
        <v>19</v>
      </c>
      <c r="K1950">
        <v>5635</v>
      </c>
      <c r="L1950" s="5" t="str">
        <f>IF(OR(K1950&lt;Answers!$C$16,Orders!K1950&gt;Answers!$C$17),"Yes","No")</f>
        <v>No</v>
      </c>
      <c r="M1950" s="14">
        <f>VLOOKUP(B1950,Customers!$A$1:$E$2501,4,0)</f>
        <v>67</v>
      </c>
    </row>
    <row r="1951" spans="1:13" x14ac:dyDescent="0.3">
      <c r="A1951">
        <v>1309990</v>
      </c>
      <c r="B1951">
        <v>221</v>
      </c>
      <c r="C1951" s="1" t="s">
        <v>100</v>
      </c>
      <c r="D1951" s="7">
        <v>45101</v>
      </c>
      <c r="E1951" s="11">
        <v>0.49930555555555556</v>
      </c>
      <c r="F1951" s="15">
        <f t="shared" si="90"/>
        <v>6</v>
      </c>
      <c r="G1951" s="10" t="str">
        <f t="shared" si="91"/>
        <v>Saturday</v>
      </c>
      <c r="H1951" s="9" t="str">
        <f t="shared" si="92"/>
        <v>June</v>
      </c>
      <c r="I1951" t="s">
        <v>190</v>
      </c>
      <c r="J1951" t="s">
        <v>40</v>
      </c>
      <c r="K1951">
        <v>667</v>
      </c>
      <c r="L1951" s="5" t="str">
        <f>IF(OR(K1951&lt;Answers!$C$16,Orders!K1951&gt;Answers!$C$17),"Yes","No")</f>
        <v>No</v>
      </c>
      <c r="M1951" s="14">
        <f>VLOOKUP(B1951,Customers!$A$1:$E$2501,4,0)</f>
        <v>64</v>
      </c>
    </row>
    <row r="1952" spans="1:13" x14ac:dyDescent="0.3">
      <c r="A1952">
        <v>1310379</v>
      </c>
      <c r="B1952">
        <v>390</v>
      </c>
      <c r="C1952" s="1" t="s">
        <v>112</v>
      </c>
      <c r="D1952" s="7">
        <v>44980</v>
      </c>
      <c r="E1952" s="11">
        <v>0.53055555555555556</v>
      </c>
      <c r="F1952" s="15">
        <f t="shared" si="90"/>
        <v>2</v>
      </c>
      <c r="G1952" s="10" t="str">
        <f t="shared" si="91"/>
        <v>Thursday</v>
      </c>
      <c r="H1952" s="9" t="str">
        <f t="shared" si="92"/>
        <v>February</v>
      </c>
      <c r="I1952" t="s">
        <v>97</v>
      </c>
      <c r="J1952" t="s">
        <v>54</v>
      </c>
      <c r="K1952">
        <v>9158</v>
      </c>
      <c r="L1952" s="5" t="str">
        <f>IF(OR(K1952&lt;Answers!$C$16,Orders!K1952&gt;Answers!$C$17),"Yes","No")</f>
        <v>No</v>
      </c>
      <c r="M1952" s="14">
        <f>VLOOKUP(B1952,Customers!$A$1:$E$2501,4,0)</f>
        <v>89</v>
      </c>
    </row>
    <row r="1953" spans="1:13" x14ac:dyDescent="0.3">
      <c r="A1953">
        <v>1311114</v>
      </c>
      <c r="B1953">
        <v>130</v>
      </c>
      <c r="C1953" s="1" t="s">
        <v>98</v>
      </c>
      <c r="D1953" s="7">
        <v>45100</v>
      </c>
      <c r="E1953" s="11">
        <v>5.5555555555555552E-2</v>
      </c>
      <c r="F1953" s="15">
        <f t="shared" si="90"/>
        <v>6</v>
      </c>
      <c r="G1953" s="10" t="str">
        <f t="shared" si="91"/>
        <v>Friday</v>
      </c>
      <c r="H1953" s="9" t="str">
        <f t="shared" si="92"/>
        <v>June</v>
      </c>
      <c r="I1953" t="s">
        <v>96</v>
      </c>
      <c r="J1953" t="s">
        <v>55</v>
      </c>
      <c r="K1953">
        <v>1596</v>
      </c>
      <c r="L1953" s="5" t="str">
        <f>IF(OR(K1953&lt;Answers!$C$16,Orders!K1953&gt;Answers!$C$17),"Yes","No")</f>
        <v>No</v>
      </c>
      <c r="M1953" s="14">
        <f>VLOOKUP(B1953,Customers!$A$1:$E$2501,4,0)</f>
        <v>50</v>
      </c>
    </row>
    <row r="1954" spans="1:13" x14ac:dyDescent="0.3">
      <c r="A1954">
        <v>1311384</v>
      </c>
      <c r="B1954">
        <v>1796</v>
      </c>
      <c r="C1954" s="1" t="s">
        <v>107</v>
      </c>
      <c r="D1954" s="7">
        <v>44974</v>
      </c>
      <c r="E1954" s="11">
        <v>0.48194444444444445</v>
      </c>
      <c r="F1954" s="15">
        <f t="shared" si="90"/>
        <v>2</v>
      </c>
      <c r="G1954" s="10" t="str">
        <f t="shared" si="91"/>
        <v>Friday</v>
      </c>
      <c r="H1954" s="9" t="str">
        <f t="shared" si="92"/>
        <v>February</v>
      </c>
      <c r="I1954" t="s">
        <v>97</v>
      </c>
      <c r="J1954" t="s">
        <v>56</v>
      </c>
      <c r="K1954">
        <v>5286</v>
      </c>
      <c r="L1954" s="5" t="str">
        <f>IF(OR(K1954&lt;Answers!$C$16,Orders!K1954&gt;Answers!$C$17),"Yes","No")</f>
        <v>No</v>
      </c>
      <c r="M1954" s="14">
        <f>VLOOKUP(B1954,Customers!$A$1:$E$2501,4,0)</f>
        <v>86</v>
      </c>
    </row>
    <row r="1955" spans="1:13" x14ac:dyDescent="0.3">
      <c r="A1955">
        <v>1311758</v>
      </c>
      <c r="B1955">
        <v>446</v>
      </c>
      <c r="C1955" s="1" t="s">
        <v>98</v>
      </c>
      <c r="D1955" s="7">
        <v>45229</v>
      </c>
      <c r="E1955" s="11">
        <v>0.53125</v>
      </c>
      <c r="F1955" s="15">
        <f t="shared" si="90"/>
        <v>10</v>
      </c>
      <c r="G1955" s="10" t="str">
        <f t="shared" si="91"/>
        <v>Monday</v>
      </c>
      <c r="H1955" s="9" t="str">
        <f t="shared" si="92"/>
        <v>October</v>
      </c>
      <c r="I1955" t="s">
        <v>190</v>
      </c>
      <c r="J1955" t="s">
        <v>57</v>
      </c>
      <c r="K1955">
        <v>7083</v>
      </c>
      <c r="L1955" s="5" t="str">
        <f>IF(OR(K1955&lt;Answers!$C$16,Orders!K1955&gt;Answers!$C$17),"Yes","No")</f>
        <v>No</v>
      </c>
      <c r="M1955" s="14">
        <f>VLOOKUP(B1955,Customers!$A$1:$E$2501,4,0)</f>
        <v>67</v>
      </c>
    </row>
    <row r="1956" spans="1:13" x14ac:dyDescent="0.3">
      <c r="A1956">
        <v>1311873</v>
      </c>
      <c r="B1956">
        <v>990</v>
      </c>
      <c r="C1956" s="1" t="s">
        <v>108</v>
      </c>
      <c r="D1956" s="7">
        <v>44995</v>
      </c>
      <c r="E1956" s="11">
        <v>36831</v>
      </c>
      <c r="F1956" s="15">
        <f t="shared" si="90"/>
        <v>3</v>
      </c>
      <c r="G1956" s="10" t="str">
        <f t="shared" si="91"/>
        <v>Friday</v>
      </c>
      <c r="H1956" s="9" t="str">
        <f t="shared" si="92"/>
        <v>March</v>
      </c>
      <c r="I1956" t="s">
        <v>97</v>
      </c>
      <c r="J1956" t="s">
        <v>58</v>
      </c>
      <c r="K1956">
        <v>2981</v>
      </c>
      <c r="L1956" s="5" t="str">
        <f>IF(OR(K1956&lt;Answers!$C$16,Orders!K1956&gt;Answers!$C$17),"Yes","No")</f>
        <v>No</v>
      </c>
      <c r="M1956" s="14">
        <f>VLOOKUP(B1956,Customers!$A$1:$E$2501,4,0)</f>
        <v>37</v>
      </c>
    </row>
    <row r="1957" spans="1:13" x14ac:dyDescent="0.3">
      <c r="A1957">
        <v>1311950</v>
      </c>
      <c r="B1957">
        <v>1770</v>
      </c>
      <c r="C1957" s="1" t="s">
        <v>103</v>
      </c>
      <c r="D1957" s="7">
        <v>45290</v>
      </c>
      <c r="E1957" s="11">
        <v>0.4909722222222222</v>
      </c>
      <c r="F1957" s="15">
        <f t="shared" si="90"/>
        <v>12</v>
      </c>
      <c r="G1957" s="10" t="str">
        <f t="shared" si="91"/>
        <v>Saturday</v>
      </c>
      <c r="H1957" s="9" t="str">
        <f t="shared" si="92"/>
        <v>December</v>
      </c>
      <c r="I1957" t="s">
        <v>97</v>
      </c>
      <c r="J1957" t="s">
        <v>3</v>
      </c>
      <c r="K1957">
        <v>4041</v>
      </c>
      <c r="L1957" s="5" t="str">
        <f>IF(OR(K1957&lt;Answers!$C$16,Orders!K1957&gt;Answers!$C$17),"Yes","No")</f>
        <v>No</v>
      </c>
      <c r="M1957" s="14">
        <f>VLOOKUP(B1957,Customers!$A$1:$E$2501,4,0)</f>
        <v>88</v>
      </c>
    </row>
    <row r="1958" spans="1:13" x14ac:dyDescent="0.3">
      <c r="A1958">
        <v>1312340</v>
      </c>
      <c r="B1958">
        <v>721</v>
      </c>
      <c r="C1958" s="1" t="s">
        <v>112</v>
      </c>
      <c r="D1958" s="7">
        <v>45197</v>
      </c>
      <c r="E1958" s="11">
        <v>0.51388888888888884</v>
      </c>
      <c r="F1958" s="15">
        <f t="shared" si="90"/>
        <v>9</v>
      </c>
      <c r="G1958" s="10" t="str">
        <f t="shared" si="91"/>
        <v>Thursday</v>
      </c>
      <c r="H1958" s="9" t="str">
        <f t="shared" si="92"/>
        <v>September</v>
      </c>
      <c r="I1958" t="s">
        <v>96</v>
      </c>
      <c r="J1958" t="s">
        <v>26</v>
      </c>
      <c r="K1958">
        <v>9364</v>
      </c>
      <c r="L1958" s="5" t="str">
        <f>IF(OR(K1958&lt;Answers!$C$16,Orders!K1958&gt;Answers!$C$17),"Yes","No")</f>
        <v>No</v>
      </c>
      <c r="M1958" s="14">
        <f>VLOOKUP(B1958,Customers!$A$1:$E$2501,4,0)</f>
        <v>46</v>
      </c>
    </row>
    <row r="1959" spans="1:13" x14ac:dyDescent="0.3">
      <c r="A1959">
        <v>1312407</v>
      </c>
      <c r="B1959">
        <v>183</v>
      </c>
      <c r="C1959" s="1" t="s">
        <v>112</v>
      </c>
      <c r="D1959" s="7">
        <v>45020</v>
      </c>
      <c r="E1959" s="11">
        <v>5.486111111111111E-2</v>
      </c>
      <c r="F1959" s="15">
        <f t="shared" si="90"/>
        <v>4</v>
      </c>
      <c r="G1959" s="10" t="str">
        <f t="shared" si="91"/>
        <v>Tuesday</v>
      </c>
      <c r="H1959" s="9" t="str">
        <f t="shared" si="92"/>
        <v>April</v>
      </c>
      <c r="I1959" t="s">
        <v>96</v>
      </c>
      <c r="J1959" t="s">
        <v>59</v>
      </c>
      <c r="K1959">
        <v>9002</v>
      </c>
      <c r="L1959" s="5" t="str">
        <f>IF(OR(K1959&lt;Answers!$C$16,Orders!K1959&gt;Answers!$C$17),"Yes","No")</f>
        <v>No</v>
      </c>
      <c r="M1959" s="14">
        <f>VLOOKUP(B1959,Customers!$A$1:$E$2501,4,0)</f>
        <v>66</v>
      </c>
    </row>
    <row r="1960" spans="1:13" x14ac:dyDescent="0.3">
      <c r="A1960">
        <v>1312635</v>
      </c>
      <c r="B1960">
        <v>55</v>
      </c>
      <c r="C1960" s="1" t="s">
        <v>107</v>
      </c>
      <c r="D1960" s="7">
        <v>44970</v>
      </c>
      <c r="E1960" s="11">
        <v>0.48958333333333331</v>
      </c>
      <c r="F1960" s="15">
        <f t="shared" si="90"/>
        <v>2</v>
      </c>
      <c r="G1960" s="10" t="str">
        <f t="shared" si="91"/>
        <v>Monday</v>
      </c>
      <c r="H1960" s="9" t="str">
        <f t="shared" si="92"/>
        <v>February</v>
      </c>
      <c r="I1960" t="s">
        <v>97</v>
      </c>
      <c r="J1960" t="s">
        <v>60</v>
      </c>
      <c r="K1960">
        <v>2981</v>
      </c>
      <c r="L1960" s="5" t="str">
        <f>IF(OR(K1960&lt;Answers!$C$16,Orders!K1960&gt;Answers!$C$17),"Yes","No")</f>
        <v>No</v>
      </c>
      <c r="M1960" s="14">
        <f>VLOOKUP(B1960,Customers!$A$1:$E$2501,4,0)</f>
        <v>32</v>
      </c>
    </row>
    <row r="1961" spans="1:13" x14ac:dyDescent="0.3">
      <c r="A1961">
        <v>1313934</v>
      </c>
      <c r="B1961">
        <v>1710</v>
      </c>
      <c r="C1961" s="1" t="s">
        <v>104</v>
      </c>
      <c r="D1961" s="7">
        <v>45242</v>
      </c>
      <c r="E1961" s="11">
        <v>36678</v>
      </c>
      <c r="F1961" s="15">
        <f t="shared" si="90"/>
        <v>11</v>
      </c>
      <c r="G1961" s="10" t="str">
        <f t="shared" si="91"/>
        <v>Sunday</v>
      </c>
      <c r="H1961" s="9" t="str">
        <f t="shared" si="92"/>
        <v>November</v>
      </c>
      <c r="I1961" t="s">
        <v>95</v>
      </c>
      <c r="J1961" t="s">
        <v>92</v>
      </c>
      <c r="K1961">
        <v>2981</v>
      </c>
      <c r="L1961" s="5" t="str">
        <f>IF(OR(K1961&lt;Answers!$C$16,Orders!K1961&gt;Answers!$C$17),"Yes","No")</f>
        <v>No</v>
      </c>
      <c r="M1961" s="14">
        <f>VLOOKUP(B1961,Customers!$A$1:$E$2501,4,0)</f>
        <v>84</v>
      </c>
    </row>
    <row r="1962" spans="1:13" x14ac:dyDescent="0.3">
      <c r="A1962">
        <v>1313997</v>
      </c>
      <c r="B1962">
        <v>1327</v>
      </c>
      <c r="C1962" s="1" t="s">
        <v>99</v>
      </c>
      <c r="D1962" s="7">
        <v>44984</v>
      </c>
      <c r="E1962" s="11">
        <v>36628</v>
      </c>
      <c r="F1962" s="15">
        <f t="shared" si="90"/>
        <v>2</v>
      </c>
      <c r="G1962" s="10" t="str">
        <f t="shared" si="91"/>
        <v>Monday</v>
      </c>
      <c r="H1962" s="9" t="str">
        <f t="shared" si="92"/>
        <v>February</v>
      </c>
      <c r="I1962" t="s">
        <v>97</v>
      </c>
      <c r="J1962" t="s">
        <v>32</v>
      </c>
      <c r="K1962">
        <v>8609</v>
      </c>
      <c r="L1962" s="5" t="str">
        <f>IF(OR(K1962&lt;Answers!$C$16,Orders!K1962&gt;Answers!$C$17),"Yes","No")</f>
        <v>No</v>
      </c>
      <c r="M1962" s="14">
        <f>VLOOKUP(B1962,Customers!$A$1:$E$2501,4,0)</f>
        <v>34</v>
      </c>
    </row>
    <row r="1963" spans="1:13" x14ac:dyDescent="0.3">
      <c r="A1963">
        <v>1314159</v>
      </c>
      <c r="B1963">
        <v>1357</v>
      </c>
      <c r="C1963" s="1" t="s">
        <v>110</v>
      </c>
      <c r="D1963" s="7">
        <v>45130</v>
      </c>
      <c r="E1963" s="11">
        <v>0.5180555555555556</v>
      </c>
      <c r="F1963" s="15">
        <f t="shared" si="90"/>
        <v>7</v>
      </c>
      <c r="G1963" s="10" t="str">
        <f t="shared" si="91"/>
        <v>Sunday</v>
      </c>
      <c r="H1963" s="9" t="str">
        <f t="shared" si="92"/>
        <v>July</v>
      </c>
      <c r="I1963" t="s">
        <v>96</v>
      </c>
      <c r="J1963" t="s">
        <v>62</v>
      </c>
      <c r="K1963">
        <v>3684</v>
      </c>
      <c r="L1963" s="5" t="str">
        <f>IF(OR(K1963&lt;Answers!$C$16,Orders!K1963&gt;Answers!$C$17),"Yes","No")</f>
        <v>No</v>
      </c>
      <c r="M1963" s="14">
        <f>VLOOKUP(B1963,Customers!$A$1:$E$2501,4,0)</f>
        <v>43</v>
      </c>
    </row>
    <row r="1964" spans="1:13" x14ac:dyDescent="0.3">
      <c r="A1964">
        <v>1314166</v>
      </c>
      <c r="B1964">
        <v>1145</v>
      </c>
      <c r="C1964" s="1" t="s">
        <v>98</v>
      </c>
      <c r="D1964" s="7">
        <v>45015</v>
      </c>
      <c r="E1964" s="11">
        <v>6.1111111111111109E-2</v>
      </c>
      <c r="F1964" s="15">
        <f t="shared" si="90"/>
        <v>3</v>
      </c>
      <c r="G1964" s="10" t="str">
        <f t="shared" si="91"/>
        <v>Thursday</v>
      </c>
      <c r="H1964" s="9" t="str">
        <f t="shared" si="92"/>
        <v>March</v>
      </c>
      <c r="I1964" t="s">
        <v>95</v>
      </c>
      <c r="J1964" t="s">
        <v>27</v>
      </c>
      <c r="K1964">
        <v>9152</v>
      </c>
      <c r="L1964" s="5" t="str">
        <f>IF(OR(K1964&lt;Answers!$C$16,Orders!K1964&gt;Answers!$C$17),"Yes","No")</f>
        <v>No</v>
      </c>
      <c r="M1964" s="14">
        <f>VLOOKUP(B1964,Customers!$A$1:$E$2501,4,0)</f>
        <v>50</v>
      </c>
    </row>
    <row r="1965" spans="1:13" x14ac:dyDescent="0.3">
      <c r="A1965">
        <v>1314895</v>
      </c>
      <c r="B1965">
        <v>1512</v>
      </c>
      <c r="C1965" s="1" t="s">
        <v>107</v>
      </c>
      <c r="D1965" s="7">
        <v>45278</v>
      </c>
      <c r="E1965" s="11">
        <v>0.44236111111111109</v>
      </c>
      <c r="F1965" s="15">
        <f t="shared" si="90"/>
        <v>12</v>
      </c>
      <c r="G1965" s="10" t="str">
        <f t="shared" si="91"/>
        <v>Monday</v>
      </c>
      <c r="H1965" s="9" t="str">
        <f t="shared" si="92"/>
        <v>December</v>
      </c>
      <c r="I1965" t="s">
        <v>190</v>
      </c>
      <c r="J1965" t="s">
        <v>38</v>
      </c>
      <c r="K1965">
        <v>1560</v>
      </c>
      <c r="L1965" s="5" t="str">
        <f>IF(OR(K1965&lt;Answers!$C$16,Orders!K1965&gt;Answers!$C$17),"Yes","No")</f>
        <v>No</v>
      </c>
      <c r="M1965" s="14">
        <f>VLOOKUP(B1965,Customers!$A$1:$E$2501,4,0)</f>
        <v>28</v>
      </c>
    </row>
    <row r="1966" spans="1:13" x14ac:dyDescent="0.3">
      <c r="A1966">
        <v>1316887</v>
      </c>
      <c r="B1966">
        <v>1739</v>
      </c>
      <c r="C1966" s="1" t="s">
        <v>104</v>
      </c>
      <c r="D1966" s="7">
        <v>45023</v>
      </c>
      <c r="E1966" s="11">
        <v>0.48125000000000001</v>
      </c>
      <c r="F1966" s="15">
        <f t="shared" si="90"/>
        <v>4</v>
      </c>
      <c r="G1966" s="10" t="str">
        <f t="shared" si="91"/>
        <v>Friday</v>
      </c>
      <c r="H1966" s="9" t="str">
        <f t="shared" si="92"/>
        <v>April</v>
      </c>
      <c r="I1966" t="s">
        <v>97</v>
      </c>
      <c r="J1966" t="s">
        <v>26</v>
      </c>
      <c r="K1966">
        <v>951</v>
      </c>
      <c r="L1966" s="5" t="str">
        <f>IF(OR(K1966&lt;Answers!$C$16,Orders!K1966&gt;Answers!$C$17),"Yes","No")</f>
        <v>No</v>
      </c>
      <c r="M1966" s="14">
        <f>VLOOKUP(B1966,Customers!$A$1:$E$2501,4,0)</f>
        <v>44</v>
      </c>
    </row>
    <row r="1967" spans="1:13" x14ac:dyDescent="0.3">
      <c r="A1967">
        <v>1317983</v>
      </c>
      <c r="B1967">
        <v>997</v>
      </c>
      <c r="C1967" s="1" t="s">
        <v>112</v>
      </c>
      <c r="D1967" s="7">
        <v>45272</v>
      </c>
      <c r="E1967" s="11">
        <v>6.0416666666666667E-2</v>
      </c>
      <c r="F1967" s="15">
        <f t="shared" si="90"/>
        <v>12</v>
      </c>
      <c r="G1967" s="10" t="str">
        <f t="shared" si="91"/>
        <v>Tuesday</v>
      </c>
      <c r="H1967" s="9" t="str">
        <f t="shared" si="92"/>
        <v>December</v>
      </c>
      <c r="I1967" t="s">
        <v>97</v>
      </c>
      <c r="J1967" t="s">
        <v>63</v>
      </c>
      <c r="K1967">
        <v>7185</v>
      </c>
      <c r="L1967" s="5" t="str">
        <f>IF(OR(K1967&lt;Answers!$C$16,Orders!K1967&gt;Answers!$C$17),"Yes","No")</f>
        <v>No</v>
      </c>
      <c r="M1967" s="14">
        <f>VLOOKUP(B1967,Customers!$A$1:$E$2501,4,0)</f>
        <v>58</v>
      </c>
    </row>
    <row r="1968" spans="1:13" x14ac:dyDescent="0.3">
      <c r="A1968">
        <v>1318200</v>
      </c>
      <c r="B1968">
        <v>1657</v>
      </c>
      <c r="C1968" s="1" t="s">
        <v>108</v>
      </c>
      <c r="D1968" s="7">
        <v>45269</v>
      </c>
      <c r="E1968" s="11">
        <v>0.51666666666666672</v>
      </c>
      <c r="F1968" s="15">
        <f t="shared" si="90"/>
        <v>12</v>
      </c>
      <c r="G1968" s="10" t="str">
        <f t="shared" si="91"/>
        <v>Saturday</v>
      </c>
      <c r="H1968" s="9" t="str">
        <f t="shared" si="92"/>
        <v>December</v>
      </c>
      <c r="I1968" t="s">
        <v>97</v>
      </c>
      <c r="J1968" t="s">
        <v>42</v>
      </c>
      <c r="K1968">
        <v>7368</v>
      </c>
      <c r="L1968" s="5" t="str">
        <f>IF(OR(K1968&lt;Answers!$C$16,Orders!K1968&gt;Answers!$C$17),"Yes","No")</f>
        <v>No</v>
      </c>
      <c r="M1968" s="14">
        <f>VLOOKUP(B1968,Customers!$A$1:$E$2501,4,0)</f>
        <v>21</v>
      </c>
    </row>
    <row r="1969" spans="1:13" x14ac:dyDescent="0.3">
      <c r="A1969">
        <v>1318274</v>
      </c>
      <c r="B1969">
        <v>304</v>
      </c>
      <c r="C1969" s="1" t="s">
        <v>112</v>
      </c>
      <c r="D1969" s="7">
        <v>44990</v>
      </c>
      <c r="E1969" s="11">
        <v>0.48125000000000001</v>
      </c>
      <c r="F1969" s="15">
        <f t="shared" si="90"/>
        <v>3</v>
      </c>
      <c r="G1969" s="10" t="str">
        <f t="shared" si="91"/>
        <v>Sunday</v>
      </c>
      <c r="H1969" s="9" t="str">
        <f t="shared" si="92"/>
        <v>March</v>
      </c>
      <c r="I1969" t="s">
        <v>97</v>
      </c>
      <c r="J1969" t="s">
        <v>42</v>
      </c>
      <c r="K1969">
        <v>2657</v>
      </c>
      <c r="L1969" s="5" t="str">
        <f>IF(OR(K1969&lt;Answers!$C$16,Orders!K1969&gt;Answers!$C$17),"Yes","No")</f>
        <v>No</v>
      </c>
      <c r="M1969" s="14">
        <f>VLOOKUP(B1969,Customers!$A$1:$E$2501,4,0)</f>
        <v>71</v>
      </c>
    </row>
    <row r="1970" spans="1:13" x14ac:dyDescent="0.3">
      <c r="A1970">
        <v>1318579</v>
      </c>
      <c r="B1970">
        <v>1120</v>
      </c>
      <c r="C1970" s="1" t="s">
        <v>107</v>
      </c>
      <c r="D1970" s="7">
        <v>45232</v>
      </c>
      <c r="E1970" s="11">
        <v>7.9861111111111105E-2</v>
      </c>
      <c r="F1970" s="15">
        <f t="shared" si="90"/>
        <v>11</v>
      </c>
      <c r="G1970" s="10" t="str">
        <f t="shared" si="91"/>
        <v>Thursday</v>
      </c>
      <c r="H1970" s="9" t="str">
        <f t="shared" si="92"/>
        <v>November</v>
      </c>
      <c r="I1970" t="s">
        <v>96</v>
      </c>
      <c r="J1970" t="s">
        <v>64</v>
      </c>
      <c r="K1970">
        <v>8857</v>
      </c>
      <c r="L1970" s="5" t="str">
        <f>IF(OR(K1970&lt;Answers!$C$16,Orders!K1970&gt;Answers!$C$17),"Yes","No")</f>
        <v>No</v>
      </c>
      <c r="M1970" s="14">
        <f>VLOOKUP(B1970,Customers!$A$1:$E$2501,4,0)</f>
        <v>53</v>
      </c>
    </row>
    <row r="1971" spans="1:13" x14ac:dyDescent="0.3">
      <c r="A1971">
        <v>1319964</v>
      </c>
      <c r="B1971">
        <v>281</v>
      </c>
      <c r="C1971" s="1" t="s">
        <v>98</v>
      </c>
      <c r="D1971" s="7">
        <v>44959</v>
      </c>
      <c r="E1971" s="11">
        <v>0.48958333333333331</v>
      </c>
      <c r="F1971" s="15">
        <f t="shared" si="90"/>
        <v>2</v>
      </c>
      <c r="G1971" s="10" t="str">
        <f t="shared" si="91"/>
        <v>Thursday</v>
      </c>
      <c r="H1971" s="9" t="str">
        <f t="shared" si="92"/>
        <v>February</v>
      </c>
      <c r="I1971" t="s">
        <v>97</v>
      </c>
      <c r="J1971" t="s">
        <v>61</v>
      </c>
      <c r="K1971">
        <v>2954</v>
      </c>
      <c r="L1971" s="5" t="str">
        <f>IF(OR(K1971&lt;Answers!$C$16,Orders!K1971&gt;Answers!$C$17),"Yes","No")</f>
        <v>No</v>
      </c>
      <c r="M1971" s="14">
        <f>VLOOKUP(B1971,Customers!$A$1:$E$2501,4,0)</f>
        <v>75</v>
      </c>
    </row>
    <row r="1972" spans="1:13" x14ac:dyDescent="0.3">
      <c r="A1972">
        <v>1320558</v>
      </c>
      <c r="B1972">
        <v>1243</v>
      </c>
      <c r="C1972" s="1" t="s">
        <v>104</v>
      </c>
      <c r="D1972" s="7">
        <v>45119</v>
      </c>
      <c r="E1972" s="11">
        <v>0.48333333333333334</v>
      </c>
      <c r="F1972" s="15">
        <f t="shared" si="90"/>
        <v>7</v>
      </c>
      <c r="G1972" s="10" t="str">
        <f t="shared" si="91"/>
        <v>Wednesday</v>
      </c>
      <c r="H1972" s="9" t="str">
        <f t="shared" si="92"/>
        <v>July</v>
      </c>
      <c r="I1972" t="s">
        <v>97</v>
      </c>
      <c r="J1972" t="s">
        <v>69</v>
      </c>
      <c r="K1972">
        <v>6197</v>
      </c>
      <c r="L1972" s="5" t="str">
        <f>IF(OR(K1972&lt;Answers!$C$16,Orders!K1972&gt;Answers!$C$17),"Yes","No")</f>
        <v>No</v>
      </c>
      <c r="M1972" s="14">
        <f>VLOOKUP(B1972,Customers!$A$1:$E$2501,4,0)</f>
        <v>24</v>
      </c>
    </row>
    <row r="1973" spans="1:13" x14ac:dyDescent="0.3">
      <c r="A1973">
        <v>1321272</v>
      </c>
      <c r="B1973">
        <v>1045</v>
      </c>
      <c r="C1973" s="1" t="s">
        <v>104</v>
      </c>
      <c r="D1973" s="7">
        <v>45134</v>
      </c>
      <c r="E1973" s="11">
        <v>36781</v>
      </c>
      <c r="F1973" s="15">
        <f t="shared" si="90"/>
        <v>7</v>
      </c>
      <c r="G1973" s="10" t="str">
        <f t="shared" si="91"/>
        <v>Thursday</v>
      </c>
      <c r="H1973" s="9" t="str">
        <f t="shared" si="92"/>
        <v>July</v>
      </c>
      <c r="I1973" t="s">
        <v>96</v>
      </c>
      <c r="J1973" t="s">
        <v>70</v>
      </c>
      <c r="K1973">
        <v>4967</v>
      </c>
      <c r="L1973" s="5" t="str">
        <f>IF(OR(K1973&lt;Answers!$C$16,Orders!K1973&gt;Answers!$C$17),"Yes","No")</f>
        <v>No</v>
      </c>
      <c r="M1973" s="14">
        <f>VLOOKUP(B1973,Customers!$A$1:$E$2501,4,0)</f>
        <v>19</v>
      </c>
    </row>
    <row r="1974" spans="1:13" x14ac:dyDescent="0.3">
      <c r="A1974">
        <v>1322635</v>
      </c>
      <c r="B1974">
        <v>481</v>
      </c>
      <c r="C1974" s="1" t="s">
        <v>100</v>
      </c>
      <c r="D1974" s="7">
        <v>44982</v>
      </c>
      <c r="E1974" s="11">
        <v>0.49027777777777776</v>
      </c>
      <c r="F1974" s="15">
        <f t="shared" si="90"/>
        <v>2</v>
      </c>
      <c r="G1974" s="10" t="str">
        <f t="shared" si="91"/>
        <v>Saturday</v>
      </c>
      <c r="H1974" s="9" t="str">
        <f t="shared" si="92"/>
        <v>February</v>
      </c>
      <c r="I1974" t="s">
        <v>190</v>
      </c>
      <c r="J1974" t="s">
        <v>42</v>
      </c>
      <c r="K1974">
        <v>1854</v>
      </c>
      <c r="L1974" s="5" t="str">
        <f>IF(OR(K1974&lt;Answers!$C$16,Orders!K1974&gt;Answers!$C$17),"Yes","No")</f>
        <v>No</v>
      </c>
      <c r="M1974" s="14">
        <f>VLOOKUP(B1974,Customers!$A$1:$E$2501,4,0)</f>
        <v>49</v>
      </c>
    </row>
    <row r="1975" spans="1:13" x14ac:dyDescent="0.3">
      <c r="A1975">
        <v>1323847</v>
      </c>
      <c r="B1975">
        <v>1742</v>
      </c>
      <c r="C1975" s="1" t="s">
        <v>98</v>
      </c>
      <c r="D1975" s="7">
        <v>45037</v>
      </c>
      <c r="E1975" s="11">
        <v>6.7361111111111108E-2</v>
      </c>
      <c r="F1975" s="15">
        <f t="shared" si="90"/>
        <v>4</v>
      </c>
      <c r="G1975" s="10" t="str">
        <f t="shared" si="91"/>
        <v>Friday</v>
      </c>
      <c r="H1975" s="9" t="str">
        <f t="shared" si="92"/>
        <v>April</v>
      </c>
      <c r="I1975" t="s">
        <v>190</v>
      </c>
      <c r="J1975" t="s">
        <v>44</v>
      </c>
      <c r="K1975">
        <v>4644</v>
      </c>
      <c r="L1975" s="5" t="str">
        <f>IF(OR(K1975&lt;Answers!$C$16,Orders!K1975&gt;Answers!$C$17),"Yes","No")</f>
        <v>No</v>
      </c>
      <c r="M1975" s="14">
        <f>VLOOKUP(B1975,Customers!$A$1:$E$2501,4,0)</f>
        <v>49</v>
      </c>
    </row>
    <row r="1976" spans="1:13" x14ac:dyDescent="0.3">
      <c r="A1976">
        <v>1325889</v>
      </c>
      <c r="B1976">
        <v>399</v>
      </c>
      <c r="C1976" s="1" t="s">
        <v>112</v>
      </c>
      <c r="D1976" s="7">
        <v>45110</v>
      </c>
      <c r="E1976" s="11">
        <v>0.52777777777777779</v>
      </c>
      <c r="F1976" s="15">
        <f t="shared" si="90"/>
        <v>7</v>
      </c>
      <c r="G1976" s="10" t="str">
        <f t="shared" si="91"/>
        <v>Monday</v>
      </c>
      <c r="H1976" s="9" t="str">
        <f t="shared" si="92"/>
        <v>July</v>
      </c>
      <c r="I1976" t="s">
        <v>190</v>
      </c>
      <c r="J1976" t="s">
        <v>57</v>
      </c>
      <c r="K1976">
        <v>4141</v>
      </c>
      <c r="L1976" s="5" t="str">
        <f>IF(OR(K1976&lt;Answers!$C$16,Orders!K1976&gt;Answers!$C$17),"Yes","No")</f>
        <v>No</v>
      </c>
      <c r="M1976" s="14">
        <f>VLOOKUP(B1976,Customers!$A$1:$E$2501,4,0)</f>
        <v>83</v>
      </c>
    </row>
    <row r="1977" spans="1:13" x14ac:dyDescent="0.3">
      <c r="A1977">
        <v>1326076</v>
      </c>
      <c r="B1977">
        <v>1939</v>
      </c>
      <c r="C1977" s="1" t="s">
        <v>98</v>
      </c>
      <c r="D1977" s="7">
        <v>45008</v>
      </c>
      <c r="E1977" s="11">
        <v>0.53749999999999998</v>
      </c>
      <c r="F1977" s="15">
        <f t="shared" si="90"/>
        <v>3</v>
      </c>
      <c r="G1977" s="10" t="str">
        <f t="shared" si="91"/>
        <v>Thursday</v>
      </c>
      <c r="H1977" s="9" t="str">
        <f t="shared" si="92"/>
        <v>March</v>
      </c>
      <c r="I1977" t="s">
        <v>96</v>
      </c>
      <c r="J1977" t="s">
        <v>66</v>
      </c>
      <c r="K1977">
        <v>9937</v>
      </c>
      <c r="L1977" s="5" t="str">
        <f>IF(OR(K1977&lt;Answers!$C$16,Orders!K1977&gt;Answers!$C$17),"Yes","No")</f>
        <v>No</v>
      </c>
      <c r="M1977" s="14">
        <f>VLOOKUP(B1977,Customers!$A$1:$E$2501,4,0)</f>
        <v>44</v>
      </c>
    </row>
    <row r="1978" spans="1:13" x14ac:dyDescent="0.3">
      <c r="A1978">
        <v>1329378</v>
      </c>
      <c r="B1978">
        <v>985</v>
      </c>
      <c r="C1978" s="1" t="s">
        <v>98</v>
      </c>
      <c r="D1978" s="7">
        <v>44967</v>
      </c>
      <c r="E1978" s="11">
        <v>0.48125000000000001</v>
      </c>
      <c r="F1978" s="15">
        <f t="shared" si="90"/>
        <v>2</v>
      </c>
      <c r="G1978" s="10" t="str">
        <f t="shared" si="91"/>
        <v>Friday</v>
      </c>
      <c r="H1978" s="9" t="str">
        <f t="shared" si="92"/>
        <v>February</v>
      </c>
      <c r="I1978" t="s">
        <v>97</v>
      </c>
      <c r="J1978" t="s">
        <v>10</v>
      </c>
      <c r="K1978">
        <v>5704</v>
      </c>
      <c r="L1978" s="5" t="str">
        <f>IF(OR(K1978&lt;Answers!$C$16,Orders!K1978&gt;Answers!$C$17),"Yes","No")</f>
        <v>No</v>
      </c>
      <c r="M1978" s="14">
        <f>VLOOKUP(B1978,Customers!$A$1:$E$2501,4,0)</f>
        <v>69</v>
      </c>
    </row>
    <row r="1979" spans="1:13" x14ac:dyDescent="0.3">
      <c r="A1979">
        <v>1330979</v>
      </c>
      <c r="B1979">
        <v>546</v>
      </c>
      <c r="C1979" s="1" t="s">
        <v>98</v>
      </c>
      <c r="D1979" s="7">
        <v>44929</v>
      </c>
      <c r="E1979" s="11">
        <v>0.48125000000000001</v>
      </c>
      <c r="F1979" s="15">
        <f t="shared" si="90"/>
        <v>1</v>
      </c>
      <c r="G1979" s="10" t="str">
        <f t="shared" si="91"/>
        <v>Tuesday</v>
      </c>
      <c r="H1979" s="9" t="str">
        <f t="shared" si="92"/>
        <v>January</v>
      </c>
      <c r="I1979" t="s">
        <v>96</v>
      </c>
      <c r="J1979" t="s">
        <v>43</v>
      </c>
      <c r="K1979">
        <v>4461</v>
      </c>
      <c r="L1979" s="5" t="str">
        <f>IF(OR(K1979&lt;Answers!$C$16,Orders!K1979&gt;Answers!$C$17),"Yes","No")</f>
        <v>No</v>
      </c>
      <c r="M1979" s="14">
        <f>VLOOKUP(B1979,Customers!$A$1:$E$2501,4,0)</f>
        <v>57</v>
      </c>
    </row>
    <row r="1980" spans="1:13" x14ac:dyDescent="0.3">
      <c r="A1980">
        <v>1331311</v>
      </c>
      <c r="B1980">
        <v>106</v>
      </c>
      <c r="C1980" s="1" t="s">
        <v>100</v>
      </c>
      <c r="D1980" s="7">
        <v>44933</v>
      </c>
      <c r="E1980" s="11">
        <v>0.53333333333333333</v>
      </c>
      <c r="F1980" s="15">
        <f t="shared" si="90"/>
        <v>1</v>
      </c>
      <c r="G1980" s="10" t="str">
        <f t="shared" si="91"/>
        <v>Saturday</v>
      </c>
      <c r="H1980" s="9" t="str">
        <f t="shared" si="92"/>
        <v>January</v>
      </c>
      <c r="I1980" t="s">
        <v>190</v>
      </c>
      <c r="J1980" t="s">
        <v>26</v>
      </c>
      <c r="K1980">
        <v>1909</v>
      </c>
      <c r="L1980" s="5" t="str">
        <f>IF(OR(K1980&lt;Answers!$C$16,Orders!K1980&gt;Answers!$C$17),"Yes","No")</f>
        <v>No</v>
      </c>
      <c r="M1980" s="14">
        <f>VLOOKUP(B1980,Customers!$A$1:$E$2501,4,0)</f>
        <v>40</v>
      </c>
    </row>
    <row r="1981" spans="1:13" x14ac:dyDescent="0.3">
      <c r="A1981">
        <v>1332449</v>
      </c>
      <c r="B1981">
        <v>1433</v>
      </c>
      <c r="C1981" s="1" t="s">
        <v>100</v>
      </c>
      <c r="D1981" s="7">
        <v>45269</v>
      </c>
      <c r="E1981" s="11">
        <v>0.52638888888888891</v>
      </c>
      <c r="F1981" s="15">
        <f t="shared" si="90"/>
        <v>12</v>
      </c>
      <c r="G1981" s="10" t="str">
        <f t="shared" si="91"/>
        <v>Saturday</v>
      </c>
      <c r="H1981" s="9" t="str">
        <f t="shared" si="92"/>
        <v>December</v>
      </c>
      <c r="I1981" t="s">
        <v>96</v>
      </c>
      <c r="J1981" t="s">
        <v>26</v>
      </c>
      <c r="K1981">
        <v>4463</v>
      </c>
      <c r="L1981" s="5" t="str">
        <f>IF(OR(K1981&lt;Answers!$C$16,Orders!K1981&gt;Answers!$C$17),"Yes","No")</f>
        <v>No</v>
      </c>
      <c r="M1981" s="14">
        <f>VLOOKUP(B1981,Customers!$A$1:$E$2501,4,0)</f>
        <v>28</v>
      </c>
    </row>
    <row r="1982" spans="1:13" x14ac:dyDescent="0.3">
      <c r="A1982">
        <v>1334431</v>
      </c>
      <c r="B1982">
        <v>522</v>
      </c>
      <c r="C1982" s="1" t="s">
        <v>98</v>
      </c>
      <c r="D1982" s="7">
        <v>45195</v>
      </c>
      <c r="E1982" s="11">
        <v>0.52916666666666667</v>
      </c>
      <c r="F1982" s="15">
        <f t="shared" si="90"/>
        <v>9</v>
      </c>
      <c r="G1982" s="10" t="str">
        <f t="shared" si="91"/>
        <v>Tuesday</v>
      </c>
      <c r="H1982" s="9" t="str">
        <f t="shared" si="92"/>
        <v>September</v>
      </c>
      <c r="I1982" t="s">
        <v>190</v>
      </c>
      <c r="J1982" t="s">
        <v>72</v>
      </c>
      <c r="K1982">
        <v>6918</v>
      </c>
      <c r="L1982" s="5" t="str">
        <f>IF(OR(K1982&lt;Answers!$C$16,Orders!K1982&gt;Answers!$C$17),"Yes","No")</f>
        <v>No</v>
      </c>
      <c r="M1982" s="14">
        <f>VLOOKUP(B1982,Customers!$A$1:$E$2501,4,0)</f>
        <v>77</v>
      </c>
    </row>
    <row r="1983" spans="1:13" x14ac:dyDescent="0.3">
      <c r="A1983">
        <v>1335084</v>
      </c>
      <c r="B1983">
        <v>1170</v>
      </c>
      <c r="C1983" s="1" t="s">
        <v>108</v>
      </c>
      <c r="D1983" s="7">
        <v>45128</v>
      </c>
      <c r="E1983" s="11">
        <v>0.52569444444444446</v>
      </c>
      <c r="F1983" s="15">
        <f t="shared" si="90"/>
        <v>7</v>
      </c>
      <c r="G1983" s="10" t="str">
        <f t="shared" si="91"/>
        <v>Friday</v>
      </c>
      <c r="H1983" s="9" t="str">
        <f t="shared" si="92"/>
        <v>July</v>
      </c>
      <c r="I1983" t="s">
        <v>190</v>
      </c>
      <c r="J1983" t="s">
        <v>63</v>
      </c>
      <c r="K1983">
        <v>5783</v>
      </c>
      <c r="L1983" s="5" t="str">
        <f>IF(OR(K1983&lt;Answers!$C$16,Orders!K1983&gt;Answers!$C$17),"Yes","No")</f>
        <v>No</v>
      </c>
      <c r="M1983" s="14">
        <f>VLOOKUP(B1983,Customers!$A$1:$E$2501,4,0)</f>
        <v>65</v>
      </c>
    </row>
    <row r="1984" spans="1:13" x14ac:dyDescent="0.3">
      <c r="A1984">
        <v>1335543</v>
      </c>
      <c r="B1984">
        <v>1191</v>
      </c>
      <c r="C1984" s="1" t="s">
        <v>100</v>
      </c>
      <c r="D1984" s="7">
        <v>44959</v>
      </c>
      <c r="E1984" s="11">
        <v>0.53749999999999998</v>
      </c>
      <c r="F1984" s="15">
        <f t="shared" si="90"/>
        <v>2</v>
      </c>
      <c r="G1984" s="10" t="str">
        <f t="shared" si="91"/>
        <v>Thursday</v>
      </c>
      <c r="H1984" s="9" t="str">
        <f t="shared" si="92"/>
        <v>February</v>
      </c>
      <c r="I1984" t="s">
        <v>97</v>
      </c>
      <c r="J1984" t="s">
        <v>25</v>
      </c>
      <c r="K1984">
        <v>2295</v>
      </c>
      <c r="L1984" s="5" t="str">
        <f>IF(OR(K1984&lt;Answers!$C$16,Orders!K1984&gt;Answers!$C$17),"Yes","No")</f>
        <v>No</v>
      </c>
      <c r="M1984" s="14">
        <f>VLOOKUP(B1984,Customers!$A$1:$E$2501,4,0)</f>
        <v>48</v>
      </c>
    </row>
    <row r="1985" spans="1:13" x14ac:dyDescent="0.3">
      <c r="A1985">
        <v>1335910</v>
      </c>
      <c r="B1985">
        <v>902</v>
      </c>
      <c r="C1985" s="1" t="s">
        <v>98</v>
      </c>
      <c r="D1985" s="7">
        <v>45278</v>
      </c>
      <c r="E1985" s="11">
        <v>0.47638888888888886</v>
      </c>
      <c r="F1985" s="15">
        <f t="shared" si="90"/>
        <v>12</v>
      </c>
      <c r="G1985" s="10" t="str">
        <f t="shared" si="91"/>
        <v>Monday</v>
      </c>
      <c r="H1985" s="9" t="str">
        <f t="shared" si="92"/>
        <v>December</v>
      </c>
      <c r="I1985" t="s">
        <v>95</v>
      </c>
      <c r="J1985" t="s">
        <v>73</v>
      </c>
      <c r="K1985">
        <v>355</v>
      </c>
      <c r="L1985" s="5" t="str">
        <f>IF(OR(K1985&lt;Answers!$C$16,Orders!K1985&gt;Answers!$C$17),"Yes","No")</f>
        <v>No</v>
      </c>
      <c r="M1985" s="14">
        <f>VLOOKUP(B1985,Customers!$A$1:$E$2501,4,0)</f>
        <v>82</v>
      </c>
    </row>
    <row r="1986" spans="1:13" x14ac:dyDescent="0.3">
      <c r="A1986">
        <v>1335994</v>
      </c>
      <c r="B1986">
        <v>1510</v>
      </c>
      <c r="C1986" s="1" t="s">
        <v>102</v>
      </c>
      <c r="D1986" s="7">
        <v>45276</v>
      </c>
      <c r="E1986" s="11">
        <v>0.5180555555555556</v>
      </c>
      <c r="F1986" s="15">
        <f t="shared" si="90"/>
        <v>12</v>
      </c>
      <c r="G1986" s="10" t="str">
        <f t="shared" si="91"/>
        <v>Saturday</v>
      </c>
      <c r="H1986" s="9" t="str">
        <f t="shared" si="92"/>
        <v>December</v>
      </c>
      <c r="I1986" t="s">
        <v>190</v>
      </c>
      <c r="J1986" t="s">
        <v>87</v>
      </c>
      <c r="K1986">
        <v>7950</v>
      </c>
      <c r="L1986" s="5" t="str">
        <f>IF(OR(K1986&lt;Answers!$C$16,Orders!K1986&gt;Answers!$C$17),"Yes","No")</f>
        <v>No</v>
      </c>
      <c r="M1986" s="14">
        <f>VLOOKUP(B1986,Customers!$A$1:$E$2501,4,0)</f>
        <v>23</v>
      </c>
    </row>
    <row r="1987" spans="1:13" x14ac:dyDescent="0.3">
      <c r="A1987">
        <v>1336012</v>
      </c>
      <c r="B1987">
        <v>856</v>
      </c>
      <c r="C1987" s="1" t="s">
        <v>98</v>
      </c>
      <c r="D1987" s="7">
        <v>45028</v>
      </c>
      <c r="E1987" s="11">
        <v>0.48541666666666666</v>
      </c>
      <c r="F1987" s="15">
        <f t="shared" ref="F1987:F2050" si="93">MONTH(D1987)</f>
        <v>4</v>
      </c>
      <c r="G1987" s="10" t="str">
        <f t="shared" ref="G1987:G2050" si="94">TEXT(D1987,"dddd")</f>
        <v>Wednesday</v>
      </c>
      <c r="H1987" s="9" t="str">
        <f t="shared" ref="H1987:H2050" si="95">TEXT(D1987,"mmmm")</f>
        <v>April</v>
      </c>
      <c r="I1987" t="s">
        <v>190</v>
      </c>
      <c r="J1987" t="s">
        <v>72</v>
      </c>
      <c r="K1987">
        <v>7915</v>
      </c>
      <c r="L1987" s="5" t="str">
        <f>IF(OR(K1987&lt;Answers!$C$16,Orders!K1987&gt;Answers!$C$17),"Yes","No")</f>
        <v>No</v>
      </c>
      <c r="M1987" s="14">
        <f>VLOOKUP(B1987,Customers!$A$1:$E$2501,4,0)</f>
        <v>59</v>
      </c>
    </row>
    <row r="1988" spans="1:13" x14ac:dyDescent="0.3">
      <c r="A1988">
        <v>1336024</v>
      </c>
      <c r="B1988">
        <v>1011</v>
      </c>
      <c r="C1988" s="1" t="s">
        <v>99</v>
      </c>
      <c r="D1988" s="7">
        <v>45162</v>
      </c>
      <c r="E1988" s="11">
        <v>0.51249999999999996</v>
      </c>
      <c r="F1988" s="15">
        <f t="shared" si="93"/>
        <v>8</v>
      </c>
      <c r="G1988" s="10" t="str">
        <f t="shared" si="94"/>
        <v>Thursday</v>
      </c>
      <c r="H1988" s="9" t="str">
        <f t="shared" si="95"/>
        <v>August</v>
      </c>
      <c r="I1988" t="s">
        <v>95</v>
      </c>
      <c r="J1988" t="s">
        <v>88</v>
      </c>
      <c r="K1988">
        <v>8888</v>
      </c>
      <c r="L1988" s="5" t="str">
        <f>IF(OR(K1988&lt;Answers!$C$16,Orders!K1988&gt;Answers!$C$17),"Yes","No")</f>
        <v>No</v>
      </c>
      <c r="M1988" s="14">
        <f>VLOOKUP(B1988,Customers!$A$1:$E$2501,4,0)</f>
        <v>20</v>
      </c>
    </row>
    <row r="1989" spans="1:13" x14ac:dyDescent="0.3">
      <c r="A1989">
        <v>1336827</v>
      </c>
      <c r="B1989">
        <v>1247</v>
      </c>
      <c r="C1989" s="1" t="s">
        <v>98</v>
      </c>
      <c r="D1989" s="7">
        <v>45033</v>
      </c>
      <c r="E1989" s="11">
        <v>0.48680555555555555</v>
      </c>
      <c r="F1989" s="15">
        <f t="shared" si="93"/>
        <v>4</v>
      </c>
      <c r="G1989" s="10" t="str">
        <f t="shared" si="94"/>
        <v>Monday</v>
      </c>
      <c r="H1989" s="9" t="str">
        <f t="shared" si="95"/>
        <v>April</v>
      </c>
      <c r="I1989" t="s">
        <v>96</v>
      </c>
      <c r="J1989" t="s">
        <v>71</v>
      </c>
      <c r="K1989">
        <v>8526</v>
      </c>
      <c r="L1989" s="5" t="str">
        <f>IF(OR(K1989&lt;Answers!$C$16,Orders!K1989&gt;Answers!$C$17),"Yes","No")</f>
        <v>No</v>
      </c>
      <c r="M1989" s="14">
        <f>VLOOKUP(B1989,Customers!$A$1:$E$2501,4,0)</f>
        <v>24</v>
      </c>
    </row>
    <row r="1990" spans="1:13" x14ac:dyDescent="0.3">
      <c r="A1990">
        <v>1337570</v>
      </c>
      <c r="B1990">
        <v>143</v>
      </c>
      <c r="C1990" s="1" t="s">
        <v>98</v>
      </c>
      <c r="D1990" s="7">
        <v>44963</v>
      </c>
      <c r="E1990" s="11">
        <v>36810</v>
      </c>
      <c r="F1990" s="15">
        <f t="shared" si="93"/>
        <v>2</v>
      </c>
      <c r="G1990" s="10" t="str">
        <f t="shared" si="94"/>
        <v>Monday</v>
      </c>
      <c r="H1990" s="9" t="str">
        <f t="shared" si="95"/>
        <v>February</v>
      </c>
      <c r="I1990" t="s">
        <v>190</v>
      </c>
      <c r="J1990" t="s">
        <v>24</v>
      </c>
      <c r="K1990">
        <v>518</v>
      </c>
      <c r="L1990" s="5" t="str">
        <f>IF(OR(K1990&lt;Answers!$C$16,Orders!K1990&gt;Answers!$C$17),"Yes","No")</f>
        <v>No</v>
      </c>
      <c r="M1990" s="14">
        <f>VLOOKUP(B1990,Customers!$A$1:$E$2501,4,0)</f>
        <v>46</v>
      </c>
    </row>
    <row r="1991" spans="1:13" x14ac:dyDescent="0.3">
      <c r="A1991">
        <v>1337603</v>
      </c>
      <c r="B1991">
        <v>1915</v>
      </c>
      <c r="C1991" s="1" t="s">
        <v>98</v>
      </c>
      <c r="D1991" s="7">
        <v>44968</v>
      </c>
      <c r="E1991" s="11">
        <v>0.51041666666666663</v>
      </c>
      <c r="F1991" s="15">
        <f t="shared" si="93"/>
        <v>2</v>
      </c>
      <c r="G1991" s="10" t="str">
        <f t="shared" si="94"/>
        <v>Saturday</v>
      </c>
      <c r="H1991" s="9" t="str">
        <f t="shared" si="95"/>
        <v>February</v>
      </c>
      <c r="I1991" t="s">
        <v>96</v>
      </c>
      <c r="J1991" t="s">
        <v>48</v>
      </c>
      <c r="K1991">
        <v>5719</v>
      </c>
      <c r="L1991" s="5" t="str">
        <f>IF(OR(K1991&lt;Answers!$C$16,Orders!K1991&gt;Answers!$C$17),"Yes","No")</f>
        <v>No</v>
      </c>
      <c r="M1991" s="14">
        <f>VLOOKUP(B1991,Customers!$A$1:$E$2501,4,0)</f>
        <v>74</v>
      </c>
    </row>
    <row r="1992" spans="1:13" x14ac:dyDescent="0.3">
      <c r="A1992">
        <v>1338945</v>
      </c>
      <c r="B1992">
        <v>627</v>
      </c>
      <c r="C1992" s="1" t="s">
        <v>101</v>
      </c>
      <c r="D1992" s="7">
        <v>44981</v>
      </c>
      <c r="E1992" s="11">
        <v>0.51041666666666663</v>
      </c>
      <c r="F1992" s="15">
        <f t="shared" si="93"/>
        <v>2</v>
      </c>
      <c r="G1992" s="10" t="str">
        <f t="shared" si="94"/>
        <v>Friday</v>
      </c>
      <c r="H1992" s="9" t="str">
        <f t="shared" si="95"/>
        <v>February</v>
      </c>
      <c r="I1992" t="s">
        <v>190</v>
      </c>
      <c r="J1992" t="s">
        <v>13</v>
      </c>
      <c r="K1992">
        <v>4854</v>
      </c>
      <c r="L1992" s="5" t="str">
        <f>IF(OR(K1992&lt;Answers!$C$16,Orders!K1992&gt;Answers!$C$17),"Yes","No")</f>
        <v>No</v>
      </c>
      <c r="M1992" s="14">
        <f>VLOOKUP(B1992,Customers!$A$1:$E$2501,4,0)</f>
        <v>62</v>
      </c>
    </row>
    <row r="1993" spans="1:13" x14ac:dyDescent="0.3">
      <c r="A1993">
        <v>1339556</v>
      </c>
      <c r="B1993">
        <v>1216</v>
      </c>
      <c r="C1993" s="1" t="s">
        <v>100</v>
      </c>
      <c r="D1993" s="7">
        <v>45192</v>
      </c>
      <c r="E1993" s="11">
        <v>5.5555555555555552E-2</v>
      </c>
      <c r="F1993" s="15">
        <f t="shared" si="93"/>
        <v>9</v>
      </c>
      <c r="G1993" s="10" t="str">
        <f t="shared" si="94"/>
        <v>Saturday</v>
      </c>
      <c r="H1993" s="9" t="str">
        <f t="shared" si="95"/>
        <v>September</v>
      </c>
      <c r="I1993" t="s">
        <v>97</v>
      </c>
      <c r="J1993" t="s">
        <v>26</v>
      </c>
      <c r="K1993">
        <v>1757</v>
      </c>
      <c r="L1993" s="5" t="str">
        <f>IF(OR(K1993&lt;Answers!$C$16,Orders!K1993&gt;Answers!$C$17),"Yes","No")</f>
        <v>No</v>
      </c>
      <c r="M1993" s="14">
        <f>VLOOKUP(B1993,Customers!$A$1:$E$2501,4,0)</f>
        <v>63</v>
      </c>
    </row>
    <row r="1994" spans="1:13" x14ac:dyDescent="0.3">
      <c r="A1994">
        <v>1340302</v>
      </c>
      <c r="B1994">
        <v>1142</v>
      </c>
      <c r="C1994" s="1" t="s">
        <v>98</v>
      </c>
      <c r="D1994" s="7">
        <v>45263</v>
      </c>
      <c r="E1994" s="11">
        <v>5.347222222222222E-2</v>
      </c>
      <c r="F1994" s="15">
        <f t="shared" si="93"/>
        <v>12</v>
      </c>
      <c r="G1994" s="10" t="str">
        <f t="shared" si="94"/>
        <v>Sunday</v>
      </c>
      <c r="H1994" s="9" t="str">
        <f t="shared" si="95"/>
        <v>December</v>
      </c>
      <c r="I1994" t="s">
        <v>190</v>
      </c>
      <c r="J1994" t="s">
        <v>76</v>
      </c>
      <c r="K1994">
        <v>9786</v>
      </c>
      <c r="L1994" s="5" t="str">
        <f>IF(OR(K1994&lt;Answers!$C$16,Orders!K1994&gt;Answers!$C$17),"Yes","No")</f>
        <v>No</v>
      </c>
      <c r="M1994" s="14">
        <f>VLOOKUP(B1994,Customers!$A$1:$E$2501,4,0)</f>
        <v>59</v>
      </c>
    </row>
    <row r="1995" spans="1:13" x14ac:dyDescent="0.3">
      <c r="A1995">
        <v>1343250</v>
      </c>
      <c r="B1995">
        <v>681</v>
      </c>
      <c r="C1995" s="1" t="s">
        <v>98</v>
      </c>
      <c r="D1995" s="7">
        <v>45234</v>
      </c>
      <c r="E1995" s="11">
        <v>36567</v>
      </c>
      <c r="F1995" s="15">
        <f t="shared" si="93"/>
        <v>11</v>
      </c>
      <c r="G1995" s="10" t="str">
        <f t="shared" si="94"/>
        <v>Saturday</v>
      </c>
      <c r="H1995" s="9" t="str">
        <f t="shared" si="95"/>
        <v>November</v>
      </c>
      <c r="I1995" t="s">
        <v>96</v>
      </c>
      <c r="J1995" t="s">
        <v>26</v>
      </c>
      <c r="K1995">
        <v>6365</v>
      </c>
      <c r="L1995" s="5" t="str">
        <f>IF(OR(K1995&lt;Answers!$C$16,Orders!K1995&gt;Answers!$C$17),"Yes","No")</f>
        <v>No</v>
      </c>
      <c r="M1995" s="14">
        <f>VLOOKUP(B1995,Customers!$A$1:$E$2501,4,0)</f>
        <v>62</v>
      </c>
    </row>
    <row r="1996" spans="1:13" x14ac:dyDescent="0.3">
      <c r="A1996">
        <v>1343766</v>
      </c>
      <c r="B1996">
        <v>1191</v>
      </c>
      <c r="C1996" s="1" t="s">
        <v>100</v>
      </c>
      <c r="D1996" s="7">
        <v>45037</v>
      </c>
      <c r="E1996" s="11">
        <v>36537</v>
      </c>
      <c r="F1996" s="15">
        <f t="shared" si="93"/>
        <v>4</v>
      </c>
      <c r="G1996" s="10" t="str">
        <f t="shared" si="94"/>
        <v>Friday</v>
      </c>
      <c r="H1996" s="9" t="str">
        <f t="shared" si="95"/>
        <v>April</v>
      </c>
      <c r="I1996" t="s">
        <v>96</v>
      </c>
      <c r="J1996" t="s">
        <v>42</v>
      </c>
      <c r="K1996">
        <v>7282</v>
      </c>
      <c r="L1996" s="5" t="str">
        <f>IF(OR(K1996&lt;Answers!$C$16,Orders!K1996&gt;Answers!$C$17),"Yes","No")</f>
        <v>No</v>
      </c>
      <c r="M1996" s="14">
        <f>VLOOKUP(B1996,Customers!$A$1:$E$2501,4,0)</f>
        <v>48</v>
      </c>
    </row>
    <row r="1997" spans="1:13" x14ac:dyDescent="0.3">
      <c r="A1997">
        <v>1343925</v>
      </c>
      <c r="B1997">
        <v>1400</v>
      </c>
      <c r="C1997" s="1" t="s">
        <v>98</v>
      </c>
      <c r="D1997" s="7">
        <v>45016</v>
      </c>
      <c r="E1997" s="11">
        <v>0.53472222222222221</v>
      </c>
      <c r="F1997" s="15">
        <f t="shared" si="93"/>
        <v>3</v>
      </c>
      <c r="G1997" s="10" t="str">
        <f t="shared" si="94"/>
        <v>Friday</v>
      </c>
      <c r="H1997" s="9" t="str">
        <f t="shared" si="95"/>
        <v>March</v>
      </c>
      <c r="I1997" t="s">
        <v>97</v>
      </c>
      <c r="J1997" t="s">
        <v>86</v>
      </c>
      <c r="K1997">
        <v>9178</v>
      </c>
      <c r="L1997" s="5" t="str">
        <f>IF(OR(K1997&lt;Answers!$C$16,Orders!K1997&gt;Answers!$C$17),"Yes","No")</f>
        <v>No</v>
      </c>
      <c r="M1997" s="14">
        <f>VLOOKUP(B1997,Customers!$A$1:$E$2501,4,0)</f>
        <v>34</v>
      </c>
    </row>
    <row r="1998" spans="1:13" x14ac:dyDescent="0.3">
      <c r="A1998">
        <v>1343941</v>
      </c>
      <c r="B1998">
        <v>135</v>
      </c>
      <c r="C1998" s="1" t="s">
        <v>104</v>
      </c>
      <c r="D1998" s="7">
        <v>45147</v>
      </c>
      <c r="E1998" s="11">
        <v>0.46805555555555556</v>
      </c>
      <c r="F1998" s="15">
        <f t="shared" si="93"/>
        <v>8</v>
      </c>
      <c r="G1998" s="10" t="str">
        <f t="shared" si="94"/>
        <v>Wednesday</v>
      </c>
      <c r="H1998" s="9" t="str">
        <f t="shared" si="95"/>
        <v>August</v>
      </c>
      <c r="I1998" t="s">
        <v>95</v>
      </c>
      <c r="J1998" t="s">
        <v>22</v>
      </c>
      <c r="K1998">
        <v>6934</v>
      </c>
      <c r="L1998" s="5" t="str">
        <f>IF(OR(K1998&lt;Answers!$C$16,Orders!K1998&gt;Answers!$C$17),"Yes","No")</f>
        <v>No</v>
      </c>
      <c r="M1998" s="14">
        <f>VLOOKUP(B1998,Customers!$A$1:$E$2501,4,0)</f>
        <v>27</v>
      </c>
    </row>
    <row r="1999" spans="1:13" x14ac:dyDescent="0.3">
      <c r="A1999">
        <v>1345016</v>
      </c>
      <c r="B1999">
        <v>1994</v>
      </c>
      <c r="C1999" s="1" t="s">
        <v>105</v>
      </c>
      <c r="D1999" s="7">
        <v>44972</v>
      </c>
      <c r="E1999" s="11">
        <v>0.48402777777777778</v>
      </c>
      <c r="F1999" s="15">
        <f t="shared" si="93"/>
        <v>2</v>
      </c>
      <c r="G1999" s="10" t="str">
        <f t="shared" si="94"/>
        <v>Wednesday</v>
      </c>
      <c r="H1999" s="9" t="str">
        <f t="shared" si="95"/>
        <v>February</v>
      </c>
      <c r="I1999" t="s">
        <v>97</v>
      </c>
      <c r="J1999" t="s">
        <v>89</v>
      </c>
      <c r="K1999">
        <v>9058</v>
      </c>
      <c r="L1999" s="5" t="str">
        <f>IF(OR(K1999&lt;Answers!$C$16,Orders!K1999&gt;Answers!$C$17),"Yes","No")</f>
        <v>No</v>
      </c>
      <c r="M1999" s="14">
        <f>VLOOKUP(B1999,Customers!$A$1:$E$2501,4,0)</f>
        <v>43</v>
      </c>
    </row>
    <row r="2000" spans="1:13" x14ac:dyDescent="0.3">
      <c r="A2000">
        <v>1346080</v>
      </c>
      <c r="B2000">
        <v>254</v>
      </c>
      <c r="C2000" s="1" t="s">
        <v>99</v>
      </c>
      <c r="D2000" s="7">
        <v>45193</v>
      </c>
      <c r="E2000" s="11">
        <v>0.48194444444444445</v>
      </c>
      <c r="F2000" s="15">
        <f t="shared" si="93"/>
        <v>9</v>
      </c>
      <c r="G2000" s="10" t="str">
        <f t="shared" si="94"/>
        <v>Sunday</v>
      </c>
      <c r="H2000" s="9" t="str">
        <f t="shared" si="95"/>
        <v>September</v>
      </c>
      <c r="I2000" t="s">
        <v>95</v>
      </c>
      <c r="J2000" t="s">
        <v>22</v>
      </c>
      <c r="K2000">
        <v>9148</v>
      </c>
      <c r="L2000" s="5" t="str">
        <f>IF(OR(K2000&lt;Answers!$C$16,Orders!K2000&gt;Answers!$C$17),"Yes","No")</f>
        <v>No</v>
      </c>
      <c r="M2000" s="14">
        <f>VLOOKUP(B2000,Customers!$A$1:$E$2501,4,0)</f>
        <v>88</v>
      </c>
    </row>
    <row r="2001" spans="1:13" x14ac:dyDescent="0.3">
      <c r="A2001">
        <v>1347158</v>
      </c>
      <c r="B2001">
        <v>621</v>
      </c>
      <c r="C2001" s="1" t="s">
        <v>98</v>
      </c>
      <c r="D2001" s="7">
        <v>45161</v>
      </c>
      <c r="E2001" s="11">
        <v>0.47569444444444442</v>
      </c>
      <c r="F2001" s="15">
        <f t="shared" si="93"/>
        <v>8</v>
      </c>
      <c r="G2001" s="10" t="str">
        <f t="shared" si="94"/>
        <v>Wednesday</v>
      </c>
      <c r="H2001" s="9" t="str">
        <f t="shared" si="95"/>
        <v>August</v>
      </c>
      <c r="I2001" t="s">
        <v>97</v>
      </c>
      <c r="J2001" t="s">
        <v>91</v>
      </c>
      <c r="K2001">
        <v>468</v>
      </c>
      <c r="L2001" s="5" t="str">
        <f>IF(OR(K2001&lt;Answers!$C$16,Orders!K2001&gt;Answers!$C$17),"Yes","No")</f>
        <v>No</v>
      </c>
      <c r="M2001" s="14">
        <f>VLOOKUP(B2001,Customers!$A$1:$E$2501,4,0)</f>
        <v>50</v>
      </c>
    </row>
    <row r="2002" spans="1:13" x14ac:dyDescent="0.3">
      <c r="A2002">
        <v>1347250</v>
      </c>
      <c r="B2002">
        <v>1624</v>
      </c>
      <c r="C2002" s="1" t="s">
        <v>98</v>
      </c>
      <c r="D2002" s="7">
        <v>45089</v>
      </c>
      <c r="E2002" s="11">
        <v>0.53472222222222221</v>
      </c>
      <c r="F2002" s="15">
        <f t="shared" si="93"/>
        <v>6</v>
      </c>
      <c r="G2002" s="10" t="str">
        <f t="shared" si="94"/>
        <v>Monday</v>
      </c>
      <c r="H2002" s="9" t="str">
        <f t="shared" si="95"/>
        <v>June</v>
      </c>
      <c r="I2002" t="s">
        <v>96</v>
      </c>
      <c r="J2002" t="s">
        <v>53</v>
      </c>
      <c r="K2002">
        <v>3030</v>
      </c>
      <c r="L2002" s="5" t="str">
        <f>IF(OR(K2002&lt;Answers!$C$16,Orders!K2002&gt;Answers!$C$17),"Yes","No")</f>
        <v>No</v>
      </c>
      <c r="M2002" s="14">
        <f>VLOOKUP(B2002,Customers!$A$1:$E$2501,4,0)</f>
        <v>32</v>
      </c>
    </row>
    <row r="2003" spans="1:13" x14ac:dyDescent="0.3">
      <c r="A2003">
        <v>1347720</v>
      </c>
      <c r="B2003">
        <v>82</v>
      </c>
      <c r="C2003" s="1" t="s">
        <v>104</v>
      </c>
      <c r="D2003" s="7">
        <v>45274</v>
      </c>
      <c r="E2003" s="11">
        <v>0.4861111111111111</v>
      </c>
      <c r="F2003" s="15">
        <f t="shared" si="93"/>
        <v>12</v>
      </c>
      <c r="G2003" s="10" t="str">
        <f t="shared" si="94"/>
        <v>Thursday</v>
      </c>
      <c r="H2003" s="9" t="str">
        <f t="shared" si="95"/>
        <v>December</v>
      </c>
      <c r="I2003" t="s">
        <v>95</v>
      </c>
      <c r="J2003" t="s">
        <v>19</v>
      </c>
      <c r="K2003">
        <v>6776</v>
      </c>
      <c r="L2003" s="5" t="str">
        <f>IF(OR(K2003&lt;Answers!$C$16,Orders!K2003&gt;Answers!$C$17),"Yes","No")</f>
        <v>No</v>
      </c>
      <c r="M2003" s="14">
        <f>VLOOKUP(B2003,Customers!$A$1:$E$2501,4,0)</f>
        <v>28</v>
      </c>
    </row>
    <row r="2004" spans="1:13" x14ac:dyDescent="0.3">
      <c r="A2004">
        <v>1347929</v>
      </c>
      <c r="B2004">
        <v>105</v>
      </c>
      <c r="C2004" s="1" t="s">
        <v>98</v>
      </c>
      <c r="D2004" s="7">
        <v>44973</v>
      </c>
      <c r="E2004" s="11">
        <v>0.51458333333333328</v>
      </c>
      <c r="F2004" s="15">
        <f t="shared" si="93"/>
        <v>2</v>
      </c>
      <c r="G2004" s="10" t="str">
        <f t="shared" si="94"/>
        <v>Thursday</v>
      </c>
      <c r="H2004" s="9" t="str">
        <f t="shared" si="95"/>
        <v>February</v>
      </c>
      <c r="I2004" t="s">
        <v>97</v>
      </c>
      <c r="J2004" t="s">
        <v>8</v>
      </c>
      <c r="K2004">
        <v>5624</v>
      </c>
      <c r="L2004" s="5" t="str">
        <f>IF(OR(K2004&lt;Answers!$C$16,Orders!K2004&gt;Answers!$C$17),"Yes","No")</f>
        <v>No</v>
      </c>
      <c r="M2004" s="14">
        <f>VLOOKUP(B2004,Customers!$A$1:$E$2501,4,0)</f>
        <v>80</v>
      </c>
    </row>
    <row r="2005" spans="1:13" x14ac:dyDescent="0.3">
      <c r="A2005">
        <v>1348880</v>
      </c>
      <c r="B2005">
        <v>735</v>
      </c>
      <c r="C2005" s="1" t="s">
        <v>112</v>
      </c>
      <c r="D2005" s="7">
        <v>44951</v>
      </c>
      <c r="E2005" s="11">
        <v>0.52152777777777781</v>
      </c>
      <c r="F2005" s="15">
        <f t="shared" si="93"/>
        <v>1</v>
      </c>
      <c r="G2005" s="10" t="str">
        <f t="shared" si="94"/>
        <v>Wednesday</v>
      </c>
      <c r="H2005" s="9" t="str">
        <f t="shared" si="95"/>
        <v>January</v>
      </c>
      <c r="I2005" t="s">
        <v>190</v>
      </c>
      <c r="J2005" t="s">
        <v>54</v>
      </c>
      <c r="K2005">
        <v>9491</v>
      </c>
      <c r="L2005" s="5" t="str">
        <f>IF(OR(K2005&lt;Answers!$C$16,Orders!K2005&gt;Answers!$C$17),"Yes","No")</f>
        <v>No</v>
      </c>
      <c r="M2005" s="14">
        <f>VLOOKUP(B2005,Customers!$A$1:$E$2501,4,0)</f>
        <v>42</v>
      </c>
    </row>
    <row r="2006" spans="1:13" x14ac:dyDescent="0.3">
      <c r="A2006">
        <v>1350108</v>
      </c>
      <c r="B2006">
        <v>453</v>
      </c>
      <c r="C2006" s="1" t="s">
        <v>99</v>
      </c>
      <c r="D2006" s="7">
        <v>45027</v>
      </c>
      <c r="E2006" s="11">
        <v>36841</v>
      </c>
      <c r="F2006" s="15">
        <f t="shared" si="93"/>
        <v>4</v>
      </c>
      <c r="G2006" s="10" t="str">
        <f t="shared" si="94"/>
        <v>Tuesday</v>
      </c>
      <c r="H2006" s="9" t="str">
        <f t="shared" si="95"/>
        <v>April</v>
      </c>
      <c r="I2006" t="s">
        <v>97</v>
      </c>
      <c r="J2006" t="s">
        <v>69</v>
      </c>
      <c r="K2006">
        <v>4256</v>
      </c>
      <c r="L2006" s="5" t="str">
        <f>IF(OR(K2006&lt;Answers!$C$16,Orders!K2006&gt;Answers!$C$17),"Yes","No")</f>
        <v>No</v>
      </c>
      <c r="M2006" s="14">
        <f>VLOOKUP(B2006,Customers!$A$1:$E$2501,4,0)</f>
        <v>52</v>
      </c>
    </row>
    <row r="2007" spans="1:13" x14ac:dyDescent="0.3">
      <c r="A2007">
        <v>1350840</v>
      </c>
      <c r="B2007">
        <v>1282</v>
      </c>
      <c r="C2007" s="1" t="s">
        <v>99</v>
      </c>
      <c r="D2007" s="7">
        <v>45108</v>
      </c>
      <c r="E2007" s="11">
        <v>0.45277777777777778</v>
      </c>
      <c r="F2007" s="15">
        <f t="shared" si="93"/>
        <v>7</v>
      </c>
      <c r="G2007" s="10" t="str">
        <f t="shared" si="94"/>
        <v>Saturday</v>
      </c>
      <c r="H2007" s="9" t="str">
        <f t="shared" si="95"/>
        <v>July</v>
      </c>
      <c r="I2007" t="s">
        <v>97</v>
      </c>
      <c r="J2007" t="s">
        <v>47</v>
      </c>
      <c r="K2007">
        <v>6519</v>
      </c>
      <c r="L2007" s="5" t="str">
        <f>IF(OR(K2007&lt;Answers!$C$16,Orders!K2007&gt;Answers!$C$17),"Yes","No")</f>
        <v>No</v>
      </c>
      <c r="M2007" s="14">
        <f>VLOOKUP(B2007,Customers!$A$1:$E$2501,4,0)</f>
        <v>35</v>
      </c>
    </row>
    <row r="2008" spans="1:13" x14ac:dyDescent="0.3">
      <c r="A2008">
        <v>1352087</v>
      </c>
      <c r="B2008">
        <v>1051</v>
      </c>
      <c r="C2008" s="1" t="s">
        <v>104</v>
      </c>
      <c r="D2008" s="7">
        <v>45095</v>
      </c>
      <c r="E2008" s="11">
        <v>0.51597222222222228</v>
      </c>
      <c r="F2008" s="15">
        <f t="shared" si="93"/>
        <v>6</v>
      </c>
      <c r="G2008" s="10" t="str">
        <f t="shared" si="94"/>
        <v>Sunday</v>
      </c>
      <c r="H2008" s="9" t="str">
        <f t="shared" si="95"/>
        <v>June</v>
      </c>
      <c r="I2008" t="s">
        <v>96</v>
      </c>
      <c r="J2008" t="s">
        <v>58</v>
      </c>
      <c r="K2008">
        <v>4016</v>
      </c>
      <c r="L2008" s="5" t="str">
        <f>IF(OR(K2008&lt;Answers!$C$16,Orders!K2008&gt;Answers!$C$17),"Yes","No")</f>
        <v>No</v>
      </c>
      <c r="M2008" s="14">
        <f>VLOOKUP(B2008,Customers!$A$1:$E$2501,4,0)</f>
        <v>36</v>
      </c>
    </row>
    <row r="2009" spans="1:13" x14ac:dyDescent="0.3">
      <c r="A2009">
        <v>1352182</v>
      </c>
      <c r="B2009">
        <v>1238</v>
      </c>
      <c r="C2009" s="1" t="s">
        <v>98</v>
      </c>
      <c r="D2009" s="7">
        <v>45054</v>
      </c>
      <c r="E2009" s="11">
        <v>36800</v>
      </c>
      <c r="F2009" s="15">
        <f t="shared" si="93"/>
        <v>5</v>
      </c>
      <c r="G2009" s="10" t="str">
        <f t="shared" si="94"/>
        <v>Monday</v>
      </c>
      <c r="H2009" s="9" t="str">
        <f t="shared" si="95"/>
        <v>May</v>
      </c>
      <c r="I2009" t="s">
        <v>97</v>
      </c>
      <c r="J2009" t="s">
        <v>60</v>
      </c>
      <c r="K2009">
        <v>2508</v>
      </c>
      <c r="L2009" s="5" t="str">
        <f>IF(OR(K2009&lt;Answers!$C$16,Orders!K2009&gt;Answers!$C$17),"Yes","No")</f>
        <v>No</v>
      </c>
      <c r="M2009" s="14">
        <f>VLOOKUP(B2009,Customers!$A$1:$E$2501,4,0)</f>
        <v>65</v>
      </c>
    </row>
    <row r="2010" spans="1:13" x14ac:dyDescent="0.3">
      <c r="A2010">
        <v>1353569</v>
      </c>
      <c r="B2010">
        <v>276</v>
      </c>
      <c r="C2010" s="1" t="s">
        <v>112</v>
      </c>
      <c r="D2010" s="7">
        <v>45135</v>
      </c>
      <c r="E2010" s="11">
        <v>5.5555555555555552E-2</v>
      </c>
      <c r="F2010" s="15">
        <f t="shared" si="93"/>
        <v>7</v>
      </c>
      <c r="G2010" s="10" t="str">
        <f t="shared" si="94"/>
        <v>Friday</v>
      </c>
      <c r="H2010" s="9" t="str">
        <f t="shared" si="95"/>
        <v>July</v>
      </c>
      <c r="I2010" t="s">
        <v>190</v>
      </c>
      <c r="J2010" t="s">
        <v>64</v>
      </c>
      <c r="K2010">
        <v>7760</v>
      </c>
      <c r="L2010" s="5" t="str">
        <f>IF(OR(K2010&lt;Answers!$C$16,Orders!K2010&gt;Answers!$C$17),"Yes","No")</f>
        <v>No</v>
      </c>
      <c r="M2010" s="14">
        <f>VLOOKUP(B2010,Customers!$A$1:$E$2501,4,0)</f>
        <v>59</v>
      </c>
    </row>
    <row r="2011" spans="1:13" x14ac:dyDescent="0.3">
      <c r="A2011">
        <v>1354438</v>
      </c>
      <c r="B2011">
        <v>1076</v>
      </c>
      <c r="C2011" s="1" t="s">
        <v>112</v>
      </c>
      <c r="D2011" s="7">
        <v>44960</v>
      </c>
      <c r="E2011" s="11">
        <v>0.49027777777777776</v>
      </c>
      <c r="F2011" s="15">
        <f t="shared" si="93"/>
        <v>2</v>
      </c>
      <c r="G2011" s="10" t="str">
        <f t="shared" si="94"/>
        <v>Friday</v>
      </c>
      <c r="H2011" s="9" t="str">
        <f t="shared" si="95"/>
        <v>February</v>
      </c>
      <c r="I2011" t="s">
        <v>96</v>
      </c>
      <c r="J2011" t="s">
        <v>26</v>
      </c>
      <c r="K2011">
        <v>4766</v>
      </c>
      <c r="L2011" s="5" t="str">
        <f>IF(OR(K2011&lt;Answers!$C$16,Orders!K2011&gt;Answers!$C$17),"Yes","No")</f>
        <v>No</v>
      </c>
      <c r="M2011" s="14">
        <f>VLOOKUP(B2011,Customers!$A$1:$E$2501,4,0)</f>
        <v>18</v>
      </c>
    </row>
    <row r="2012" spans="1:13" x14ac:dyDescent="0.3">
      <c r="A2012">
        <v>1354758</v>
      </c>
      <c r="B2012">
        <v>892</v>
      </c>
      <c r="C2012" s="1" t="s">
        <v>98</v>
      </c>
      <c r="D2012" s="7">
        <v>45238</v>
      </c>
      <c r="E2012" s="11">
        <v>36842</v>
      </c>
      <c r="F2012" s="15">
        <f t="shared" si="93"/>
        <v>11</v>
      </c>
      <c r="G2012" s="10" t="str">
        <f t="shared" si="94"/>
        <v>Wednesday</v>
      </c>
      <c r="H2012" s="9" t="str">
        <f t="shared" si="95"/>
        <v>November</v>
      </c>
      <c r="I2012" t="s">
        <v>97</v>
      </c>
      <c r="J2012" t="s">
        <v>17</v>
      </c>
      <c r="K2012">
        <v>4217</v>
      </c>
      <c r="L2012" s="5" t="str">
        <f>IF(OR(K2012&lt;Answers!$C$16,Orders!K2012&gt;Answers!$C$17),"Yes","No")</f>
        <v>No</v>
      </c>
      <c r="M2012" s="14">
        <f>VLOOKUP(B2012,Customers!$A$1:$E$2501,4,0)</f>
        <v>34</v>
      </c>
    </row>
    <row r="2013" spans="1:13" x14ac:dyDescent="0.3">
      <c r="A2013">
        <v>1355256</v>
      </c>
      <c r="B2013">
        <v>332</v>
      </c>
      <c r="C2013" s="1" t="s">
        <v>112</v>
      </c>
      <c r="D2013" s="7">
        <v>44977</v>
      </c>
      <c r="E2013" s="11">
        <v>0.52708333333333335</v>
      </c>
      <c r="F2013" s="15">
        <f t="shared" si="93"/>
        <v>2</v>
      </c>
      <c r="G2013" s="10" t="str">
        <f t="shared" si="94"/>
        <v>Monday</v>
      </c>
      <c r="H2013" s="9" t="str">
        <f t="shared" si="95"/>
        <v>February</v>
      </c>
      <c r="I2013" t="s">
        <v>190</v>
      </c>
      <c r="J2013" t="s">
        <v>88</v>
      </c>
      <c r="K2013">
        <v>2173</v>
      </c>
      <c r="L2013" s="5" t="str">
        <f>IF(OR(K2013&lt;Answers!$C$16,Orders!K2013&gt;Answers!$C$17),"Yes","No")</f>
        <v>No</v>
      </c>
      <c r="M2013" s="14">
        <f>VLOOKUP(B2013,Customers!$A$1:$E$2501,4,0)</f>
        <v>78</v>
      </c>
    </row>
    <row r="2014" spans="1:13" x14ac:dyDescent="0.3">
      <c r="A2014">
        <v>1355679</v>
      </c>
      <c r="B2014">
        <v>1315</v>
      </c>
      <c r="C2014" s="1" t="s">
        <v>98</v>
      </c>
      <c r="D2014" s="7">
        <v>45202</v>
      </c>
      <c r="E2014" s="11">
        <v>36647</v>
      </c>
      <c r="F2014" s="15">
        <f t="shared" si="93"/>
        <v>10</v>
      </c>
      <c r="G2014" s="10" t="str">
        <f t="shared" si="94"/>
        <v>Tuesday</v>
      </c>
      <c r="H2014" s="9" t="str">
        <f t="shared" si="95"/>
        <v>October</v>
      </c>
      <c r="I2014" t="s">
        <v>190</v>
      </c>
      <c r="J2014" t="s">
        <v>92</v>
      </c>
      <c r="K2014">
        <v>8855</v>
      </c>
      <c r="L2014" s="5" t="str">
        <f>IF(OR(K2014&lt;Answers!$C$16,Orders!K2014&gt;Answers!$C$17),"Yes","No")</f>
        <v>No</v>
      </c>
      <c r="M2014" s="14">
        <f>VLOOKUP(B2014,Customers!$A$1:$E$2501,4,0)</f>
        <v>76</v>
      </c>
    </row>
    <row r="2015" spans="1:13" x14ac:dyDescent="0.3">
      <c r="A2015">
        <v>1356717</v>
      </c>
      <c r="B2015">
        <v>59</v>
      </c>
      <c r="C2015" s="1" t="s">
        <v>100</v>
      </c>
      <c r="D2015" s="7">
        <v>44996</v>
      </c>
      <c r="E2015" s="11">
        <v>0.43680555555555556</v>
      </c>
      <c r="F2015" s="15">
        <f t="shared" si="93"/>
        <v>3</v>
      </c>
      <c r="G2015" s="10" t="str">
        <f t="shared" si="94"/>
        <v>Saturday</v>
      </c>
      <c r="H2015" s="9" t="str">
        <f t="shared" si="95"/>
        <v>March</v>
      </c>
      <c r="I2015" t="s">
        <v>96</v>
      </c>
      <c r="J2015" t="s">
        <v>50</v>
      </c>
      <c r="K2015">
        <v>4472</v>
      </c>
      <c r="L2015" s="5" t="str">
        <f>IF(OR(K2015&lt;Answers!$C$16,Orders!K2015&gt;Answers!$C$17),"Yes","No")</f>
        <v>No</v>
      </c>
      <c r="M2015" s="14">
        <f>VLOOKUP(B2015,Customers!$A$1:$E$2501,4,0)</f>
        <v>70</v>
      </c>
    </row>
    <row r="2016" spans="1:13" x14ac:dyDescent="0.3">
      <c r="A2016">
        <v>1357382</v>
      </c>
      <c r="B2016">
        <v>463</v>
      </c>
      <c r="C2016" s="1" t="s">
        <v>108</v>
      </c>
      <c r="D2016" s="7">
        <v>45274</v>
      </c>
      <c r="E2016" s="11">
        <v>7.0833333333333331E-2</v>
      </c>
      <c r="F2016" s="15">
        <f t="shared" si="93"/>
        <v>12</v>
      </c>
      <c r="G2016" s="10" t="str">
        <f t="shared" si="94"/>
        <v>Thursday</v>
      </c>
      <c r="H2016" s="9" t="str">
        <f t="shared" si="95"/>
        <v>December</v>
      </c>
      <c r="I2016" t="s">
        <v>97</v>
      </c>
      <c r="J2016" t="s">
        <v>62</v>
      </c>
      <c r="K2016">
        <v>2708</v>
      </c>
      <c r="L2016" s="5" t="str">
        <f>IF(OR(K2016&lt;Answers!$C$16,Orders!K2016&gt;Answers!$C$17),"Yes","No")</f>
        <v>No</v>
      </c>
      <c r="M2016" s="14">
        <f>VLOOKUP(B2016,Customers!$A$1:$E$2501,4,0)</f>
        <v>55</v>
      </c>
    </row>
    <row r="2017" spans="1:13" x14ac:dyDescent="0.3">
      <c r="A2017">
        <v>1358333</v>
      </c>
      <c r="B2017">
        <v>1755</v>
      </c>
      <c r="C2017" s="1" t="s">
        <v>104</v>
      </c>
      <c r="D2017" s="7">
        <v>45001</v>
      </c>
      <c r="E2017" s="11">
        <v>0.46736111111111112</v>
      </c>
      <c r="F2017" s="15">
        <f t="shared" si="93"/>
        <v>3</v>
      </c>
      <c r="G2017" s="10" t="str">
        <f t="shared" si="94"/>
        <v>Thursday</v>
      </c>
      <c r="H2017" s="9" t="str">
        <f t="shared" si="95"/>
        <v>March</v>
      </c>
      <c r="I2017" t="s">
        <v>96</v>
      </c>
      <c r="J2017" t="s">
        <v>89</v>
      </c>
      <c r="K2017">
        <v>1585</v>
      </c>
      <c r="L2017" s="5" t="str">
        <f>IF(OR(K2017&lt;Answers!$C$16,Orders!K2017&gt;Answers!$C$17),"Yes","No")</f>
        <v>No</v>
      </c>
      <c r="M2017" s="14">
        <f>VLOOKUP(B2017,Customers!$A$1:$E$2501,4,0)</f>
        <v>66</v>
      </c>
    </row>
    <row r="2018" spans="1:13" x14ac:dyDescent="0.3">
      <c r="A2018">
        <v>1358621</v>
      </c>
      <c r="B2018">
        <v>909</v>
      </c>
      <c r="C2018" s="1" t="s">
        <v>112</v>
      </c>
      <c r="D2018" s="7">
        <v>45253</v>
      </c>
      <c r="E2018" s="11">
        <v>0.45277777777777778</v>
      </c>
      <c r="F2018" s="15">
        <f t="shared" si="93"/>
        <v>11</v>
      </c>
      <c r="G2018" s="10" t="str">
        <f t="shared" si="94"/>
        <v>Thursday</v>
      </c>
      <c r="H2018" s="9" t="str">
        <f t="shared" si="95"/>
        <v>November</v>
      </c>
      <c r="I2018" t="s">
        <v>96</v>
      </c>
      <c r="J2018" t="s">
        <v>38</v>
      </c>
      <c r="K2018">
        <v>7200</v>
      </c>
      <c r="L2018" s="5" t="str">
        <f>IF(OR(K2018&lt;Answers!$C$16,Orders!K2018&gt;Answers!$C$17),"Yes","No")</f>
        <v>No</v>
      </c>
      <c r="M2018" s="14">
        <f>VLOOKUP(B2018,Customers!$A$1:$E$2501,4,0)</f>
        <v>71</v>
      </c>
    </row>
    <row r="2019" spans="1:13" x14ac:dyDescent="0.3">
      <c r="A2019">
        <v>1358679</v>
      </c>
      <c r="B2019">
        <v>144</v>
      </c>
      <c r="C2019" s="1" t="s">
        <v>107</v>
      </c>
      <c r="D2019" s="7">
        <v>45011</v>
      </c>
      <c r="E2019" s="11">
        <v>36526</v>
      </c>
      <c r="F2019" s="15">
        <f t="shared" si="93"/>
        <v>3</v>
      </c>
      <c r="G2019" s="10" t="str">
        <f t="shared" si="94"/>
        <v>Sunday</v>
      </c>
      <c r="H2019" s="9" t="str">
        <f t="shared" si="95"/>
        <v>March</v>
      </c>
      <c r="I2019" t="s">
        <v>97</v>
      </c>
      <c r="J2019" t="s">
        <v>52</v>
      </c>
      <c r="K2019">
        <v>3276</v>
      </c>
      <c r="L2019" s="5" t="str">
        <f>IF(OR(K2019&lt;Answers!$C$16,Orders!K2019&gt;Answers!$C$17),"Yes","No")</f>
        <v>No</v>
      </c>
      <c r="M2019" s="14">
        <f>VLOOKUP(B2019,Customers!$A$1:$E$2501,4,0)</f>
        <v>27</v>
      </c>
    </row>
    <row r="2020" spans="1:13" x14ac:dyDescent="0.3">
      <c r="A2020">
        <v>1359265</v>
      </c>
      <c r="B2020">
        <v>1458</v>
      </c>
      <c r="C2020" s="1" t="s">
        <v>99</v>
      </c>
      <c r="D2020" s="7">
        <v>45140</v>
      </c>
      <c r="E2020" s="11">
        <v>0.43958333333333333</v>
      </c>
      <c r="F2020" s="15">
        <f t="shared" si="93"/>
        <v>8</v>
      </c>
      <c r="G2020" s="10" t="str">
        <f t="shared" si="94"/>
        <v>Wednesday</v>
      </c>
      <c r="H2020" s="9" t="str">
        <f t="shared" si="95"/>
        <v>August</v>
      </c>
      <c r="I2020" t="s">
        <v>96</v>
      </c>
      <c r="J2020" t="s">
        <v>23</v>
      </c>
      <c r="K2020">
        <v>7400</v>
      </c>
      <c r="L2020" s="5" t="str">
        <f>IF(OR(K2020&lt;Answers!$C$16,Orders!K2020&gt;Answers!$C$17),"Yes","No")</f>
        <v>No</v>
      </c>
      <c r="M2020" s="14">
        <f>VLOOKUP(B2020,Customers!$A$1:$E$2501,4,0)</f>
        <v>67</v>
      </c>
    </row>
    <row r="2021" spans="1:13" x14ac:dyDescent="0.3">
      <c r="A2021">
        <v>1359304</v>
      </c>
      <c r="B2021">
        <v>1033</v>
      </c>
      <c r="C2021" s="1" t="s">
        <v>112</v>
      </c>
      <c r="D2021" s="7">
        <v>45123</v>
      </c>
      <c r="E2021" s="11">
        <v>0.46944444444444444</v>
      </c>
      <c r="F2021" s="15">
        <f t="shared" si="93"/>
        <v>7</v>
      </c>
      <c r="G2021" s="10" t="str">
        <f t="shared" si="94"/>
        <v>Sunday</v>
      </c>
      <c r="H2021" s="9" t="str">
        <f t="shared" si="95"/>
        <v>July</v>
      </c>
      <c r="I2021" t="s">
        <v>96</v>
      </c>
      <c r="J2021" t="s">
        <v>63</v>
      </c>
      <c r="K2021">
        <v>941</v>
      </c>
      <c r="L2021" s="5" t="str">
        <f>IF(OR(K2021&lt;Answers!$C$16,Orders!K2021&gt;Answers!$C$17),"Yes","No")</f>
        <v>No</v>
      </c>
      <c r="M2021" s="14">
        <f>VLOOKUP(B2021,Customers!$A$1:$E$2501,4,0)</f>
        <v>56</v>
      </c>
    </row>
    <row r="2022" spans="1:13" x14ac:dyDescent="0.3">
      <c r="A2022">
        <v>1359599</v>
      </c>
      <c r="B2022">
        <v>883</v>
      </c>
      <c r="C2022" s="1" t="s">
        <v>98</v>
      </c>
      <c r="D2022" s="7">
        <v>45188</v>
      </c>
      <c r="E2022" s="11">
        <v>36872</v>
      </c>
      <c r="F2022" s="15">
        <f t="shared" si="93"/>
        <v>9</v>
      </c>
      <c r="G2022" s="10" t="str">
        <f t="shared" si="94"/>
        <v>Tuesday</v>
      </c>
      <c r="H2022" s="9" t="str">
        <f t="shared" si="95"/>
        <v>September</v>
      </c>
      <c r="I2022" t="s">
        <v>95</v>
      </c>
      <c r="J2022" t="s">
        <v>26</v>
      </c>
      <c r="K2022">
        <v>2508</v>
      </c>
      <c r="L2022" s="5" t="str">
        <f>IF(OR(K2022&lt;Answers!$C$16,Orders!K2022&gt;Answers!$C$17),"Yes","No")</f>
        <v>No</v>
      </c>
      <c r="M2022" s="14">
        <f>VLOOKUP(B2022,Customers!$A$1:$E$2501,4,0)</f>
        <v>81</v>
      </c>
    </row>
    <row r="2023" spans="1:13" x14ac:dyDescent="0.3">
      <c r="A2023">
        <v>1360263</v>
      </c>
      <c r="B2023">
        <v>1782</v>
      </c>
      <c r="C2023" s="1" t="s">
        <v>104</v>
      </c>
      <c r="D2023" s="7">
        <v>45131</v>
      </c>
      <c r="E2023" s="11">
        <v>0.51180555555555551</v>
      </c>
      <c r="F2023" s="15">
        <f t="shared" si="93"/>
        <v>7</v>
      </c>
      <c r="G2023" s="10" t="str">
        <f t="shared" si="94"/>
        <v>Monday</v>
      </c>
      <c r="H2023" s="9" t="str">
        <f t="shared" si="95"/>
        <v>July</v>
      </c>
      <c r="I2023" t="s">
        <v>190</v>
      </c>
      <c r="J2023" t="s">
        <v>4</v>
      </c>
      <c r="K2023">
        <v>7986</v>
      </c>
      <c r="L2023" s="5" t="str">
        <f>IF(OR(K2023&lt;Answers!$C$16,Orders!K2023&gt;Answers!$C$17),"Yes","No")</f>
        <v>No</v>
      </c>
      <c r="M2023" s="14">
        <f>VLOOKUP(B2023,Customers!$A$1:$E$2501,4,0)</f>
        <v>50</v>
      </c>
    </row>
    <row r="2024" spans="1:13" x14ac:dyDescent="0.3">
      <c r="A2024">
        <v>1360843</v>
      </c>
      <c r="B2024">
        <v>760</v>
      </c>
      <c r="C2024" s="1" t="s">
        <v>112</v>
      </c>
      <c r="D2024" s="7">
        <v>45079</v>
      </c>
      <c r="E2024" s="11">
        <v>0.52361111111111114</v>
      </c>
      <c r="F2024" s="15">
        <f t="shared" si="93"/>
        <v>6</v>
      </c>
      <c r="G2024" s="10" t="str">
        <f t="shared" si="94"/>
        <v>Friday</v>
      </c>
      <c r="H2024" s="9" t="str">
        <f t="shared" si="95"/>
        <v>June</v>
      </c>
      <c r="I2024" t="s">
        <v>97</v>
      </c>
      <c r="J2024" t="s">
        <v>15</v>
      </c>
      <c r="K2024">
        <v>2752</v>
      </c>
      <c r="L2024" s="5" t="str">
        <f>IF(OR(K2024&lt;Answers!$C$16,Orders!K2024&gt;Answers!$C$17),"Yes","No")</f>
        <v>No</v>
      </c>
      <c r="M2024" s="14">
        <f>VLOOKUP(B2024,Customers!$A$1:$E$2501,4,0)</f>
        <v>22</v>
      </c>
    </row>
    <row r="2025" spans="1:13" x14ac:dyDescent="0.3">
      <c r="A2025">
        <v>1361770</v>
      </c>
      <c r="B2025">
        <v>1061</v>
      </c>
      <c r="C2025" s="1" t="s">
        <v>101</v>
      </c>
      <c r="D2025" s="7">
        <v>45042</v>
      </c>
      <c r="E2025" s="11">
        <v>36689</v>
      </c>
      <c r="F2025" s="15">
        <f t="shared" si="93"/>
        <v>4</v>
      </c>
      <c r="G2025" s="10" t="str">
        <f t="shared" si="94"/>
        <v>Wednesday</v>
      </c>
      <c r="H2025" s="9" t="str">
        <f t="shared" si="95"/>
        <v>April</v>
      </c>
      <c r="I2025" t="s">
        <v>96</v>
      </c>
      <c r="J2025" t="s">
        <v>73</v>
      </c>
      <c r="K2025">
        <v>8962</v>
      </c>
      <c r="L2025" s="5" t="str">
        <f>IF(OR(K2025&lt;Answers!$C$16,Orders!K2025&gt;Answers!$C$17),"Yes","No")</f>
        <v>No</v>
      </c>
      <c r="M2025" s="14">
        <f>VLOOKUP(B2025,Customers!$A$1:$E$2501,4,0)</f>
        <v>61</v>
      </c>
    </row>
    <row r="2026" spans="1:13" x14ac:dyDescent="0.3">
      <c r="A2026">
        <v>1361969</v>
      </c>
      <c r="B2026">
        <v>1350</v>
      </c>
      <c r="C2026" s="1" t="s">
        <v>104</v>
      </c>
      <c r="D2026" s="7">
        <v>45051</v>
      </c>
      <c r="E2026" s="11">
        <v>8.3333333333333329E-2</v>
      </c>
      <c r="F2026" s="15">
        <f t="shared" si="93"/>
        <v>5</v>
      </c>
      <c r="G2026" s="10" t="str">
        <f t="shared" si="94"/>
        <v>Friday</v>
      </c>
      <c r="H2026" s="9" t="str">
        <f t="shared" si="95"/>
        <v>May</v>
      </c>
      <c r="I2026" t="s">
        <v>190</v>
      </c>
      <c r="J2026" t="s">
        <v>43</v>
      </c>
      <c r="K2026">
        <v>3695</v>
      </c>
      <c r="L2026" s="5" t="str">
        <f>IF(OR(K2026&lt;Answers!$C$16,Orders!K2026&gt;Answers!$C$17),"Yes","No")</f>
        <v>No</v>
      </c>
      <c r="M2026" s="14">
        <f>VLOOKUP(B2026,Customers!$A$1:$E$2501,4,0)</f>
        <v>51</v>
      </c>
    </row>
    <row r="2027" spans="1:13" x14ac:dyDescent="0.3">
      <c r="A2027">
        <v>1362369</v>
      </c>
      <c r="B2027">
        <v>230</v>
      </c>
      <c r="C2027" s="1" t="s">
        <v>98</v>
      </c>
      <c r="D2027" s="7">
        <v>44931</v>
      </c>
      <c r="E2027" s="11">
        <v>36526</v>
      </c>
      <c r="F2027" s="15">
        <f t="shared" si="93"/>
        <v>1</v>
      </c>
      <c r="G2027" s="10" t="str">
        <f t="shared" si="94"/>
        <v>Thursday</v>
      </c>
      <c r="H2027" s="9" t="str">
        <f t="shared" si="95"/>
        <v>January</v>
      </c>
      <c r="I2027" t="s">
        <v>95</v>
      </c>
      <c r="J2027" t="s">
        <v>80</v>
      </c>
      <c r="K2027">
        <v>9795</v>
      </c>
      <c r="L2027" s="5" t="str">
        <f>IF(OR(K2027&lt;Answers!$C$16,Orders!K2027&gt;Answers!$C$17),"Yes","No")</f>
        <v>No</v>
      </c>
      <c r="M2027" s="14">
        <f>VLOOKUP(B2027,Customers!$A$1:$E$2501,4,0)</f>
        <v>79</v>
      </c>
    </row>
    <row r="2028" spans="1:13" x14ac:dyDescent="0.3">
      <c r="A2028">
        <v>1362785</v>
      </c>
      <c r="B2028">
        <v>61</v>
      </c>
      <c r="C2028" s="1" t="s">
        <v>104</v>
      </c>
      <c r="D2028" s="7">
        <v>45284</v>
      </c>
      <c r="E2028" s="11">
        <v>0.47152777777777777</v>
      </c>
      <c r="F2028" s="15">
        <f t="shared" si="93"/>
        <v>12</v>
      </c>
      <c r="G2028" s="10" t="str">
        <f t="shared" si="94"/>
        <v>Sunday</v>
      </c>
      <c r="H2028" s="9" t="str">
        <f t="shared" si="95"/>
        <v>December</v>
      </c>
      <c r="I2028" t="s">
        <v>95</v>
      </c>
      <c r="J2028" t="s">
        <v>87</v>
      </c>
      <c r="K2028">
        <v>3114</v>
      </c>
      <c r="L2028" s="5" t="str">
        <f>IF(OR(K2028&lt;Answers!$C$16,Orders!K2028&gt;Answers!$C$17),"Yes","No")</f>
        <v>No</v>
      </c>
      <c r="M2028" s="14">
        <f>VLOOKUP(B2028,Customers!$A$1:$E$2501,4,0)</f>
        <v>47</v>
      </c>
    </row>
    <row r="2029" spans="1:13" x14ac:dyDescent="0.3">
      <c r="A2029">
        <v>1365205</v>
      </c>
      <c r="B2029">
        <v>298</v>
      </c>
      <c r="C2029" s="1" t="s">
        <v>104</v>
      </c>
      <c r="D2029" s="7">
        <v>44949</v>
      </c>
      <c r="E2029" s="11">
        <v>0.45763888888888887</v>
      </c>
      <c r="F2029" s="15">
        <f t="shared" si="93"/>
        <v>1</v>
      </c>
      <c r="G2029" s="10" t="str">
        <f t="shared" si="94"/>
        <v>Monday</v>
      </c>
      <c r="H2029" s="9" t="str">
        <f t="shared" si="95"/>
        <v>January</v>
      </c>
      <c r="I2029" t="s">
        <v>97</v>
      </c>
      <c r="J2029" t="s">
        <v>85</v>
      </c>
      <c r="K2029">
        <v>7140</v>
      </c>
      <c r="L2029" s="5" t="str">
        <f>IF(OR(K2029&lt;Answers!$C$16,Orders!K2029&gt;Answers!$C$17),"Yes","No")</f>
        <v>No</v>
      </c>
      <c r="M2029" s="14">
        <f>VLOOKUP(B2029,Customers!$A$1:$E$2501,4,0)</f>
        <v>34</v>
      </c>
    </row>
    <row r="2030" spans="1:13" x14ac:dyDescent="0.3">
      <c r="A2030">
        <v>1365442</v>
      </c>
      <c r="B2030">
        <v>1707</v>
      </c>
      <c r="C2030" s="1" t="s">
        <v>99</v>
      </c>
      <c r="D2030" s="7">
        <v>44999</v>
      </c>
      <c r="E2030" s="11">
        <v>0.51180555555555551</v>
      </c>
      <c r="F2030" s="15">
        <f t="shared" si="93"/>
        <v>3</v>
      </c>
      <c r="G2030" s="10" t="str">
        <f t="shared" si="94"/>
        <v>Tuesday</v>
      </c>
      <c r="H2030" s="9" t="str">
        <f t="shared" si="95"/>
        <v>March</v>
      </c>
      <c r="I2030" t="s">
        <v>95</v>
      </c>
      <c r="J2030" t="s">
        <v>7</v>
      </c>
      <c r="K2030">
        <v>8105</v>
      </c>
      <c r="L2030" s="5" t="str">
        <f>IF(OR(K2030&lt;Answers!$C$16,Orders!K2030&gt;Answers!$C$17),"Yes","No")</f>
        <v>No</v>
      </c>
      <c r="M2030" s="14">
        <f>VLOOKUP(B2030,Customers!$A$1:$E$2501,4,0)</f>
        <v>85</v>
      </c>
    </row>
    <row r="2031" spans="1:13" x14ac:dyDescent="0.3">
      <c r="A2031">
        <v>1365869</v>
      </c>
      <c r="B2031">
        <v>1763</v>
      </c>
      <c r="C2031" s="1" t="s">
        <v>98</v>
      </c>
      <c r="D2031" s="7">
        <v>45217</v>
      </c>
      <c r="E2031" s="11">
        <v>0.45555555555555555</v>
      </c>
      <c r="F2031" s="15">
        <f t="shared" si="93"/>
        <v>10</v>
      </c>
      <c r="G2031" s="10" t="str">
        <f t="shared" si="94"/>
        <v>Wednesday</v>
      </c>
      <c r="H2031" s="9" t="str">
        <f t="shared" si="95"/>
        <v>October</v>
      </c>
      <c r="I2031" t="s">
        <v>96</v>
      </c>
      <c r="J2031" t="s">
        <v>89</v>
      </c>
      <c r="K2031">
        <v>8523</v>
      </c>
      <c r="L2031" s="5" t="str">
        <f>IF(OR(K2031&lt;Answers!$C$16,Orders!K2031&gt;Answers!$C$17),"Yes","No")</f>
        <v>No</v>
      </c>
      <c r="M2031" s="14">
        <f>VLOOKUP(B2031,Customers!$A$1:$E$2501,4,0)</f>
        <v>84</v>
      </c>
    </row>
    <row r="2032" spans="1:13" x14ac:dyDescent="0.3">
      <c r="A2032">
        <v>1366020</v>
      </c>
      <c r="B2032">
        <v>659</v>
      </c>
      <c r="C2032" s="1" t="s">
        <v>100</v>
      </c>
      <c r="D2032" s="7">
        <v>45148</v>
      </c>
      <c r="E2032" s="11">
        <v>0.47222222222222221</v>
      </c>
      <c r="F2032" s="15">
        <f t="shared" si="93"/>
        <v>8</v>
      </c>
      <c r="G2032" s="10" t="str">
        <f t="shared" si="94"/>
        <v>Thursday</v>
      </c>
      <c r="H2032" s="9" t="str">
        <f t="shared" si="95"/>
        <v>August</v>
      </c>
      <c r="I2032" t="s">
        <v>96</v>
      </c>
      <c r="J2032" t="s">
        <v>42</v>
      </c>
      <c r="K2032">
        <v>9989</v>
      </c>
      <c r="L2032" s="5" t="str">
        <f>IF(OR(K2032&lt;Answers!$C$16,Orders!K2032&gt;Answers!$C$17),"Yes","No")</f>
        <v>No</v>
      </c>
      <c r="M2032" s="14">
        <f>VLOOKUP(B2032,Customers!$A$1:$E$2501,4,0)</f>
        <v>61</v>
      </c>
    </row>
    <row r="2033" spans="1:13" x14ac:dyDescent="0.3">
      <c r="A2033">
        <v>1366848</v>
      </c>
      <c r="B2033">
        <v>1433</v>
      </c>
      <c r="C2033" s="1" t="s">
        <v>100</v>
      </c>
      <c r="D2033" s="7">
        <v>45090</v>
      </c>
      <c r="E2033" s="11">
        <v>0.54027777777777775</v>
      </c>
      <c r="F2033" s="15">
        <f t="shared" si="93"/>
        <v>6</v>
      </c>
      <c r="G2033" s="10" t="str">
        <f t="shared" si="94"/>
        <v>Tuesday</v>
      </c>
      <c r="H2033" s="9" t="str">
        <f t="shared" si="95"/>
        <v>June</v>
      </c>
      <c r="I2033" t="s">
        <v>190</v>
      </c>
      <c r="J2033" t="s">
        <v>90</v>
      </c>
      <c r="K2033">
        <v>2562</v>
      </c>
      <c r="L2033" s="5" t="str">
        <f>IF(OR(K2033&lt;Answers!$C$16,Orders!K2033&gt;Answers!$C$17),"Yes","No")</f>
        <v>No</v>
      </c>
      <c r="M2033" s="14">
        <f>VLOOKUP(B2033,Customers!$A$1:$E$2501,4,0)</f>
        <v>28</v>
      </c>
    </row>
    <row r="2034" spans="1:13" x14ac:dyDescent="0.3">
      <c r="A2034">
        <v>1366911</v>
      </c>
      <c r="B2034">
        <v>1017</v>
      </c>
      <c r="C2034" s="1" t="s">
        <v>112</v>
      </c>
      <c r="D2034" s="7">
        <v>45168</v>
      </c>
      <c r="E2034" s="11">
        <v>0.4861111111111111</v>
      </c>
      <c r="F2034" s="15">
        <f t="shared" si="93"/>
        <v>8</v>
      </c>
      <c r="G2034" s="10" t="str">
        <f t="shared" si="94"/>
        <v>Wednesday</v>
      </c>
      <c r="H2034" s="9" t="str">
        <f t="shared" si="95"/>
        <v>August</v>
      </c>
      <c r="I2034" t="s">
        <v>95</v>
      </c>
      <c r="J2034" t="s">
        <v>77</v>
      </c>
      <c r="K2034">
        <v>1302</v>
      </c>
      <c r="L2034" s="5" t="str">
        <f>IF(OR(K2034&lt;Answers!$C$16,Orders!K2034&gt;Answers!$C$17),"Yes","No")</f>
        <v>No</v>
      </c>
      <c r="M2034" s="14">
        <f>VLOOKUP(B2034,Customers!$A$1:$E$2501,4,0)</f>
        <v>38</v>
      </c>
    </row>
    <row r="2035" spans="1:13" x14ac:dyDescent="0.3">
      <c r="A2035">
        <v>1366955</v>
      </c>
      <c r="B2035">
        <v>1529</v>
      </c>
      <c r="C2035" s="1" t="s">
        <v>101</v>
      </c>
      <c r="D2035" s="7">
        <v>45005</v>
      </c>
      <c r="E2035" s="11">
        <v>0.53125</v>
      </c>
      <c r="F2035" s="15">
        <f t="shared" si="93"/>
        <v>3</v>
      </c>
      <c r="G2035" s="10" t="str">
        <f t="shared" si="94"/>
        <v>Monday</v>
      </c>
      <c r="H2035" s="9" t="str">
        <f t="shared" si="95"/>
        <v>March</v>
      </c>
      <c r="I2035" t="s">
        <v>97</v>
      </c>
      <c r="J2035" t="s">
        <v>28</v>
      </c>
      <c r="K2035">
        <v>5336</v>
      </c>
      <c r="L2035" s="5" t="str">
        <f>IF(OR(K2035&lt;Answers!$C$16,Orders!K2035&gt;Answers!$C$17),"Yes","No")</f>
        <v>No</v>
      </c>
      <c r="M2035" s="14">
        <f>VLOOKUP(B2035,Customers!$A$1:$E$2501,4,0)</f>
        <v>27</v>
      </c>
    </row>
    <row r="2036" spans="1:13" x14ac:dyDescent="0.3">
      <c r="A2036">
        <v>1368464</v>
      </c>
      <c r="B2036">
        <v>414</v>
      </c>
      <c r="C2036" s="1" t="s">
        <v>112</v>
      </c>
      <c r="D2036" s="7">
        <v>45252</v>
      </c>
      <c r="E2036" s="11">
        <v>0.53611111111111109</v>
      </c>
      <c r="F2036" s="15">
        <f t="shared" si="93"/>
        <v>11</v>
      </c>
      <c r="G2036" s="10" t="str">
        <f t="shared" si="94"/>
        <v>Wednesday</v>
      </c>
      <c r="H2036" s="9" t="str">
        <f t="shared" si="95"/>
        <v>November</v>
      </c>
      <c r="I2036" t="s">
        <v>95</v>
      </c>
      <c r="J2036" t="s">
        <v>33</v>
      </c>
      <c r="K2036">
        <v>7424</v>
      </c>
      <c r="L2036" s="5" t="str">
        <f>IF(OR(K2036&lt;Answers!$C$16,Orders!K2036&gt;Answers!$C$17),"Yes","No")</f>
        <v>No</v>
      </c>
      <c r="M2036" s="14">
        <f>VLOOKUP(B2036,Customers!$A$1:$E$2501,4,0)</f>
        <v>86</v>
      </c>
    </row>
    <row r="2037" spans="1:13" x14ac:dyDescent="0.3">
      <c r="A2037">
        <v>1369791</v>
      </c>
      <c r="B2037">
        <v>588</v>
      </c>
      <c r="C2037" s="1" t="s">
        <v>106</v>
      </c>
      <c r="D2037" s="7">
        <v>44964</v>
      </c>
      <c r="E2037" s="11">
        <v>36708</v>
      </c>
      <c r="F2037" s="15">
        <f t="shared" si="93"/>
        <v>2</v>
      </c>
      <c r="G2037" s="10" t="str">
        <f t="shared" si="94"/>
        <v>Tuesday</v>
      </c>
      <c r="H2037" s="9" t="str">
        <f t="shared" si="95"/>
        <v>February</v>
      </c>
      <c r="I2037" t="s">
        <v>96</v>
      </c>
      <c r="J2037" t="s">
        <v>82</v>
      </c>
      <c r="K2037">
        <v>6758</v>
      </c>
      <c r="L2037" s="5" t="str">
        <f>IF(OR(K2037&lt;Answers!$C$16,Orders!K2037&gt;Answers!$C$17),"Yes","No")</f>
        <v>No</v>
      </c>
      <c r="M2037" s="14">
        <f>VLOOKUP(B2037,Customers!$A$1:$E$2501,4,0)</f>
        <v>42</v>
      </c>
    </row>
    <row r="2038" spans="1:13" x14ac:dyDescent="0.3">
      <c r="A2038">
        <v>1370327</v>
      </c>
      <c r="B2038">
        <v>374</v>
      </c>
      <c r="C2038" s="1" t="s">
        <v>107</v>
      </c>
      <c r="D2038" s="7">
        <v>45278</v>
      </c>
      <c r="E2038" s="11">
        <v>5.0694444444444445E-2</v>
      </c>
      <c r="F2038" s="15">
        <f t="shared" si="93"/>
        <v>12</v>
      </c>
      <c r="G2038" s="10" t="str">
        <f t="shared" si="94"/>
        <v>Monday</v>
      </c>
      <c r="H2038" s="9" t="str">
        <f t="shared" si="95"/>
        <v>December</v>
      </c>
      <c r="I2038" t="s">
        <v>97</v>
      </c>
      <c r="J2038" t="s">
        <v>39</v>
      </c>
      <c r="K2038">
        <v>9133</v>
      </c>
      <c r="L2038" s="5" t="str">
        <f>IF(OR(K2038&lt;Answers!$C$16,Orders!K2038&gt;Answers!$C$17),"Yes","No")</f>
        <v>No</v>
      </c>
      <c r="M2038" s="14">
        <f>VLOOKUP(B2038,Customers!$A$1:$E$2501,4,0)</f>
        <v>71</v>
      </c>
    </row>
    <row r="2039" spans="1:13" x14ac:dyDescent="0.3">
      <c r="A2039">
        <v>1370775</v>
      </c>
      <c r="B2039">
        <v>462</v>
      </c>
      <c r="C2039" s="1" t="s">
        <v>98</v>
      </c>
      <c r="D2039" s="7">
        <v>45039</v>
      </c>
      <c r="E2039" s="11">
        <v>7.5694444444444439E-2</v>
      </c>
      <c r="F2039" s="15">
        <f t="shared" si="93"/>
        <v>4</v>
      </c>
      <c r="G2039" s="10" t="str">
        <f t="shared" si="94"/>
        <v>Sunday</v>
      </c>
      <c r="H2039" s="9" t="str">
        <f t="shared" si="95"/>
        <v>April</v>
      </c>
      <c r="I2039" t="s">
        <v>97</v>
      </c>
      <c r="J2039" t="s">
        <v>68</v>
      </c>
      <c r="K2039">
        <v>1949</v>
      </c>
      <c r="L2039" s="5" t="str">
        <f>IF(OR(K2039&lt;Answers!$C$16,Orders!K2039&gt;Answers!$C$17),"Yes","No")</f>
        <v>No</v>
      </c>
      <c r="M2039" s="14">
        <f>VLOOKUP(B2039,Customers!$A$1:$E$2501,4,0)</f>
        <v>80</v>
      </c>
    </row>
    <row r="2040" spans="1:13" x14ac:dyDescent="0.3">
      <c r="A2040">
        <v>1371197</v>
      </c>
      <c r="B2040">
        <v>1891</v>
      </c>
      <c r="C2040" s="1" t="s">
        <v>105</v>
      </c>
      <c r="D2040" s="7">
        <v>45013</v>
      </c>
      <c r="E2040" s="11">
        <v>36872</v>
      </c>
      <c r="F2040" s="15">
        <f t="shared" si="93"/>
        <v>3</v>
      </c>
      <c r="G2040" s="10" t="str">
        <f t="shared" si="94"/>
        <v>Tuesday</v>
      </c>
      <c r="H2040" s="9" t="str">
        <f t="shared" si="95"/>
        <v>March</v>
      </c>
      <c r="I2040" t="s">
        <v>96</v>
      </c>
      <c r="J2040" t="s">
        <v>84</v>
      </c>
      <c r="K2040">
        <v>5430</v>
      </c>
      <c r="L2040" s="5" t="str">
        <f>IF(OR(K2040&lt;Answers!$C$16,Orders!K2040&gt;Answers!$C$17),"Yes","No")</f>
        <v>No</v>
      </c>
      <c r="M2040" s="14">
        <f>VLOOKUP(B2040,Customers!$A$1:$E$2501,4,0)</f>
        <v>54</v>
      </c>
    </row>
    <row r="2041" spans="1:13" x14ac:dyDescent="0.3">
      <c r="A2041">
        <v>1371439</v>
      </c>
      <c r="B2041">
        <v>633</v>
      </c>
      <c r="C2041" s="1" t="s">
        <v>99</v>
      </c>
      <c r="D2041" s="7">
        <v>45217</v>
      </c>
      <c r="E2041" s="11">
        <v>36719</v>
      </c>
      <c r="F2041" s="15">
        <f t="shared" si="93"/>
        <v>10</v>
      </c>
      <c r="G2041" s="10" t="str">
        <f t="shared" si="94"/>
        <v>Wednesday</v>
      </c>
      <c r="H2041" s="9" t="str">
        <f t="shared" si="95"/>
        <v>October</v>
      </c>
      <c r="I2041" t="s">
        <v>95</v>
      </c>
      <c r="J2041" t="s">
        <v>42</v>
      </c>
      <c r="K2041">
        <v>4266</v>
      </c>
      <c r="L2041" s="5" t="str">
        <f>IF(OR(K2041&lt;Answers!$C$16,Orders!K2041&gt;Answers!$C$17),"Yes","No")</f>
        <v>No</v>
      </c>
      <c r="M2041" s="14">
        <f>VLOOKUP(B2041,Customers!$A$1:$E$2501,4,0)</f>
        <v>88</v>
      </c>
    </row>
    <row r="2042" spans="1:13" x14ac:dyDescent="0.3">
      <c r="A2042">
        <v>1371917</v>
      </c>
      <c r="B2042">
        <v>1407</v>
      </c>
      <c r="C2042" s="1" t="s">
        <v>98</v>
      </c>
      <c r="D2042" s="7">
        <v>45132</v>
      </c>
      <c r="E2042" s="11">
        <v>0.53402777777777777</v>
      </c>
      <c r="F2042" s="15">
        <f t="shared" si="93"/>
        <v>7</v>
      </c>
      <c r="G2042" s="10" t="str">
        <f t="shared" si="94"/>
        <v>Tuesday</v>
      </c>
      <c r="H2042" s="9" t="str">
        <f t="shared" si="95"/>
        <v>July</v>
      </c>
      <c r="I2042" t="s">
        <v>96</v>
      </c>
      <c r="J2042" t="s">
        <v>80</v>
      </c>
      <c r="K2042">
        <v>7060</v>
      </c>
      <c r="L2042" s="5" t="str">
        <f>IF(OR(K2042&lt;Answers!$C$16,Orders!K2042&gt;Answers!$C$17),"Yes","No")</f>
        <v>No</v>
      </c>
      <c r="M2042" s="14">
        <f>VLOOKUP(B2042,Customers!$A$1:$E$2501,4,0)</f>
        <v>37</v>
      </c>
    </row>
    <row r="2043" spans="1:13" x14ac:dyDescent="0.3">
      <c r="A2043">
        <v>1373309</v>
      </c>
      <c r="B2043">
        <v>718</v>
      </c>
      <c r="C2043" s="1" t="s">
        <v>102</v>
      </c>
      <c r="D2043" s="7">
        <v>45101</v>
      </c>
      <c r="E2043" s="11">
        <v>0.53680555555555554</v>
      </c>
      <c r="F2043" s="15">
        <f t="shared" si="93"/>
        <v>6</v>
      </c>
      <c r="G2043" s="10" t="str">
        <f t="shared" si="94"/>
        <v>Saturday</v>
      </c>
      <c r="H2043" s="9" t="str">
        <f t="shared" si="95"/>
        <v>June</v>
      </c>
      <c r="I2043" t="s">
        <v>95</v>
      </c>
      <c r="J2043" t="s">
        <v>87</v>
      </c>
      <c r="K2043">
        <v>2634</v>
      </c>
      <c r="L2043" s="5" t="str">
        <f>IF(OR(K2043&lt;Answers!$C$16,Orders!K2043&gt;Answers!$C$17),"Yes","No")</f>
        <v>No</v>
      </c>
      <c r="M2043" s="14">
        <f>VLOOKUP(B2043,Customers!$A$1:$E$2501,4,0)</f>
        <v>77</v>
      </c>
    </row>
    <row r="2044" spans="1:13" x14ac:dyDescent="0.3">
      <c r="A2044">
        <v>1373323</v>
      </c>
      <c r="B2044">
        <v>1893</v>
      </c>
      <c r="C2044" s="1" t="s">
        <v>100</v>
      </c>
      <c r="D2044" s="7">
        <v>44971</v>
      </c>
      <c r="E2044" s="11">
        <v>36739</v>
      </c>
      <c r="F2044" s="15">
        <f t="shared" si="93"/>
        <v>2</v>
      </c>
      <c r="G2044" s="10" t="str">
        <f t="shared" si="94"/>
        <v>Tuesday</v>
      </c>
      <c r="H2044" s="9" t="str">
        <f t="shared" si="95"/>
        <v>February</v>
      </c>
      <c r="I2044" t="s">
        <v>96</v>
      </c>
      <c r="J2044" t="s">
        <v>42</v>
      </c>
      <c r="K2044">
        <v>8546</v>
      </c>
      <c r="L2044" s="5" t="str">
        <f>IF(OR(K2044&lt;Answers!$C$16,Orders!K2044&gt;Answers!$C$17),"Yes","No")</f>
        <v>No</v>
      </c>
      <c r="M2044" s="14">
        <f>VLOOKUP(B2044,Customers!$A$1:$E$2501,4,0)</f>
        <v>47</v>
      </c>
    </row>
    <row r="2045" spans="1:13" x14ac:dyDescent="0.3">
      <c r="A2045">
        <v>1373414</v>
      </c>
      <c r="B2045">
        <v>613</v>
      </c>
      <c r="C2045" s="1" t="s">
        <v>112</v>
      </c>
      <c r="D2045" s="7">
        <v>44970</v>
      </c>
      <c r="E2045" s="11">
        <v>0.49027777777777776</v>
      </c>
      <c r="F2045" s="15">
        <f t="shared" si="93"/>
        <v>2</v>
      </c>
      <c r="G2045" s="10" t="str">
        <f t="shared" si="94"/>
        <v>Monday</v>
      </c>
      <c r="H2045" s="9" t="str">
        <f t="shared" si="95"/>
        <v>February</v>
      </c>
      <c r="I2045" t="s">
        <v>190</v>
      </c>
      <c r="J2045" t="s">
        <v>26</v>
      </c>
      <c r="K2045">
        <v>5539</v>
      </c>
      <c r="L2045" s="5" t="str">
        <f>IF(OR(K2045&lt;Answers!$C$16,Orders!K2045&gt;Answers!$C$17),"Yes","No")</f>
        <v>No</v>
      </c>
      <c r="M2045" s="14">
        <f>VLOOKUP(B2045,Customers!$A$1:$E$2501,4,0)</f>
        <v>51</v>
      </c>
    </row>
    <row r="2046" spans="1:13" x14ac:dyDescent="0.3">
      <c r="A2046">
        <v>1374086</v>
      </c>
      <c r="B2046">
        <v>206</v>
      </c>
      <c r="C2046" s="1" t="s">
        <v>98</v>
      </c>
      <c r="D2046" s="7">
        <v>45179</v>
      </c>
      <c r="E2046" s="11">
        <v>0.48749999999999999</v>
      </c>
      <c r="F2046" s="15">
        <f t="shared" si="93"/>
        <v>9</v>
      </c>
      <c r="G2046" s="10" t="str">
        <f t="shared" si="94"/>
        <v>Sunday</v>
      </c>
      <c r="H2046" s="9" t="str">
        <f t="shared" si="95"/>
        <v>September</v>
      </c>
      <c r="I2046" t="s">
        <v>95</v>
      </c>
      <c r="J2046" t="s">
        <v>38</v>
      </c>
      <c r="K2046">
        <v>622</v>
      </c>
      <c r="L2046" s="5" t="str">
        <f>IF(OR(K2046&lt;Answers!$C$16,Orders!K2046&gt;Answers!$C$17),"Yes","No")</f>
        <v>No</v>
      </c>
      <c r="M2046" s="14">
        <f>VLOOKUP(B2046,Customers!$A$1:$E$2501,4,0)</f>
        <v>56</v>
      </c>
    </row>
    <row r="2047" spans="1:13" x14ac:dyDescent="0.3">
      <c r="A2047">
        <v>1376137</v>
      </c>
      <c r="B2047">
        <v>1472</v>
      </c>
      <c r="C2047" s="1" t="s">
        <v>98</v>
      </c>
      <c r="D2047" s="7">
        <v>45235</v>
      </c>
      <c r="E2047" s="11">
        <v>0.51944444444444449</v>
      </c>
      <c r="F2047" s="15">
        <f t="shared" si="93"/>
        <v>11</v>
      </c>
      <c r="G2047" s="10" t="str">
        <f t="shared" si="94"/>
        <v>Sunday</v>
      </c>
      <c r="H2047" s="9" t="str">
        <f t="shared" si="95"/>
        <v>November</v>
      </c>
      <c r="I2047" t="s">
        <v>190</v>
      </c>
      <c r="J2047" t="s">
        <v>23</v>
      </c>
      <c r="K2047">
        <v>7325</v>
      </c>
      <c r="L2047" s="5" t="str">
        <f>IF(OR(K2047&lt;Answers!$C$16,Orders!K2047&gt;Answers!$C$17),"Yes","No")</f>
        <v>No</v>
      </c>
      <c r="M2047" s="14">
        <f>VLOOKUP(B2047,Customers!$A$1:$E$2501,4,0)</f>
        <v>83</v>
      </c>
    </row>
    <row r="2048" spans="1:13" x14ac:dyDescent="0.3">
      <c r="A2048">
        <v>1376176</v>
      </c>
      <c r="B2048">
        <v>1887</v>
      </c>
      <c r="C2048" s="1" t="s">
        <v>104</v>
      </c>
      <c r="D2048" s="7">
        <v>44974</v>
      </c>
      <c r="E2048" s="11">
        <v>0.49027777777777776</v>
      </c>
      <c r="F2048" s="15">
        <f t="shared" si="93"/>
        <v>2</v>
      </c>
      <c r="G2048" s="10" t="str">
        <f t="shared" si="94"/>
        <v>Friday</v>
      </c>
      <c r="H2048" s="9" t="str">
        <f t="shared" si="95"/>
        <v>February</v>
      </c>
      <c r="I2048" t="s">
        <v>97</v>
      </c>
      <c r="J2048" t="s">
        <v>26</v>
      </c>
      <c r="K2048">
        <v>9141</v>
      </c>
      <c r="L2048" s="5" t="str">
        <f>IF(OR(K2048&lt;Answers!$C$16,Orders!K2048&gt;Answers!$C$17),"Yes","No")</f>
        <v>No</v>
      </c>
      <c r="M2048" s="14">
        <f>VLOOKUP(B2048,Customers!$A$1:$E$2501,4,0)</f>
        <v>89</v>
      </c>
    </row>
    <row r="2049" spans="1:13" x14ac:dyDescent="0.3">
      <c r="A2049">
        <v>1376269</v>
      </c>
      <c r="B2049">
        <v>1006</v>
      </c>
      <c r="C2049" s="1" t="s">
        <v>100</v>
      </c>
      <c r="D2049" s="7">
        <v>45180</v>
      </c>
      <c r="E2049" s="11">
        <v>0.52152777777777781</v>
      </c>
      <c r="F2049" s="15">
        <f t="shared" si="93"/>
        <v>9</v>
      </c>
      <c r="G2049" s="10" t="str">
        <f t="shared" si="94"/>
        <v>Monday</v>
      </c>
      <c r="H2049" s="9" t="str">
        <f t="shared" si="95"/>
        <v>September</v>
      </c>
      <c r="I2049" t="s">
        <v>97</v>
      </c>
      <c r="J2049" t="s">
        <v>30</v>
      </c>
      <c r="K2049">
        <v>1068</v>
      </c>
      <c r="L2049" s="5" t="str">
        <f>IF(OR(K2049&lt;Answers!$C$16,Orders!K2049&gt;Answers!$C$17),"Yes","No")</f>
        <v>No</v>
      </c>
      <c r="M2049" s="14">
        <f>VLOOKUP(B2049,Customers!$A$1:$E$2501,4,0)</f>
        <v>18</v>
      </c>
    </row>
    <row r="2050" spans="1:13" x14ac:dyDescent="0.3">
      <c r="A2050">
        <v>1376427</v>
      </c>
      <c r="B2050">
        <v>1430</v>
      </c>
      <c r="C2050" s="1" t="s">
        <v>98</v>
      </c>
      <c r="D2050" s="7">
        <v>45176</v>
      </c>
      <c r="E2050" s="11">
        <v>36718</v>
      </c>
      <c r="F2050" s="15">
        <f t="shared" si="93"/>
        <v>9</v>
      </c>
      <c r="G2050" s="10" t="str">
        <f t="shared" si="94"/>
        <v>Thursday</v>
      </c>
      <c r="H2050" s="9" t="str">
        <f t="shared" si="95"/>
        <v>September</v>
      </c>
      <c r="I2050" t="s">
        <v>95</v>
      </c>
      <c r="J2050" t="s">
        <v>77</v>
      </c>
      <c r="K2050">
        <v>9138</v>
      </c>
      <c r="L2050" s="5" t="str">
        <f>IF(OR(K2050&lt;Answers!$C$16,Orders!K2050&gt;Answers!$C$17),"Yes","No")</f>
        <v>No</v>
      </c>
      <c r="M2050" s="14">
        <f>VLOOKUP(B2050,Customers!$A$1:$E$2501,4,0)</f>
        <v>82</v>
      </c>
    </row>
    <row r="2051" spans="1:13" x14ac:dyDescent="0.3">
      <c r="A2051">
        <v>1376435</v>
      </c>
      <c r="B2051">
        <v>145</v>
      </c>
      <c r="C2051" s="1" t="s">
        <v>106</v>
      </c>
      <c r="D2051" s="7">
        <v>44991</v>
      </c>
      <c r="E2051" s="11">
        <v>0.4861111111111111</v>
      </c>
      <c r="F2051" s="15">
        <f t="shared" ref="F2051:F2114" si="96">MONTH(D2051)</f>
        <v>3</v>
      </c>
      <c r="G2051" s="10" t="str">
        <f t="shared" ref="G2051:G2114" si="97">TEXT(D2051,"dddd")</f>
        <v>Monday</v>
      </c>
      <c r="H2051" s="9" t="str">
        <f t="shared" ref="H2051:H2114" si="98">TEXT(D2051,"mmmm")</f>
        <v>March</v>
      </c>
      <c r="I2051" t="s">
        <v>96</v>
      </c>
      <c r="J2051" t="s">
        <v>76</v>
      </c>
      <c r="K2051">
        <v>8109</v>
      </c>
      <c r="L2051" s="5" t="str">
        <f>IF(OR(K2051&lt;Answers!$C$16,Orders!K2051&gt;Answers!$C$17),"Yes","No")</f>
        <v>No</v>
      </c>
      <c r="M2051" s="14">
        <f>VLOOKUP(B2051,Customers!$A$1:$E$2501,4,0)</f>
        <v>18</v>
      </c>
    </row>
    <row r="2052" spans="1:13" x14ac:dyDescent="0.3">
      <c r="A2052">
        <v>1379500</v>
      </c>
      <c r="B2052">
        <v>1128</v>
      </c>
      <c r="C2052" s="1" t="s">
        <v>99</v>
      </c>
      <c r="D2052" s="7">
        <v>45132</v>
      </c>
      <c r="E2052" s="11">
        <v>9.8611111111111108E-2</v>
      </c>
      <c r="F2052" s="15">
        <f t="shared" si="96"/>
        <v>7</v>
      </c>
      <c r="G2052" s="10" t="str">
        <f t="shared" si="97"/>
        <v>Tuesday</v>
      </c>
      <c r="H2052" s="9" t="str">
        <f t="shared" si="98"/>
        <v>July</v>
      </c>
      <c r="I2052" t="s">
        <v>190</v>
      </c>
      <c r="J2052" t="s">
        <v>31</v>
      </c>
      <c r="K2052">
        <v>4248</v>
      </c>
      <c r="L2052" s="5" t="str">
        <f>IF(OR(K2052&lt;Answers!$C$16,Orders!K2052&gt;Answers!$C$17),"Yes","No")</f>
        <v>No</v>
      </c>
      <c r="M2052" s="14">
        <f>VLOOKUP(B2052,Customers!$A$1:$E$2501,4,0)</f>
        <v>18</v>
      </c>
    </row>
    <row r="2053" spans="1:13" x14ac:dyDescent="0.3">
      <c r="A2053">
        <v>1380014</v>
      </c>
      <c r="B2053">
        <v>914</v>
      </c>
      <c r="C2053" s="1" t="s">
        <v>98</v>
      </c>
      <c r="D2053" s="7">
        <v>45274</v>
      </c>
      <c r="E2053" s="11">
        <v>0.5395833333333333</v>
      </c>
      <c r="F2053" s="15">
        <f t="shared" si="96"/>
        <v>12</v>
      </c>
      <c r="G2053" s="10" t="str">
        <f t="shared" si="97"/>
        <v>Thursday</v>
      </c>
      <c r="H2053" s="9" t="str">
        <f t="shared" si="98"/>
        <v>December</v>
      </c>
      <c r="I2053" t="s">
        <v>95</v>
      </c>
      <c r="J2053" t="s">
        <v>29</v>
      </c>
      <c r="K2053">
        <v>5389</v>
      </c>
      <c r="L2053" s="5" t="str">
        <f>IF(OR(K2053&lt;Answers!$C$16,Orders!K2053&gt;Answers!$C$17),"Yes","No")</f>
        <v>No</v>
      </c>
      <c r="M2053" s="14">
        <f>VLOOKUP(B2053,Customers!$A$1:$E$2501,4,0)</f>
        <v>80</v>
      </c>
    </row>
    <row r="2054" spans="1:13" x14ac:dyDescent="0.3">
      <c r="A2054">
        <v>1383231</v>
      </c>
      <c r="B2054">
        <v>900</v>
      </c>
      <c r="C2054" s="1" t="s">
        <v>98</v>
      </c>
      <c r="D2054" s="7">
        <v>45134</v>
      </c>
      <c r="E2054" s="11">
        <v>0.49236111111111114</v>
      </c>
      <c r="F2054" s="15">
        <f t="shared" si="96"/>
        <v>7</v>
      </c>
      <c r="G2054" s="10" t="str">
        <f t="shared" si="97"/>
        <v>Thursday</v>
      </c>
      <c r="H2054" s="9" t="str">
        <f t="shared" si="98"/>
        <v>July</v>
      </c>
      <c r="I2054" t="s">
        <v>190</v>
      </c>
      <c r="J2054" t="s">
        <v>73</v>
      </c>
      <c r="K2054">
        <v>2730</v>
      </c>
      <c r="L2054" s="5" t="str">
        <f>IF(OR(K2054&lt;Answers!$C$16,Orders!K2054&gt;Answers!$C$17),"Yes","No")</f>
        <v>No</v>
      </c>
      <c r="M2054" s="14">
        <f>VLOOKUP(B2054,Customers!$A$1:$E$2501,4,0)</f>
        <v>54</v>
      </c>
    </row>
    <row r="2055" spans="1:13" x14ac:dyDescent="0.3">
      <c r="A2055">
        <v>1383522</v>
      </c>
      <c r="B2055">
        <v>1792</v>
      </c>
      <c r="C2055" s="1" t="s">
        <v>107</v>
      </c>
      <c r="D2055" s="7">
        <v>45020</v>
      </c>
      <c r="E2055" s="11">
        <v>0.53819444444444442</v>
      </c>
      <c r="F2055" s="15">
        <f t="shared" si="96"/>
        <v>4</v>
      </c>
      <c r="G2055" s="10" t="str">
        <f t="shared" si="97"/>
        <v>Tuesday</v>
      </c>
      <c r="H2055" s="9" t="str">
        <f t="shared" si="98"/>
        <v>April</v>
      </c>
      <c r="I2055" t="s">
        <v>190</v>
      </c>
      <c r="J2055" t="s">
        <v>84</v>
      </c>
      <c r="K2055">
        <v>9147</v>
      </c>
      <c r="L2055" s="5" t="str">
        <f>IF(OR(K2055&lt;Answers!$C$16,Orders!K2055&gt;Answers!$C$17),"Yes","No")</f>
        <v>No</v>
      </c>
      <c r="M2055" s="14">
        <f>VLOOKUP(B2055,Customers!$A$1:$E$2501,4,0)</f>
        <v>59</v>
      </c>
    </row>
    <row r="2056" spans="1:13" x14ac:dyDescent="0.3">
      <c r="A2056">
        <v>1383688</v>
      </c>
      <c r="B2056">
        <v>271</v>
      </c>
      <c r="C2056" s="1" t="s">
        <v>98</v>
      </c>
      <c r="D2056" s="7">
        <v>44971</v>
      </c>
      <c r="E2056" s="11">
        <v>7.6388888888888895E-2</v>
      </c>
      <c r="F2056" s="15">
        <f t="shared" si="96"/>
        <v>2</v>
      </c>
      <c r="G2056" s="10" t="str">
        <f t="shared" si="97"/>
        <v>Tuesday</v>
      </c>
      <c r="H2056" s="9" t="str">
        <f t="shared" si="98"/>
        <v>February</v>
      </c>
      <c r="I2056" t="s">
        <v>95</v>
      </c>
      <c r="J2056" t="s">
        <v>50</v>
      </c>
      <c r="K2056">
        <v>240</v>
      </c>
      <c r="L2056" s="5" t="str">
        <f>IF(OR(K2056&lt;Answers!$C$16,Orders!K2056&gt;Answers!$C$17),"Yes","No")</f>
        <v>No</v>
      </c>
      <c r="M2056" s="14">
        <f>VLOOKUP(B2056,Customers!$A$1:$E$2501,4,0)</f>
        <v>68</v>
      </c>
    </row>
    <row r="2057" spans="1:13" x14ac:dyDescent="0.3">
      <c r="A2057">
        <v>1384019</v>
      </c>
      <c r="B2057">
        <v>1408</v>
      </c>
      <c r="C2057" s="1" t="s">
        <v>98</v>
      </c>
      <c r="D2057" s="7">
        <v>45251</v>
      </c>
      <c r="E2057" s="11">
        <v>7.4999999999999997E-2</v>
      </c>
      <c r="F2057" s="15">
        <f t="shared" si="96"/>
        <v>11</v>
      </c>
      <c r="G2057" s="10" t="str">
        <f t="shared" si="97"/>
        <v>Tuesday</v>
      </c>
      <c r="H2057" s="9" t="str">
        <f t="shared" si="98"/>
        <v>November</v>
      </c>
      <c r="I2057" t="s">
        <v>190</v>
      </c>
      <c r="J2057" t="s">
        <v>67</v>
      </c>
      <c r="K2057">
        <v>4853</v>
      </c>
      <c r="L2057" s="5" t="str">
        <f>IF(OR(K2057&lt;Answers!$C$16,Orders!K2057&gt;Answers!$C$17),"Yes","No")</f>
        <v>No</v>
      </c>
      <c r="M2057" s="14">
        <f>VLOOKUP(B2057,Customers!$A$1:$E$2501,4,0)</f>
        <v>68</v>
      </c>
    </row>
    <row r="2058" spans="1:13" x14ac:dyDescent="0.3">
      <c r="A2058">
        <v>1385078</v>
      </c>
      <c r="B2058">
        <v>146</v>
      </c>
      <c r="C2058" s="1" t="s">
        <v>102</v>
      </c>
      <c r="D2058" s="7">
        <v>45126</v>
      </c>
      <c r="E2058" s="11">
        <v>6.458333333333334E-2</v>
      </c>
      <c r="F2058" s="15">
        <f t="shared" si="96"/>
        <v>7</v>
      </c>
      <c r="G2058" s="10" t="str">
        <f t="shared" si="97"/>
        <v>Wednesday</v>
      </c>
      <c r="H2058" s="9" t="str">
        <f t="shared" si="98"/>
        <v>July</v>
      </c>
      <c r="I2058" t="s">
        <v>96</v>
      </c>
      <c r="J2058" t="s">
        <v>78</v>
      </c>
      <c r="K2058">
        <v>1972</v>
      </c>
      <c r="L2058" s="5" t="str">
        <f>IF(OR(K2058&lt;Answers!$C$16,Orders!K2058&gt;Answers!$C$17),"Yes","No")</f>
        <v>No</v>
      </c>
      <c r="M2058" s="14">
        <f>VLOOKUP(B2058,Customers!$A$1:$E$2501,4,0)</f>
        <v>85</v>
      </c>
    </row>
    <row r="2059" spans="1:13" x14ac:dyDescent="0.3">
      <c r="A2059">
        <v>1385605</v>
      </c>
      <c r="B2059">
        <v>1850</v>
      </c>
      <c r="C2059" s="1" t="s">
        <v>108</v>
      </c>
      <c r="D2059" s="7">
        <v>45062</v>
      </c>
      <c r="E2059" s="11">
        <v>36658</v>
      </c>
      <c r="F2059" s="15">
        <f t="shared" si="96"/>
        <v>5</v>
      </c>
      <c r="G2059" s="10" t="str">
        <f t="shared" si="97"/>
        <v>Tuesday</v>
      </c>
      <c r="H2059" s="9" t="str">
        <f t="shared" si="98"/>
        <v>May</v>
      </c>
      <c r="I2059" t="s">
        <v>97</v>
      </c>
      <c r="J2059" t="s">
        <v>75</v>
      </c>
      <c r="K2059">
        <v>6075</v>
      </c>
      <c r="L2059" s="5" t="str">
        <f>IF(OR(K2059&lt;Answers!$C$16,Orders!K2059&gt;Answers!$C$17),"Yes","No")</f>
        <v>No</v>
      </c>
      <c r="M2059" s="14">
        <f>VLOOKUP(B2059,Customers!$A$1:$E$2501,4,0)</f>
        <v>60</v>
      </c>
    </row>
    <row r="2060" spans="1:13" x14ac:dyDescent="0.3">
      <c r="A2060">
        <v>1385745</v>
      </c>
      <c r="B2060">
        <v>1686</v>
      </c>
      <c r="C2060" s="1" t="s">
        <v>99</v>
      </c>
      <c r="D2060" s="7">
        <v>44958</v>
      </c>
      <c r="E2060" s="11">
        <v>6.1111111111111109E-2</v>
      </c>
      <c r="F2060" s="15">
        <f t="shared" si="96"/>
        <v>2</v>
      </c>
      <c r="G2060" s="10" t="str">
        <f t="shared" si="97"/>
        <v>Wednesday</v>
      </c>
      <c r="H2060" s="9" t="str">
        <f t="shared" si="98"/>
        <v>February</v>
      </c>
      <c r="I2060" t="s">
        <v>95</v>
      </c>
      <c r="J2060" t="s">
        <v>26</v>
      </c>
      <c r="K2060">
        <v>5128</v>
      </c>
      <c r="L2060" s="5" t="str">
        <f>IF(OR(K2060&lt;Answers!$C$16,Orders!K2060&gt;Answers!$C$17),"Yes","No")</f>
        <v>No</v>
      </c>
      <c r="M2060" s="14">
        <f>VLOOKUP(B2060,Customers!$A$1:$E$2501,4,0)</f>
        <v>53</v>
      </c>
    </row>
    <row r="2061" spans="1:13" x14ac:dyDescent="0.3">
      <c r="A2061">
        <v>1386514</v>
      </c>
      <c r="B2061">
        <v>1892</v>
      </c>
      <c r="C2061" s="1" t="s">
        <v>98</v>
      </c>
      <c r="D2061" s="7">
        <v>45070</v>
      </c>
      <c r="E2061" s="11">
        <v>0.52013888888888893</v>
      </c>
      <c r="F2061" s="15">
        <f t="shared" si="96"/>
        <v>5</v>
      </c>
      <c r="G2061" s="10" t="str">
        <f t="shared" si="97"/>
        <v>Wednesday</v>
      </c>
      <c r="H2061" s="9" t="str">
        <f t="shared" si="98"/>
        <v>May</v>
      </c>
      <c r="I2061" t="s">
        <v>97</v>
      </c>
      <c r="J2061" t="s">
        <v>42</v>
      </c>
      <c r="K2061">
        <v>2382</v>
      </c>
      <c r="L2061" s="5" t="str">
        <f>IF(OR(K2061&lt;Answers!$C$16,Orders!K2061&gt;Answers!$C$17),"Yes","No")</f>
        <v>No</v>
      </c>
      <c r="M2061" s="14">
        <f>VLOOKUP(B2061,Customers!$A$1:$E$2501,4,0)</f>
        <v>64</v>
      </c>
    </row>
    <row r="2062" spans="1:13" x14ac:dyDescent="0.3">
      <c r="A2062">
        <v>1386601</v>
      </c>
      <c r="B2062">
        <v>1276</v>
      </c>
      <c r="C2062" s="1" t="s">
        <v>99</v>
      </c>
      <c r="D2062" s="7">
        <v>45026</v>
      </c>
      <c r="E2062" s="11">
        <v>0.52777777777777779</v>
      </c>
      <c r="F2062" s="15">
        <f t="shared" si="96"/>
        <v>4</v>
      </c>
      <c r="G2062" s="10" t="str">
        <f t="shared" si="97"/>
        <v>Monday</v>
      </c>
      <c r="H2062" s="9" t="str">
        <f t="shared" si="98"/>
        <v>April</v>
      </c>
      <c r="I2062" t="s">
        <v>96</v>
      </c>
      <c r="J2062" t="s">
        <v>42</v>
      </c>
      <c r="K2062">
        <v>4677</v>
      </c>
      <c r="L2062" s="5" t="str">
        <f>IF(OR(K2062&lt;Answers!$C$16,Orders!K2062&gt;Answers!$C$17),"Yes","No")</f>
        <v>No</v>
      </c>
      <c r="M2062" s="14">
        <f>VLOOKUP(B2062,Customers!$A$1:$E$2501,4,0)</f>
        <v>88</v>
      </c>
    </row>
    <row r="2063" spans="1:13" x14ac:dyDescent="0.3">
      <c r="A2063">
        <v>1387867</v>
      </c>
      <c r="B2063">
        <v>322</v>
      </c>
      <c r="C2063" s="1" t="s">
        <v>112</v>
      </c>
      <c r="D2063" s="7">
        <v>45068</v>
      </c>
      <c r="E2063" s="11">
        <v>36861</v>
      </c>
      <c r="F2063" s="15">
        <f t="shared" si="96"/>
        <v>5</v>
      </c>
      <c r="G2063" s="10" t="str">
        <f t="shared" si="97"/>
        <v>Monday</v>
      </c>
      <c r="H2063" s="9" t="str">
        <f t="shared" si="98"/>
        <v>May</v>
      </c>
      <c r="I2063" t="s">
        <v>97</v>
      </c>
      <c r="J2063" t="s">
        <v>3</v>
      </c>
      <c r="K2063">
        <v>7080</v>
      </c>
      <c r="L2063" s="5" t="str">
        <f>IF(OR(K2063&lt;Answers!$C$16,Orders!K2063&gt;Answers!$C$17),"Yes","No")</f>
        <v>No</v>
      </c>
      <c r="M2063" s="14">
        <f>VLOOKUP(B2063,Customers!$A$1:$E$2501,4,0)</f>
        <v>22</v>
      </c>
    </row>
    <row r="2064" spans="1:13" x14ac:dyDescent="0.3">
      <c r="A2064">
        <v>1389485</v>
      </c>
      <c r="B2064">
        <v>607</v>
      </c>
      <c r="C2064" s="1" t="s">
        <v>105</v>
      </c>
      <c r="D2064" s="7">
        <v>45236</v>
      </c>
      <c r="E2064" s="11">
        <v>0.5229166666666667</v>
      </c>
      <c r="F2064" s="15">
        <f t="shared" si="96"/>
        <v>11</v>
      </c>
      <c r="G2064" s="10" t="str">
        <f t="shared" si="97"/>
        <v>Monday</v>
      </c>
      <c r="H2064" s="9" t="str">
        <f t="shared" si="98"/>
        <v>November</v>
      </c>
      <c r="I2064" t="s">
        <v>97</v>
      </c>
      <c r="J2064" t="s">
        <v>18</v>
      </c>
      <c r="K2064">
        <v>8449</v>
      </c>
      <c r="L2064" s="5" t="str">
        <f>IF(OR(K2064&lt;Answers!$C$16,Orders!K2064&gt;Answers!$C$17),"Yes","No")</f>
        <v>No</v>
      </c>
      <c r="M2064" s="14">
        <f>VLOOKUP(B2064,Customers!$A$1:$E$2501,4,0)</f>
        <v>41</v>
      </c>
    </row>
    <row r="2065" spans="1:13" x14ac:dyDescent="0.3">
      <c r="A2065">
        <v>1389680</v>
      </c>
      <c r="B2065">
        <v>888</v>
      </c>
      <c r="C2065" s="1" t="s">
        <v>107</v>
      </c>
      <c r="D2065" s="7">
        <v>44936</v>
      </c>
      <c r="E2065" s="11">
        <v>0.51527777777777772</v>
      </c>
      <c r="F2065" s="15">
        <f t="shared" si="96"/>
        <v>1</v>
      </c>
      <c r="G2065" s="10" t="str">
        <f t="shared" si="97"/>
        <v>Tuesday</v>
      </c>
      <c r="H2065" s="9" t="str">
        <f t="shared" si="98"/>
        <v>January</v>
      </c>
      <c r="I2065" t="s">
        <v>190</v>
      </c>
      <c r="J2065" t="s">
        <v>81</v>
      </c>
      <c r="K2065">
        <v>9670</v>
      </c>
      <c r="L2065" s="5" t="str">
        <f>IF(OR(K2065&lt;Answers!$C$16,Orders!K2065&gt;Answers!$C$17),"Yes","No")</f>
        <v>No</v>
      </c>
      <c r="M2065" s="14">
        <f>VLOOKUP(B2065,Customers!$A$1:$E$2501,4,0)</f>
        <v>71</v>
      </c>
    </row>
    <row r="2066" spans="1:13" x14ac:dyDescent="0.3">
      <c r="A2066">
        <v>1391439</v>
      </c>
      <c r="B2066">
        <v>811</v>
      </c>
      <c r="C2066" s="1" t="s">
        <v>112</v>
      </c>
      <c r="D2066" s="7">
        <v>45246</v>
      </c>
      <c r="E2066" s="11">
        <v>0.44097222222222221</v>
      </c>
      <c r="F2066" s="15">
        <f t="shared" si="96"/>
        <v>11</v>
      </c>
      <c r="G2066" s="10" t="str">
        <f t="shared" si="97"/>
        <v>Thursday</v>
      </c>
      <c r="H2066" s="9" t="str">
        <f t="shared" si="98"/>
        <v>November</v>
      </c>
      <c r="I2066" t="s">
        <v>97</v>
      </c>
      <c r="J2066" t="s">
        <v>20</v>
      </c>
      <c r="K2066">
        <v>6152</v>
      </c>
      <c r="L2066" s="5" t="str">
        <f>IF(OR(K2066&lt;Answers!$C$16,Orders!K2066&gt;Answers!$C$17),"Yes","No")</f>
        <v>No</v>
      </c>
      <c r="M2066" s="14">
        <f>VLOOKUP(B2066,Customers!$A$1:$E$2501,4,0)</f>
        <v>32</v>
      </c>
    </row>
    <row r="2067" spans="1:13" x14ac:dyDescent="0.3">
      <c r="A2067">
        <v>1391623</v>
      </c>
      <c r="B2067">
        <v>606</v>
      </c>
      <c r="C2067" s="1" t="s">
        <v>98</v>
      </c>
      <c r="D2067" s="7">
        <v>45117</v>
      </c>
      <c r="E2067" s="11">
        <v>0.47499999999999998</v>
      </c>
      <c r="F2067" s="15">
        <f t="shared" si="96"/>
        <v>7</v>
      </c>
      <c r="G2067" s="10" t="str">
        <f t="shared" si="97"/>
        <v>Monday</v>
      </c>
      <c r="H2067" s="9" t="str">
        <f t="shared" si="98"/>
        <v>July</v>
      </c>
      <c r="I2067" t="s">
        <v>97</v>
      </c>
      <c r="J2067" t="s">
        <v>65</v>
      </c>
      <c r="K2067">
        <v>6445</v>
      </c>
      <c r="L2067" s="5" t="str">
        <f>IF(OR(K2067&lt;Answers!$C$16,Orders!K2067&gt;Answers!$C$17),"Yes","No")</f>
        <v>No</v>
      </c>
      <c r="M2067" s="14">
        <f>VLOOKUP(B2067,Customers!$A$1:$E$2501,4,0)</f>
        <v>18</v>
      </c>
    </row>
    <row r="2068" spans="1:13" x14ac:dyDescent="0.3">
      <c r="A2068">
        <v>1392838</v>
      </c>
      <c r="B2068">
        <v>1138</v>
      </c>
      <c r="C2068" s="1" t="s">
        <v>100</v>
      </c>
      <c r="D2068" s="7">
        <v>45137</v>
      </c>
      <c r="E2068" s="11">
        <v>0.47986111111111113</v>
      </c>
      <c r="F2068" s="15">
        <f t="shared" si="96"/>
        <v>7</v>
      </c>
      <c r="G2068" s="10" t="str">
        <f t="shared" si="97"/>
        <v>Sunday</v>
      </c>
      <c r="H2068" s="9" t="str">
        <f t="shared" si="98"/>
        <v>July</v>
      </c>
      <c r="I2068" t="s">
        <v>95</v>
      </c>
      <c r="J2068" t="s">
        <v>77</v>
      </c>
      <c r="K2068">
        <v>1617</v>
      </c>
      <c r="L2068" s="5" t="str">
        <f>IF(OR(K2068&lt;Answers!$C$16,Orders!K2068&gt;Answers!$C$17),"Yes","No")</f>
        <v>No</v>
      </c>
      <c r="M2068" s="14">
        <f>VLOOKUP(B2068,Customers!$A$1:$E$2501,4,0)</f>
        <v>83</v>
      </c>
    </row>
    <row r="2069" spans="1:13" x14ac:dyDescent="0.3">
      <c r="A2069">
        <v>1393397</v>
      </c>
      <c r="B2069">
        <v>73</v>
      </c>
      <c r="C2069" s="1" t="s">
        <v>108</v>
      </c>
      <c r="D2069" s="7">
        <v>45021</v>
      </c>
      <c r="E2069" s="11">
        <v>0.52222222222222225</v>
      </c>
      <c r="F2069" s="15">
        <f t="shared" si="96"/>
        <v>4</v>
      </c>
      <c r="G2069" s="10" t="str">
        <f t="shared" si="97"/>
        <v>Wednesday</v>
      </c>
      <c r="H2069" s="9" t="str">
        <f t="shared" si="98"/>
        <v>April</v>
      </c>
      <c r="I2069" t="s">
        <v>95</v>
      </c>
      <c r="J2069" t="s">
        <v>4</v>
      </c>
      <c r="K2069">
        <v>7174</v>
      </c>
      <c r="L2069" s="5" t="str">
        <f>IF(OR(K2069&lt;Answers!$C$16,Orders!K2069&gt;Answers!$C$17),"Yes","No")</f>
        <v>No</v>
      </c>
      <c r="M2069" s="14">
        <f>VLOOKUP(B2069,Customers!$A$1:$E$2501,4,0)</f>
        <v>34</v>
      </c>
    </row>
    <row r="2070" spans="1:13" x14ac:dyDescent="0.3">
      <c r="A2070">
        <v>1393864</v>
      </c>
      <c r="B2070">
        <v>1794</v>
      </c>
      <c r="C2070" s="1" t="s">
        <v>100</v>
      </c>
      <c r="D2070" s="7">
        <v>45114</v>
      </c>
      <c r="E2070" s="11">
        <v>7.2916666666666671E-2</v>
      </c>
      <c r="F2070" s="15">
        <f t="shared" si="96"/>
        <v>7</v>
      </c>
      <c r="G2070" s="10" t="str">
        <f t="shared" si="97"/>
        <v>Friday</v>
      </c>
      <c r="H2070" s="9" t="str">
        <f t="shared" si="98"/>
        <v>July</v>
      </c>
      <c r="I2070" t="s">
        <v>96</v>
      </c>
      <c r="J2070" t="s">
        <v>42</v>
      </c>
      <c r="K2070">
        <v>3135</v>
      </c>
      <c r="L2070" s="5" t="str">
        <f>IF(OR(K2070&lt;Answers!$C$16,Orders!K2070&gt;Answers!$C$17),"Yes","No")</f>
        <v>No</v>
      </c>
      <c r="M2070" s="14">
        <f>VLOOKUP(B2070,Customers!$A$1:$E$2501,4,0)</f>
        <v>41</v>
      </c>
    </row>
    <row r="2071" spans="1:13" x14ac:dyDescent="0.3">
      <c r="A2071">
        <v>1395655</v>
      </c>
      <c r="B2071">
        <v>345</v>
      </c>
      <c r="C2071" s="1" t="s">
        <v>112</v>
      </c>
      <c r="D2071" s="7">
        <v>45150</v>
      </c>
      <c r="E2071" s="11">
        <v>0.52847222222222223</v>
      </c>
      <c r="F2071" s="15">
        <f t="shared" si="96"/>
        <v>8</v>
      </c>
      <c r="G2071" s="10" t="str">
        <f t="shared" si="97"/>
        <v>Saturday</v>
      </c>
      <c r="H2071" s="9" t="str">
        <f t="shared" si="98"/>
        <v>August</v>
      </c>
      <c r="I2071" t="s">
        <v>97</v>
      </c>
      <c r="J2071" t="s">
        <v>26</v>
      </c>
      <c r="K2071">
        <v>8180</v>
      </c>
      <c r="L2071" s="5" t="str">
        <f>IF(OR(K2071&lt;Answers!$C$16,Orders!K2071&gt;Answers!$C$17),"Yes","No")</f>
        <v>No</v>
      </c>
      <c r="M2071" s="14">
        <f>VLOOKUP(B2071,Customers!$A$1:$E$2501,4,0)</f>
        <v>31</v>
      </c>
    </row>
    <row r="2072" spans="1:13" x14ac:dyDescent="0.3">
      <c r="A2072">
        <v>1395839</v>
      </c>
      <c r="B2072">
        <v>163</v>
      </c>
      <c r="C2072" s="1" t="s">
        <v>98</v>
      </c>
      <c r="D2072" s="7">
        <v>45070</v>
      </c>
      <c r="E2072" s="11">
        <v>0.51111111111111107</v>
      </c>
      <c r="F2072" s="15">
        <f t="shared" si="96"/>
        <v>5</v>
      </c>
      <c r="G2072" s="10" t="str">
        <f t="shared" si="97"/>
        <v>Wednesday</v>
      </c>
      <c r="H2072" s="9" t="str">
        <f t="shared" si="98"/>
        <v>May</v>
      </c>
      <c r="I2072" t="s">
        <v>97</v>
      </c>
      <c r="J2072" t="s">
        <v>26</v>
      </c>
      <c r="K2072">
        <v>2045</v>
      </c>
      <c r="L2072" s="5" t="str">
        <f>IF(OR(K2072&lt;Answers!$C$16,Orders!K2072&gt;Answers!$C$17),"Yes","No")</f>
        <v>No</v>
      </c>
      <c r="M2072" s="14">
        <f>VLOOKUP(B2072,Customers!$A$1:$E$2501,4,0)</f>
        <v>81</v>
      </c>
    </row>
    <row r="2073" spans="1:13" x14ac:dyDescent="0.3">
      <c r="A2073">
        <v>1396020</v>
      </c>
      <c r="B2073">
        <v>1139</v>
      </c>
      <c r="C2073" s="1" t="s">
        <v>98</v>
      </c>
      <c r="D2073" s="7">
        <v>45282</v>
      </c>
      <c r="E2073" s="11">
        <v>0.48125000000000001</v>
      </c>
      <c r="F2073" s="15">
        <f t="shared" si="96"/>
        <v>12</v>
      </c>
      <c r="G2073" s="10" t="str">
        <f t="shared" si="97"/>
        <v>Friday</v>
      </c>
      <c r="H2073" s="9" t="str">
        <f t="shared" si="98"/>
        <v>December</v>
      </c>
      <c r="I2073" t="s">
        <v>95</v>
      </c>
      <c r="J2073" t="s">
        <v>26</v>
      </c>
      <c r="K2073">
        <v>5055</v>
      </c>
      <c r="L2073" s="5" t="str">
        <f>IF(OR(K2073&lt;Answers!$C$16,Orders!K2073&gt;Answers!$C$17),"Yes","No")</f>
        <v>No</v>
      </c>
      <c r="M2073" s="14">
        <f>VLOOKUP(B2073,Customers!$A$1:$E$2501,4,0)</f>
        <v>84</v>
      </c>
    </row>
    <row r="2074" spans="1:13" x14ac:dyDescent="0.3">
      <c r="A2074">
        <v>1396650</v>
      </c>
      <c r="B2074">
        <v>1751</v>
      </c>
      <c r="C2074" s="1" t="s">
        <v>98</v>
      </c>
      <c r="D2074" s="7">
        <v>45272</v>
      </c>
      <c r="E2074" s="11">
        <v>0.5229166666666667</v>
      </c>
      <c r="F2074" s="15">
        <f t="shared" si="96"/>
        <v>12</v>
      </c>
      <c r="G2074" s="10" t="str">
        <f t="shared" si="97"/>
        <v>Tuesday</v>
      </c>
      <c r="H2074" s="9" t="str">
        <f t="shared" si="98"/>
        <v>December</v>
      </c>
      <c r="I2074" t="s">
        <v>96</v>
      </c>
      <c r="J2074" t="s">
        <v>20</v>
      </c>
      <c r="K2074">
        <v>9911</v>
      </c>
      <c r="L2074" s="5" t="str">
        <f>IF(OR(K2074&lt;Answers!$C$16,Orders!K2074&gt;Answers!$C$17),"Yes","No")</f>
        <v>No</v>
      </c>
      <c r="M2074" s="14">
        <f>VLOOKUP(B2074,Customers!$A$1:$E$2501,4,0)</f>
        <v>78</v>
      </c>
    </row>
    <row r="2075" spans="1:13" x14ac:dyDescent="0.3">
      <c r="A2075">
        <v>1398659</v>
      </c>
      <c r="B2075">
        <v>1366</v>
      </c>
      <c r="C2075" s="1" t="s">
        <v>98</v>
      </c>
      <c r="D2075" s="7">
        <v>45259</v>
      </c>
      <c r="E2075" s="11">
        <v>36537</v>
      </c>
      <c r="F2075" s="15">
        <f t="shared" si="96"/>
        <v>11</v>
      </c>
      <c r="G2075" s="10" t="str">
        <f t="shared" si="97"/>
        <v>Wednesday</v>
      </c>
      <c r="H2075" s="9" t="str">
        <f t="shared" si="98"/>
        <v>November</v>
      </c>
      <c r="I2075" t="s">
        <v>96</v>
      </c>
      <c r="J2075" t="s">
        <v>11</v>
      </c>
      <c r="K2075">
        <v>1845</v>
      </c>
      <c r="L2075" s="5" t="str">
        <f>IF(OR(K2075&lt;Answers!$C$16,Orders!K2075&gt;Answers!$C$17),"Yes","No")</f>
        <v>No</v>
      </c>
      <c r="M2075" s="14">
        <f>VLOOKUP(B2075,Customers!$A$1:$E$2501,4,0)</f>
        <v>44</v>
      </c>
    </row>
    <row r="2076" spans="1:13" x14ac:dyDescent="0.3">
      <c r="A2076">
        <v>1399773</v>
      </c>
      <c r="B2076">
        <v>1990</v>
      </c>
      <c r="C2076" s="1" t="s">
        <v>98</v>
      </c>
      <c r="D2076" s="7">
        <v>44929</v>
      </c>
      <c r="E2076" s="11">
        <v>36628</v>
      </c>
      <c r="F2076" s="15">
        <f t="shared" si="96"/>
        <v>1</v>
      </c>
      <c r="G2076" s="10" t="str">
        <f t="shared" si="97"/>
        <v>Tuesday</v>
      </c>
      <c r="H2076" s="9" t="str">
        <f t="shared" si="98"/>
        <v>January</v>
      </c>
      <c r="I2076" t="s">
        <v>95</v>
      </c>
      <c r="J2076" t="s">
        <v>28</v>
      </c>
      <c r="K2076">
        <v>6970</v>
      </c>
      <c r="L2076" s="5" t="str">
        <f>IF(OR(K2076&lt;Answers!$C$16,Orders!K2076&gt;Answers!$C$17),"Yes","No")</f>
        <v>No</v>
      </c>
      <c r="M2076" s="14">
        <f>VLOOKUP(B2076,Customers!$A$1:$E$2501,4,0)</f>
        <v>89</v>
      </c>
    </row>
    <row r="2077" spans="1:13" x14ac:dyDescent="0.3">
      <c r="A2077">
        <v>1400564</v>
      </c>
      <c r="B2077">
        <v>768</v>
      </c>
      <c r="C2077" s="1" t="s">
        <v>98</v>
      </c>
      <c r="D2077" s="7">
        <v>45188</v>
      </c>
      <c r="E2077" s="11">
        <v>5.9722222222222225E-2</v>
      </c>
      <c r="F2077" s="15">
        <f t="shared" si="96"/>
        <v>9</v>
      </c>
      <c r="G2077" s="10" t="str">
        <f t="shared" si="97"/>
        <v>Tuesday</v>
      </c>
      <c r="H2077" s="9" t="str">
        <f t="shared" si="98"/>
        <v>September</v>
      </c>
      <c r="I2077" t="s">
        <v>96</v>
      </c>
      <c r="J2077" t="s">
        <v>23</v>
      </c>
      <c r="K2077">
        <v>5190</v>
      </c>
      <c r="L2077" s="5" t="str">
        <f>IF(OR(K2077&lt;Answers!$C$16,Orders!K2077&gt;Answers!$C$17),"Yes","No")</f>
        <v>No</v>
      </c>
      <c r="M2077" s="14">
        <f>VLOOKUP(B2077,Customers!$A$1:$E$2501,4,0)</f>
        <v>38</v>
      </c>
    </row>
    <row r="2078" spans="1:13" x14ac:dyDescent="0.3">
      <c r="A2078">
        <v>1400596</v>
      </c>
      <c r="B2078">
        <v>367</v>
      </c>
      <c r="C2078" s="1" t="s">
        <v>112</v>
      </c>
      <c r="D2078" s="7">
        <v>45159</v>
      </c>
      <c r="E2078" s="11">
        <v>36749</v>
      </c>
      <c r="F2078" s="15">
        <f t="shared" si="96"/>
        <v>8</v>
      </c>
      <c r="G2078" s="10" t="str">
        <f t="shared" si="97"/>
        <v>Monday</v>
      </c>
      <c r="H2078" s="9" t="str">
        <f t="shared" si="98"/>
        <v>August</v>
      </c>
      <c r="I2078" t="s">
        <v>190</v>
      </c>
      <c r="J2078" t="s">
        <v>85</v>
      </c>
      <c r="K2078">
        <v>680</v>
      </c>
      <c r="L2078" s="5" t="str">
        <f>IF(OR(K2078&lt;Answers!$C$16,Orders!K2078&gt;Answers!$C$17),"Yes","No")</f>
        <v>No</v>
      </c>
      <c r="M2078" s="14">
        <f>VLOOKUP(B2078,Customers!$A$1:$E$2501,4,0)</f>
        <v>23</v>
      </c>
    </row>
    <row r="2079" spans="1:13" x14ac:dyDescent="0.3">
      <c r="A2079">
        <v>1401727</v>
      </c>
      <c r="B2079">
        <v>637</v>
      </c>
      <c r="C2079" s="1" t="s">
        <v>98</v>
      </c>
      <c r="D2079" s="7">
        <v>45152</v>
      </c>
      <c r="E2079" s="11">
        <v>0.52430555555555558</v>
      </c>
      <c r="F2079" s="15">
        <f t="shared" si="96"/>
        <v>8</v>
      </c>
      <c r="G2079" s="10" t="str">
        <f t="shared" si="97"/>
        <v>Monday</v>
      </c>
      <c r="H2079" s="9" t="str">
        <f t="shared" si="98"/>
        <v>August</v>
      </c>
      <c r="I2079" t="s">
        <v>95</v>
      </c>
      <c r="J2079" t="s">
        <v>30</v>
      </c>
      <c r="K2079">
        <v>4277</v>
      </c>
      <c r="L2079" s="5" t="str">
        <f>IF(OR(K2079&lt;Answers!$C$16,Orders!K2079&gt;Answers!$C$17),"Yes","No")</f>
        <v>No</v>
      </c>
      <c r="M2079" s="14">
        <f>VLOOKUP(B2079,Customers!$A$1:$E$2501,4,0)</f>
        <v>38</v>
      </c>
    </row>
    <row r="2080" spans="1:13" x14ac:dyDescent="0.3">
      <c r="A2080">
        <v>1404328</v>
      </c>
      <c r="B2080">
        <v>1469</v>
      </c>
      <c r="C2080" s="1" t="s">
        <v>106</v>
      </c>
      <c r="D2080" s="7">
        <v>44980</v>
      </c>
      <c r="E2080" s="11">
        <v>0.51388888888888884</v>
      </c>
      <c r="F2080" s="15">
        <f t="shared" si="96"/>
        <v>2</v>
      </c>
      <c r="G2080" s="10" t="str">
        <f t="shared" si="97"/>
        <v>Thursday</v>
      </c>
      <c r="H2080" s="9" t="str">
        <f t="shared" si="98"/>
        <v>February</v>
      </c>
      <c r="I2080" t="s">
        <v>96</v>
      </c>
      <c r="J2080" t="s">
        <v>89</v>
      </c>
      <c r="K2080">
        <v>4532</v>
      </c>
      <c r="L2080" s="5" t="str">
        <f>IF(OR(K2080&lt;Answers!$C$16,Orders!K2080&gt;Answers!$C$17),"Yes","No")</f>
        <v>No</v>
      </c>
      <c r="M2080" s="14">
        <f>VLOOKUP(B2080,Customers!$A$1:$E$2501,4,0)</f>
        <v>38</v>
      </c>
    </row>
    <row r="2081" spans="1:13" x14ac:dyDescent="0.3">
      <c r="A2081">
        <v>1404963</v>
      </c>
      <c r="B2081">
        <v>69</v>
      </c>
      <c r="C2081" s="1" t="s">
        <v>98</v>
      </c>
      <c r="D2081" s="7">
        <v>45278</v>
      </c>
      <c r="E2081" s="11">
        <v>0.53819444444444442</v>
      </c>
      <c r="F2081" s="15">
        <f t="shared" si="96"/>
        <v>12</v>
      </c>
      <c r="G2081" s="10" t="str">
        <f t="shared" si="97"/>
        <v>Monday</v>
      </c>
      <c r="H2081" s="9" t="str">
        <f t="shared" si="98"/>
        <v>December</v>
      </c>
      <c r="I2081" t="s">
        <v>97</v>
      </c>
      <c r="J2081" t="s">
        <v>32</v>
      </c>
      <c r="K2081">
        <v>1572</v>
      </c>
      <c r="L2081" s="5" t="str">
        <f>IF(OR(K2081&lt;Answers!$C$16,Orders!K2081&gt;Answers!$C$17),"Yes","No")</f>
        <v>No</v>
      </c>
      <c r="M2081" s="14">
        <f>VLOOKUP(B2081,Customers!$A$1:$E$2501,4,0)</f>
        <v>39</v>
      </c>
    </row>
    <row r="2082" spans="1:13" x14ac:dyDescent="0.3">
      <c r="A2082">
        <v>1405341</v>
      </c>
      <c r="B2082">
        <v>749</v>
      </c>
      <c r="C2082" s="1" t="s">
        <v>105</v>
      </c>
      <c r="D2082" s="7">
        <v>45115</v>
      </c>
      <c r="E2082" s="11">
        <v>6.1111111111111109E-2</v>
      </c>
      <c r="F2082" s="15">
        <f t="shared" si="96"/>
        <v>7</v>
      </c>
      <c r="G2082" s="10" t="str">
        <f t="shared" si="97"/>
        <v>Saturday</v>
      </c>
      <c r="H2082" s="9" t="str">
        <f t="shared" si="98"/>
        <v>July</v>
      </c>
      <c r="I2082" t="s">
        <v>97</v>
      </c>
      <c r="J2082" t="s">
        <v>90</v>
      </c>
      <c r="K2082">
        <v>1177</v>
      </c>
      <c r="L2082" s="5" t="str">
        <f>IF(OR(K2082&lt;Answers!$C$16,Orders!K2082&gt;Answers!$C$17),"Yes","No")</f>
        <v>No</v>
      </c>
      <c r="M2082" s="14">
        <f>VLOOKUP(B2082,Customers!$A$1:$E$2501,4,0)</f>
        <v>82</v>
      </c>
    </row>
    <row r="2083" spans="1:13" x14ac:dyDescent="0.3">
      <c r="A2083">
        <v>1405517</v>
      </c>
      <c r="B2083">
        <v>1790</v>
      </c>
      <c r="C2083" s="1" t="s">
        <v>98</v>
      </c>
      <c r="D2083" s="7">
        <v>45075</v>
      </c>
      <c r="E2083" s="11">
        <v>0.53680555555555554</v>
      </c>
      <c r="F2083" s="15">
        <f t="shared" si="96"/>
        <v>5</v>
      </c>
      <c r="G2083" s="10" t="str">
        <f t="shared" si="97"/>
        <v>Monday</v>
      </c>
      <c r="H2083" s="9" t="str">
        <f t="shared" si="98"/>
        <v>May</v>
      </c>
      <c r="I2083" t="s">
        <v>190</v>
      </c>
      <c r="J2083" t="s">
        <v>34</v>
      </c>
      <c r="K2083">
        <v>8268</v>
      </c>
      <c r="L2083" s="5" t="str">
        <f>IF(OR(K2083&lt;Answers!$C$16,Orders!K2083&gt;Answers!$C$17),"Yes","No")</f>
        <v>No</v>
      </c>
      <c r="M2083" s="14">
        <f>VLOOKUP(B2083,Customers!$A$1:$E$2501,4,0)</f>
        <v>85</v>
      </c>
    </row>
    <row r="2084" spans="1:13" x14ac:dyDescent="0.3">
      <c r="A2084">
        <v>1407976</v>
      </c>
      <c r="B2084">
        <v>569</v>
      </c>
      <c r="C2084" s="1" t="s">
        <v>98</v>
      </c>
      <c r="D2084" s="7">
        <v>45018</v>
      </c>
      <c r="E2084" s="11">
        <v>0.47291666666666665</v>
      </c>
      <c r="F2084" s="15">
        <f t="shared" si="96"/>
        <v>4</v>
      </c>
      <c r="G2084" s="10" t="str">
        <f t="shared" si="97"/>
        <v>Sunday</v>
      </c>
      <c r="H2084" s="9" t="str">
        <f t="shared" si="98"/>
        <v>April</v>
      </c>
      <c r="I2084" t="s">
        <v>95</v>
      </c>
      <c r="J2084" t="s">
        <v>35</v>
      </c>
      <c r="K2084">
        <v>8751</v>
      </c>
      <c r="L2084" s="5" t="str">
        <f>IF(OR(K2084&lt;Answers!$C$16,Orders!K2084&gt;Answers!$C$17),"Yes","No")</f>
        <v>No</v>
      </c>
      <c r="M2084" s="14">
        <f>VLOOKUP(B2084,Customers!$A$1:$E$2501,4,0)</f>
        <v>62</v>
      </c>
    </row>
    <row r="2085" spans="1:13" x14ac:dyDescent="0.3">
      <c r="A2085">
        <v>1409071</v>
      </c>
      <c r="B2085">
        <v>807</v>
      </c>
      <c r="C2085" s="1" t="s">
        <v>101</v>
      </c>
      <c r="D2085" s="7">
        <v>45041</v>
      </c>
      <c r="E2085" s="11">
        <v>0.46805555555555556</v>
      </c>
      <c r="F2085" s="15">
        <f t="shared" si="96"/>
        <v>4</v>
      </c>
      <c r="G2085" s="10" t="str">
        <f t="shared" si="97"/>
        <v>Tuesday</v>
      </c>
      <c r="H2085" s="9" t="str">
        <f t="shared" si="98"/>
        <v>April</v>
      </c>
      <c r="I2085" t="s">
        <v>190</v>
      </c>
      <c r="J2085" t="s">
        <v>36</v>
      </c>
      <c r="K2085">
        <v>1067</v>
      </c>
      <c r="L2085" s="5" t="str">
        <f>IF(OR(K2085&lt;Answers!$C$16,Orders!K2085&gt;Answers!$C$17),"Yes","No")</f>
        <v>No</v>
      </c>
      <c r="M2085" s="14">
        <f>VLOOKUP(B2085,Customers!$A$1:$E$2501,4,0)</f>
        <v>56</v>
      </c>
    </row>
    <row r="2086" spans="1:13" x14ac:dyDescent="0.3">
      <c r="A2086">
        <v>1409253</v>
      </c>
      <c r="B2086">
        <v>1099</v>
      </c>
      <c r="C2086" s="1" t="s">
        <v>99</v>
      </c>
      <c r="D2086" s="7">
        <v>45019</v>
      </c>
      <c r="E2086" s="11">
        <v>0.47847222222222224</v>
      </c>
      <c r="F2086" s="15">
        <f t="shared" si="96"/>
        <v>4</v>
      </c>
      <c r="G2086" s="10" t="str">
        <f t="shared" si="97"/>
        <v>Monday</v>
      </c>
      <c r="H2086" s="9" t="str">
        <f t="shared" si="98"/>
        <v>April</v>
      </c>
      <c r="I2086" t="s">
        <v>190</v>
      </c>
      <c r="J2086" t="s">
        <v>26</v>
      </c>
      <c r="K2086">
        <v>136</v>
      </c>
      <c r="L2086" s="5" t="str">
        <f>IF(OR(K2086&lt;Answers!$C$16,Orders!K2086&gt;Answers!$C$17),"Yes","No")</f>
        <v>No</v>
      </c>
      <c r="M2086" s="14">
        <f>VLOOKUP(B2086,Customers!$A$1:$E$2501,4,0)</f>
        <v>76</v>
      </c>
    </row>
    <row r="2087" spans="1:13" x14ac:dyDescent="0.3">
      <c r="A2087">
        <v>1409459</v>
      </c>
      <c r="B2087">
        <v>843</v>
      </c>
      <c r="C2087" s="1" t="s">
        <v>98</v>
      </c>
      <c r="D2087" s="7">
        <v>45067</v>
      </c>
      <c r="E2087" s="11">
        <v>0.51527777777777772</v>
      </c>
      <c r="F2087" s="15">
        <f t="shared" si="96"/>
        <v>5</v>
      </c>
      <c r="G2087" s="10" t="str">
        <f t="shared" si="97"/>
        <v>Sunday</v>
      </c>
      <c r="H2087" s="9" t="str">
        <f t="shared" si="98"/>
        <v>May</v>
      </c>
      <c r="I2087" t="s">
        <v>96</v>
      </c>
      <c r="J2087" t="s">
        <v>64</v>
      </c>
      <c r="K2087">
        <v>6955</v>
      </c>
      <c r="L2087" s="5" t="str">
        <f>IF(OR(K2087&lt;Answers!$C$16,Orders!K2087&gt;Answers!$C$17),"Yes","No")</f>
        <v>No</v>
      </c>
      <c r="M2087" s="14">
        <f>VLOOKUP(B2087,Customers!$A$1:$E$2501,4,0)</f>
        <v>37</v>
      </c>
    </row>
    <row r="2088" spans="1:13" x14ac:dyDescent="0.3">
      <c r="A2088">
        <v>1409549</v>
      </c>
      <c r="B2088">
        <v>915</v>
      </c>
      <c r="C2088" s="1" t="s">
        <v>99</v>
      </c>
      <c r="D2088" s="7">
        <v>45129</v>
      </c>
      <c r="E2088" s="11">
        <v>36597</v>
      </c>
      <c r="F2088" s="15">
        <f t="shared" si="96"/>
        <v>7</v>
      </c>
      <c r="G2088" s="10" t="str">
        <f t="shared" si="97"/>
        <v>Saturday</v>
      </c>
      <c r="H2088" s="9" t="str">
        <f t="shared" si="98"/>
        <v>July</v>
      </c>
      <c r="I2088" t="s">
        <v>96</v>
      </c>
      <c r="J2088" t="s">
        <v>22</v>
      </c>
      <c r="K2088">
        <v>8235</v>
      </c>
      <c r="L2088" s="5" t="str">
        <f>IF(OR(K2088&lt;Answers!$C$16,Orders!K2088&gt;Answers!$C$17),"Yes","No")</f>
        <v>No</v>
      </c>
      <c r="M2088" s="14">
        <f>VLOOKUP(B2088,Customers!$A$1:$E$2501,4,0)</f>
        <v>39</v>
      </c>
    </row>
    <row r="2089" spans="1:13" x14ac:dyDescent="0.3">
      <c r="A2089">
        <v>1409687</v>
      </c>
      <c r="B2089">
        <v>1475</v>
      </c>
      <c r="C2089" s="1" t="s">
        <v>104</v>
      </c>
      <c r="D2089" s="7">
        <v>45019</v>
      </c>
      <c r="E2089" s="11">
        <v>0.53749999999999998</v>
      </c>
      <c r="F2089" s="15">
        <f t="shared" si="96"/>
        <v>4</v>
      </c>
      <c r="G2089" s="10" t="str">
        <f t="shared" si="97"/>
        <v>Monday</v>
      </c>
      <c r="H2089" s="9" t="str">
        <f t="shared" si="98"/>
        <v>April</v>
      </c>
      <c r="I2089" t="s">
        <v>190</v>
      </c>
      <c r="J2089" t="s">
        <v>39</v>
      </c>
      <c r="K2089">
        <v>3268</v>
      </c>
      <c r="L2089" s="5" t="str">
        <f>IF(OR(K2089&lt;Answers!$C$16,Orders!K2089&gt;Answers!$C$17),"Yes","No")</f>
        <v>No</v>
      </c>
      <c r="M2089" s="14">
        <f>VLOOKUP(B2089,Customers!$A$1:$E$2501,4,0)</f>
        <v>25</v>
      </c>
    </row>
    <row r="2090" spans="1:13" x14ac:dyDescent="0.3">
      <c r="A2090">
        <v>1411077</v>
      </c>
      <c r="B2090">
        <v>1545</v>
      </c>
      <c r="C2090" s="1" t="s">
        <v>102</v>
      </c>
      <c r="D2090" s="7">
        <v>45092</v>
      </c>
      <c r="E2090" s="11">
        <v>36628</v>
      </c>
      <c r="F2090" s="15">
        <f t="shared" si="96"/>
        <v>6</v>
      </c>
      <c r="G2090" s="10" t="str">
        <f t="shared" si="97"/>
        <v>Thursday</v>
      </c>
      <c r="H2090" s="9" t="str">
        <f t="shared" si="98"/>
        <v>June</v>
      </c>
      <c r="I2090" t="s">
        <v>190</v>
      </c>
      <c r="J2090" t="s">
        <v>94</v>
      </c>
      <c r="K2090">
        <v>6186</v>
      </c>
      <c r="L2090" s="5" t="str">
        <f>IF(OR(K2090&lt;Answers!$C$16,Orders!K2090&gt;Answers!$C$17),"Yes","No")</f>
        <v>No</v>
      </c>
      <c r="M2090" s="14">
        <f>VLOOKUP(B2090,Customers!$A$1:$E$2501,4,0)</f>
        <v>30</v>
      </c>
    </row>
    <row r="2091" spans="1:13" x14ac:dyDescent="0.3">
      <c r="A2091">
        <v>1411455</v>
      </c>
      <c r="B2091">
        <v>1416</v>
      </c>
      <c r="C2091" s="1" t="s">
        <v>98</v>
      </c>
      <c r="D2091" s="7">
        <v>45010</v>
      </c>
      <c r="E2091" s="11">
        <v>0.4826388888888889</v>
      </c>
      <c r="F2091" s="15">
        <f t="shared" si="96"/>
        <v>3</v>
      </c>
      <c r="G2091" s="10" t="str">
        <f t="shared" si="97"/>
        <v>Saturday</v>
      </c>
      <c r="H2091" s="9" t="str">
        <f t="shared" si="98"/>
        <v>March</v>
      </c>
      <c r="I2091" t="s">
        <v>95</v>
      </c>
      <c r="J2091" t="s">
        <v>41</v>
      </c>
      <c r="K2091">
        <v>8932</v>
      </c>
      <c r="L2091" s="5" t="str">
        <f>IF(OR(K2091&lt;Answers!$C$16,Orders!K2091&gt;Answers!$C$17),"Yes","No")</f>
        <v>No</v>
      </c>
      <c r="M2091" s="14">
        <f>VLOOKUP(B2091,Customers!$A$1:$E$2501,4,0)</f>
        <v>84</v>
      </c>
    </row>
    <row r="2092" spans="1:13" x14ac:dyDescent="0.3">
      <c r="A2092">
        <v>1412551</v>
      </c>
      <c r="B2092">
        <v>610</v>
      </c>
      <c r="C2092" s="1" t="s">
        <v>99</v>
      </c>
      <c r="D2092" s="7">
        <v>45176</v>
      </c>
      <c r="E2092" s="11">
        <v>36842</v>
      </c>
      <c r="F2092" s="15">
        <f t="shared" si="96"/>
        <v>9</v>
      </c>
      <c r="G2092" s="10" t="str">
        <f t="shared" si="97"/>
        <v>Thursday</v>
      </c>
      <c r="H2092" s="9" t="str">
        <f t="shared" si="98"/>
        <v>September</v>
      </c>
      <c r="I2092" t="s">
        <v>95</v>
      </c>
      <c r="J2092" t="s">
        <v>42</v>
      </c>
      <c r="K2092">
        <v>425</v>
      </c>
      <c r="L2092" s="5" t="str">
        <f>IF(OR(K2092&lt;Answers!$C$16,Orders!K2092&gt;Answers!$C$17),"Yes","No")</f>
        <v>No</v>
      </c>
      <c r="M2092" s="14">
        <f>VLOOKUP(B2092,Customers!$A$1:$E$2501,4,0)</f>
        <v>62</v>
      </c>
    </row>
    <row r="2093" spans="1:13" x14ac:dyDescent="0.3">
      <c r="A2093">
        <v>1414158</v>
      </c>
      <c r="B2093">
        <v>789</v>
      </c>
      <c r="C2093" s="1" t="s">
        <v>99</v>
      </c>
      <c r="D2093" s="7">
        <v>45005</v>
      </c>
      <c r="E2093" s="11">
        <v>36647</v>
      </c>
      <c r="F2093" s="15">
        <f t="shared" si="96"/>
        <v>3</v>
      </c>
      <c r="G2093" s="10" t="str">
        <f t="shared" si="97"/>
        <v>Monday</v>
      </c>
      <c r="H2093" s="9" t="str">
        <f t="shared" si="98"/>
        <v>March</v>
      </c>
      <c r="I2093" t="s">
        <v>96</v>
      </c>
      <c r="J2093" t="s">
        <v>14</v>
      </c>
      <c r="K2093">
        <v>8686</v>
      </c>
      <c r="L2093" s="5" t="str">
        <f>IF(OR(K2093&lt;Answers!$C$16,Orders!K2093&gt;Answers!$C$17),"Yes","No")</f>
        <v>No</v>
      </c>
      <c r="M2093" s="14">
        <f>VLOOKUP(B2093,Customers!$A$1:$E$2501,4,0)</f>
        <v>62</v>
      </c>
    </row>
    <row r="2094" spans="1:13" x14ac:dyDescent="0.3">
      <c r="A2094">
        <v>1416529</v>
      </c>
      <c r="B2094">
        <v>1980</v>
      </c>
      <c r="C2094" s="1" t="s">
        <v>109</v>
      </c>
      <c r="D2094" s="7">
        <v>45104</v>
      </c>
      <c r="E2094" s="11">
        <v>36719</v>
      </c>
      <c r="F2094" s="15">
        <f t="shared" si="96"/>
        <v>6</v>
      </c>
      <c r="G2094" s="10" t="str">
        <f t="shared" si="97"/>
        <v>Tuesday</v>
      </c>
      <c r="H2094" s="9" t="str">
        <f t="shared" si="98"/>
        <v>June</v>
      </c>
      <c r="I2094" t="s">
        <v>96</v>
      </c>
      <c r="J2094" t="s">
        <v>11</v>
      </c>
      <c r="K2094">
        <v>576</v>
      </c>
      <c r="L2094" s="5" t="str">
        <f>IF(OR(K2094&lt;Answers!$C$16,Orders!K2094&gt;Answers!$C$17),"Yes","No")</f>
        <v>No</v>
      </c>
      <c r="M2094" s="14">
        <f>VLOOKUP(B2094,Customers!$A$1:$E$2501,4,0)</f>
        <v>57</v>
      </c>
    </row>
    <row r="2095" spans="1:13" x14ac:dyDescent="0.3">
      <c r="A2095">
        <v>1417112</v>
      </c>
      <c r="B2095">
        <v>1938</v>
      </c>
      <c r="C2095" s="1" t="s">
        <v>200</v>
      </c>
      <c r="D2095" s="7">
        <v>45064</v>
      </c>
      <c r="E2095" s="11">
        <v>0.53263888888888888</v>
      </c>
      <c r="F2095" s="15">
        <f t="shared" si="96"/>
        <v>5</v>
      </c>
      <c r="G2095" s="10" t="str">
        <f t="shared" si="97"/>
        <v>Thursday</v>
      </c>
      <c r="H2095" s="9" t="str">
        <f t="shared" si="98"/>
        <v>May</v>
      </c>
      <c r="I2095" t="s">
        <v>190</v>
      </c>
      <c r="J2095" t="s">
        <v>28</v>
      </c>
      <c r="K2095">
        <v>2520</v>
      </c>
      <c r="L2095" s="5" t="str">
        <f>IF(OR(K2095&lt;Answers!$C$16,Orders!K2095&gt;Answers!$C$17),"Yes","No")</f>
        <v>No</v>
      </c>
      <c r="M2095" s="14">
        <f>VLOOKUP(B2095,Customers!$A$1:$E$2501,4,0)</f>
        <v>70</v>
      </c>
    </row>
    <row r="2096" spans="1:13" x14ac:dyDescent="0.3">
      <c r="A2096">
        <v>1417673</v>
      </c>
      <c r="B2096">
        <v>1947</v>
      </c>
      <c r="C2096" s="1" t="s">
        <v>104</v>
      </c>
      <c r="D2096" s="7">
        <v>45049</v>
      </c>
      <c r="E2096" s="11">
        <v>6.9444444444444448E-2</v>
      </c>
      <c r="F2096" s="15">
        <f t="shared" si="96"/>
        <v>5</v>
      </c>
      <c r="G2096" s="10" t="str">
        <f t="shared" si="97"/>
        <v>Wednesday</v>
      </c>
      <c r="H2096" s="9" t="str">
        <f t="shared" si="98"/>
        <v>May</v>
      </c>
      <c r="I2096" t="s">
        <v>97</v>
      </c>
      <c r="J2096" t="s">
        <v>26</v>
      </c>
      <c r="K2096">
        <v>8765</v>
      </c>
      <c r="L2096" s="5" t="str">
        <f>IF(OR(K2096&lt;Answers!$C$16,Orders!K2096&gt;Answers!$C$17),"Yes","No")</f>
        <v>No</v>
      </c>
      <c r="M2096" s="14">
        <f>VLOOKUP(B2096,Customers!$A$1:$E$2501,4,0)</f>
        <v>33</v>
      </c>
    </row>
    <row r="2097" spans="1:13" x14ac:dyDescent="0.3">
      <c r="A2097">
        <v>1418125</v>
      </c>
      <c r="B2097">
        <v>1496</v>
      </c>
      <c r="C2097" s="1" t="s">
        <v>98</v>
      </c>
      <c r="D2097" s="7">
        <v>45150</v>
      </c>
      <c r="E2097" s="11">
        <v>0.53194444444444444</v>
      </c>
      <c r="F2097" s="15">
        <f t="shared" si="96"/>
        <v>8</v>
      </c>
      <c r="G2097" s="10" t="str">
        <f t="shared" si="97"/>
        <v>Saturday</v>
      </c>
      <c r="H2097" s="9" t="str">
        <f t="shared" si="98"/>
        <v>August</v>
      </c>
      <c r="I2097" t="s">
        <v>97</v>
      </c>
      <c r="J2097" t="s">
        <v>44</v>
      </c>
      <c r="K2097">
        <v>8586</v>
      </c>
      <c r="L2097" s="5" t="str">
        <f>IF(OR(K2097&lt;Answers!$C$16,Orders!K2097&gt;Answers!$C$17),"Yes","No")</f>
        <v>No</v>
      </c>
      <c r="M2097" s="14">
        <f>VLOOKUP(B2097,Customers!$A$1:$E$2501,4,0)</f>
        <v>74</v>
      </c>
    </row>
    <row r="2098" spans="1:13" x14ac:dyDescent="0.3">
      <c r="A2098">
        <v>1420227</v>
      </c>
      <c r="B2098">
        <v>1540</v>
      </c>
      <c r="C2098" s="1" t="s">
        <v>100</v>
      </c>
      <c r="D2098" s="7">
        <v>45007</v>
      </c>
      <c r="E2098" s="11">
        <v>0.52222222222222225</v>
      </c>
      <c r="F2098" s="15">
        <f t="shared" si="96"/>
        <v>3</v>
      </c>
      <c r="G2098" s="10" t="str">
        <f t="shared" si="97"/>
        <v>Wednesday</v>
      </c>
      <c r="H2098" s="9" t="str">
        <f t="shared" si="98"/>
        <v>March</v>
      </c>
      <c r="I2098" t="s">
        <v>97</v>
      </c>
      <c r="J2098" t="s">
        <v>42</v>
      </c>
      <c r="K2098">
        <v>615</v>
      </c>
      <c r="L2098" s="5" t="str">
        <f>IF(OR(K2098&lt;Answers!$C$16,Orders!K2098&gt;Answers!$C$17),"Yes","No")</f>
        <v>No</v>
      </c>
      <c r="M2098" s="14">
        <f>VLOOKUP(B2098,Customers!$A$1:$E$2501,4,0)</f>
        <v>58</v>
      </c>
    </row>
    <row r="2099" spans="1:13" x14ac:dyDescent="0.3">
      <c r="A2099">
        <v>1420448</v>
      </c>
      <c r="B2099">
        <v>1708</v>
      </c>
      <c r="C2099" s="1" t="s">
        <v>99</v>
      </c>
      <c r="D2099" s="7">
        <v>45025</v>
      </c>
      <c r="E2099" s="11">
        <v>0.48402777777777778</v>
      </c>
      <c r="F2099" s="15">
        <f t="shared" si="96"/>
        <v>4</v>
      </c>
      <c r="G2099" s="10" t="str">
        <f t="shared" si="97"/>
        <v>Sunday</v>
      </c>
      <c r="H2099" s="9" t="str">
        <f t="shared" si="98"/>
        <v>April</v>
      </c>
      <c r="I2099" t="s">
        <v>97</v>
      </c>
      <c r="J2099" t="s">
        <v>59</v>
      </c>
      <c r="K2099">
        <v>5060</v>
      </c>
      <c r="L2099" s="5" t="str">
        <f>IF(OR(K2099&lt;Answers!$C$16,Orders!K2099&gt;Answers!$C$17),"Yes","No")</f>
        <v>No</v>
      </c>
      <c r="M2099" s="14">
        <f>VLOOKUP(B2099,Customers!$A$1:$E$2501,4,0)</f>
        <v>87</v>
      </c>
    </row>
    <row r="2100" spans="1:13" x14ac:dyDescent="0.3">
      <c r="A2100">
        <v>1420854</v>
      </c>
      <c r="B2100">
        <v>1759</v>
      </c>
      <c r="C2100" s="1" t="s">
        <v>104</v>
      </c>
      <c r="D2100" s="7">
        <v>45205</v>
      </c>
      <c r="E2100" s="11">
        <v>0.47708333333333336</v>
      </c>
      <c r="F2100" s="15">
        <f t="shared" si="96"/>
        <v>10</v>
      </c>
      <c r="G2100" s="10" t="str">
        <f t="shared" si="97"/>
        <v>Friday</v>
      </c>
      <c r="H2100" s="9" t="str">
        <f t="shared" si="98"/>
        <v>October</v>
      </c>
      <c r="I2100" t="s">
        <v>97</v>
      </c>
      <c r="J2100" t="s">
        <v>89</v>
      </c>
      <c r="K2100">
        <v>1964</v>
      </c>
      <c r="L2100" s="5" t="str">
        <f>IF(OR(K2100&lt;Answers!$C$16,Orders!K2100&gt;Answers!$C$17),"Yes","No")</f>
        <v>No</v>
      </c>
      <c r="M2100" s="14">
        <f>VLOOKUP(B2100,Customers!$A$1:$E$2501,4,0)</f>
        <v>22</v>
      </c>
    </row>
    <row r="2101" spans="1:13" x14ac:dyDescent="0.3">
      <c r="A2101">
        <v>1421840</v>
      </c>
      <c r="B2101">
        <v>1128</v>
      </c>
      <c r="C2101" s="1" t="s">
        <v>99</v>
      </c>
      <c r="D2101" s="7">
        <v>45178</v>
      </c>
      <c r="E2101" s="11">
        <v>0.48472222222222222</v>
      </c>
      <c r="F2101" s="15">
        <f t="shared" si="96"/>
        <v>9</v>
      </c>
      <c r="G2101" s="10" t="str">
        <f t="shared" si="97"/>
        <v>Saturday</v>
      </c>
      <c r="H2101" s="9" t="str">
        <f t="shared" si="98"/>
        <v>September</v>
      </c>
      <c r="I2101" t="s">
        <v>96</v>
      </c>
      <c r="J2101" t="s">
        <v>13</v>
      </c>
      <c r="K2101">
        <v>1084</v>
      </c>
      <c r="L2101" s="5" t="str">
        <f>IF(OR(K2101&lt;Answers!$C$16,Orders!K2101&gt;Answers!$C$17),"Yes","No")</f>
        <v>No</v>
      </c>
      <c r="M2101" s="14">
        <f>VLOOKUP(B2101,Customers!$A$1:$E$2501,4,0)</f>
        <v>18</v>
      </c>
    </row>
    <row r="2102" spans="1:13" x14ac:dyDescent="0.3">
      <c r="A2102">
        <v>1422378</v>
      </c>
      <c r="B2102">
        <v>684</v>
      </c>
      <c r="C2102" s="1" t="s">
        <v>101</v>
      </c>
      <c r="D2102" s="7">
        <v>45236</v>
      </c>
      <c r="E2102" s="11">
        <v>36842</v>
      </c>
      <c r="F2102" s="15">
        <f t="shared" si="96"/>
        <v>11</v>
      </c>
      <c r="G2102" s="10" t="str">
        <f t="shared" si="97"/>
        <v>Monday</v>
      </c>
      <c r="H2102" s="9" t="str">
        <f t="shared" si="98"/>
        <v>November</v>
      </c>
      <c r="I2102" t="s">
        <v>97</v>
      </c>
      <c r="J2102" t="s">
        <v>26</v>
      </c>
      <c r="K2102">
        <v>3274</v>
      </c>
      <c r="L2102" s="5" t="str">
        <f>IF(OR(K2102&lt;Answers!$C$16,Orders!K2102&gt;Answers!$C$17),"Yes","No")</f>
        <v>No</v>
      </c>
      <c r="M2102" s="14">
        <f>VLOOKUP(B2102,Customers!$A$1:$E$2501,4,0)</f>
        <v>88</v>
      </c>
    </row>
    <row r="2103" spans="1:13" x14ac:dyDescent="0.3">
      <c r="A2103">
        <v>1422755</v>
      </c>
      <c r="B2103">
        <v>830</v>
      </c>
      <c r="C2103" s="1" t="s">
        <v>99</v>
      </c>
      <c r="D2103" s="7">
        <v>45226</v>
      </c>
      <c r="E2103" s="11">
        <v>36628</v>
      </c>
      <c r="F2103" s="15">
        <f t="shared" si="96"/>
        <v>10</v>
      </c>
      <c r="G2103" s="10" t="str">
        <f t="shared" si="97"/>
        <v>Friday</v>
      </c>
      <c r="H2103" s="9" t="str">
        <f t="shared" si="98"/>
        <v>October</v>
      </c>
      <c r="I2103" t="s">
        <v>96</v>
      </c>
      <c r="J2103" t="s">
        <v>6</v>
      </c>
      <c r="K2103">
        <v>7502</v>
      </c>
      <c r="L2103" s="5" t="str">
        <f>IF(OR(K2103&lt;Answers!$C$16,Orders!K2103&gt;Answers!$C$17),"Yes","No")</f>
        <v>No</v>
      </c>
      <c r="M2103" s="14">
        <f>VLOOKUP(B2103,Customers!$A$1:$E$2501,4,0)</f>
        <v>75</v>
      </c>
    </row>
    <row r="2104" spans="1:13" x14ac:dyDescent="0.3">
      <c r="A2104">
        <v>1423052</v>
      </c>
      <c r="B2104">
        <v>536</v>
      </c>
      <c r="C2104" s="1" t="s">
        <v>108</v>
      </c>
      <c r="D2104" s="7">
        <v>44953</v>
      </c>
      <c r="E2104" s="11">
        <v>0.54027777777777775</v>
      </c>
      <c r="F2104" s="15">
        <f t="shared" si="96"/>
        <v>1</v>
      </c>
      <c r="G2104" s="10" t="str">
        <f t="shared" si="97"/>
        <v>Friday</v>
      </c>
      <c r="H2104" s="9" t="str">
        <f t="shared" si="98"/>
        <v>January</v>
      </c>
      <c r="I2104" t="s">
        <v>97</v>
      </c>
      <c r="J2104" t="s">
        <v>8</v>
      </c>
      <c r="K2104">
        <v>8357</v>
      </c>
      <c r="L2104" s="5" t="str">
        <f>IF(OR(K2104&lt;Answers!$C$16,Orders!K2104&gt;Answers!$C$17),"Yes","No")</f>
        <v>No</v>
      </c>
      <c r="M2104" s="14">
        <f>VLOOKUP(B2104,Customers!$A$1:$E$2501,4,0)</f>
        <v>69</v>
      </c>
    </row>
    <row r="2105" spans="1:13" x14ac:dyDescent="0.3">
      <c r="A2105">
        <v>1424219</v>
      </c>
      <c r="B2105">
        <v>1706</v>
      </c>
      <c r="C2105" s="1" t="s">
        <v>98</v>
      </c>
      <c r="D2105" s="7">
        <v>45139</v>
      </c>
      <c r="E2105" s="11">
        <v>36781</v>
      </c>
      <c r="F2105" s="15">
        <f t="shared" si="96"/>
        <v>8</v>
      </c>
      <c r="G2105" s="10" t="str">
        <f t="shared" si="97"/>
        <v>Tuesday</v>
      </c>
      <c r="H2105" s="9" t="str">
        <f t="shared" si="98"/>
        <v>August</v>
      </c>
      <c r="I2105" t="s">
        <v>96</v>
      </c>
      <c r="J2105" t="s">
        <v>47</v>
      </c>
      <c r="K2105">
        <v>2522</v>
      </c>
      <c r="L2105" s="5" t="str">
        <f>IF(OR(K2105&lt;Answers!$C$16,Orders!K2105&gt;Answers!$C$17),"Yes","No")</f>
        <v>No</v>
      </c>
      <c r="M2105" s="14">
        <f>VLOOKUP(B2105,Customers!$A$1:$E$2501,4,0)</f>
        <v>47</v>
      </c>
    </row>
    <row r="2106" spans="1:13" x14ac:dyDescent="0.3">
      <c r="A2106">
        <v>1424531</v>
      </c>
      <c r="B2106">
        <v>1425</v>
      </c>
      <c r="C2106" s="1" t="s">
        <v>100</v>
      </c>
      <c r="D2106" s="7">
        <v>45024</v>
      </c>
      <c r="E2106" s="11">
        <v>0.45763888888888887</v>
      </c>
      <c r="F2106" s="15">
        <f t="shared" si="96"/>
        <v>4</v>
      </c>
      <c r="G2106" s="10" t="str">
        <f t="shared" si="97"/>
        <v>Saturday</v>
      </c>
      <c r="H2106" s="9" t="str">
        <f t="shared" si="98"/>
        <v>April</v>
      </c>
      <c r="I2106" t="s">
        <v>96</v>
      </c>
      <c r="J2106" t="s">
        <v>13</v>
      </c>
      <c r="K2106">
        <v>5390</v>
      </c>
      <c r="L2106" s="5" t="str">
        <f>IF(OR(K2106&lt;Answers!$C$16,Orders!K2106&gt;Answers!$C$17),"Yes","No")</f>
        <v>No</v>
      </c>
      <c r="M2106" s="14">
        <f>VLOOKUP(B2106,Customers!$A$1:$E$2501,4,0)</f>
        <v>79</v>
      </c>
    </row>
    <row r="2107" spans="1:13" x14ac:dyDescent="0.3">
      <c r="A2107">
        <v>1424927</v>
      </c>
      <c r="B2107">
        <v>176</v>
      </c>
      <c r="C2107" s="1" t="s">
        <v>99</v>
      </c>
      <c r="D2107" s="7">
        <v>45264</v>
      </c>
      <c r="E2107" s="11">
        <v>36658</v>
      </c>
      <c r="F2107" s="15">
        <f t="shared" si="96"/>
        <v>12</v>
      </c>
      <c r="G2107" s="10" t="str">
        <f t="shared" si="97"/>
        <v>Monday</v>
      </c>
      <c r="H2107" s="9" t="str">
        <f t="shared" si="98"/>
        <v>December</v>
      </c>
      <c r="I2107" t="s">
        <v>97</v>
      </c>
      <c r="J2107" t="s">
        <v>60</v>
      </c>
      <c r="K2107">
        <v>9104</v>
      </c>
      <c r="L2107" s="5" t="str">
        <f>IF(OR(K2107&lt;Answers!$C$16,Orders!K2107&gt;Answers!$C$17),"Yes","No")</f>
        <v>No</v>
      </c>
      <c r="M2107" s="14">
        <f>VLOOKUP(B2107,Customers!$A$1:$E$2501,4,0)</f>
        <v>46</v>
      </c>
    </row>
    <row r="2108" spans="1:13" x14ac:dyDescent="0.3">
      <c r="A2108">
        <v>1425405</v>
      </c>
      <c r="B2108">
        <v>1220</v>
      </c>
      <c r="C2108" s="1" t="s">
        <v>98</v>
      </c>
      <c r="D2108" s="7">
        <v>45070</v>
      </c>
      <c r="E2108" s="11">
        <v>36719</v>
      </c>
      <c r="F2108" s="15">
        <f t="shared" si="96"/>
        <v>5</v>
      </c>
      <c r="G2108" s="10" t="str">
        <f t="shared" si="97"/>
        <v>Wednesday</v>
      </c>
      <c r="H2108" s="9" t="str">
        <f t="shared" si="98"/>
        <v>May</v>
      </c>
      <c r="I2108" t="s">
        <v>190</v>
      </c>
      <c r="J2108" t="s">
        <v>64</v>
      </c>
      <c r="K2108">
        <v>6403</v>
      </c>
      <c r="L2108" s="5" t="str">
        <f>IF(OR(K2108&lt;Answers!$C$16,Orders!K2108&gt;Answers!$C$17),"Yes","No")</f>
        <v>No</v>
      </c>
      <c r="M2108" s="14">
        <f>VLOOKUP(B2108,Customers!$A$1:$E$2501,4,0)</f>
        <v>58</v>
      </c>
    </row>
    <row r="2109" spans="1:13" x14ac:dyDescent="0.3">
      <c r="A2109">
        <v>1426596</v>
      </c>
      <c r="B2109">
        <v>1768</v>
      </c>
      <c r="C2109" s="1" t="s">
        <v>98</v>
      </c>
      <c r="D2109" s="7">
        <v>45281</v>
      </c>
      <c r="E2109" s="11">
        <v>0.52361111111111114</v>
      </c>
      <c r="F2109" s="15">
        <f t="shared" si="96"/>
        <v>12</v>
      </c>
      <c r="G2109" s="10" t="str">
        <f t="shared" si="97"/>
        <v>Thursday</v>
      </c>
      <c r="H2109" s="9" t="str">
        <f t="shared" si="98"/>
        <v>December</v>
      </c>
      <c r="I2109" t="s">
        <v>96</v>
      </c>
      <c r="J2109" t="s">
        <v>16</v>
      </c>
      <c r="K2109">
        <v>3187</v>
      </c>
      <c r="L2109" s="5" t="str">
        <f>IF(OR(K2109&lt;Answers!$C$16,Orders!K2109&gt;Answers!$C$17),"Yes","No")</f>
        <v>No</v>
      </c>
      <c r="M2109" s="14">
        <f>VLOOKUP(B2109,Customers!$A$1:$E$2501,4,0)</f>
        <v>81</v>
      </c>
    </row>
    <row r="2110" spans="1:13" x14ac:dyDescent="0.3">
      <c r="A2110">
        <v>1427947</v>
      </c>
      <c r="B2110">
        <v>823</v>
      </c>
      <c r="C2110" s="1" t="s">
        <v>99</v>
      </c>
      <c r="D2110" s="7">
        <v>44951</v>
      </c>
      <c r="E2110" s="11">
        <v>36862</v>
      </c>
      <c r="F2110" s="15">
        <f t="shared" si="96"/>
        <v>1</v>
      </c>
      <c r="G2110" s="10" t="str">
        <f t="shared" si="97"/>
        <v>Wednesday</v>
      </c>
      <c r="H2110" s="9" t="str">
        <f t="shared" si="98"/>
        <v>January</v>
      </c>
      <c r="I2110" t="s">
        <v>97</v>
      </c>
      <c r="J2110" t="s">
        <v>17</v>
      </c>
      <c r="K2110">
        <v>4859</v>
      </c>
      <c r="L2110" s="5" t="str">
        <f>IF(OR(K2110&lt;Answers!$C$16,Orders!K2110&gt;Answers!$C$17),"Yes","No")</f>
        <v>No</v>
      </c>
      <c r="M2110" s="14">
        <f>VLOOKUP(B2110,Customers!$A$1:$E$2501,4,0)</f>
        <v>63</v>
      </c>
    </row>
    <row r="2111" spans="1:13" x14ac:dyDescent="0.3">
      <c r="A2111">
        <v>1428296</v>
      </c>
      <c r="B2111">
        <v>80</v>
      </c>
      <c r="C2111" s="1" t="s">
        <v>98</v>
      </c>
      <c r="D2111" s="7">
        <v>45066</v>
      </c>
      <c r="E2111" s="11">
        <v>0.53819444444444442</v>
      </c>
      <c r="F2111" s="15">
        <f t="shared" si="96"/>
        <v>5</v>
      </c>
      <c r="G2111" s="10" t="str">
        <f t="shared" si="97"/>
        <v>Saturday</v>
      </c>
      <c r="H2111" s="9" t="str">
        <f t="shared" si="98"/>
        <v>May</v>
      </c>
      <c r="I2111" t="s">
        <v>96</v>
      </c>
      <c r="J2111" t="s">
        <v>88</v>
      </c>
      <c r="K2111">
        <v>1637</v>
      </c>
      <c r="L2111" s="5" t="str">
        <f>IF(OR(K2111&lt;Answers!$C$16,Orders!K2111&gt;Answers!$C$17),"Yes","No")</f>
        <v>No</v>
      </c>
      <c r="M2111" s="14">
        <f>VLOOKUP(B2111,Customers!$A$1:$E$2501,4,0)</f>
        <v>37</v>
      </c>
    </row>
    <row r="2112" spans="1:13" x14ac:dyDescent="0.3">
      <c r="A2112">
        <v>1428328</v>
      </c>
      <c r="B2112">
        <v>1988</v>
      </c>
      <c r="C2112" s="1" t="s">
        <v>98</v>
      </c>
      <c r="D2112" s="7">
        <v>45044</v>
      </c>
      <c r="E2112" s="11">
        <v>5.7638888888888892E-2</v>
      </c>
      <c r="F2112" s="15">
        <f t="shared" si="96"/>
        <v>4</v>
      </c>
      <c r="G2112" s="10" t="str">
        <f t="shared" si="97"/>
        <v>Friday</v>
      </c>
      <c r="H2112" s="9" t="str">
        <f t="shared" si="98"/>
        <v>April</v>
      </c>
      <c r="I2112" t="s">
        <v>97</v>
      </c>
      <c r="J2112" t="s">
        <v>78</v>
      </c>
      <c r="K2112">
        <v>2435</v>
      </c>
      <c r="L2112" s="5" t="str">
        <f>IF(OR(K2112&lt;Answers!$C$16,Orders!K2112&gt;Answers!$C$17),"Yes","No")</f>
        <v>No</v>
      </c>
      <c r="M2112" s="14">
        <f>VLOOKUP(B2112,Customers!$A$1:$E$2501,4,0)</f>
        <v>66</v>
      </c>
    </row>
    <row r="2113" spans="1:13" x14ac:dyDescent="0.3">
      <c r="A2113">
        <v>1429209</v>
      </c>
      <c r="B2113">
        <v>701</v>
      </c>
      <c r="C2113" s="1" t="s">
        <v>112</v>
      </c>
      <c r="D2113" s="7">
        <v>45264</v>
      </c>
      <c r="E2113" s="11">
        <v>5.2777777777777778E-2</v>
      </c>
      <c r="F2113" s="15">
        <f t="shared" si="96"/>
        <v>12</v>
      </c>
      <c r="G2113" s="10" t="str">
        <f t="shared" si="97"/>
        <v>Monday</v>
      </c>
      <c r="H2113" s="9" t="str">
        <f t="shared" si="98"/>
        <v>December</v>
      </c>
      <c r="I2113" t="s">
        <v>190</v>
      </c>
      <c r="J2113" t="s">
        <v>50</v>
      </c>
      <c r="K2113">
        <v>1494</v>
      </c>
      <c r="L2113" s="5" t="str">
        <f>IF(OR(K2113&lt;Answers!$C$16,Orders!K2113&gt;Answers!$C$17),"Yes","No")</f>
        <v>No</v>
      </c>
      <c r="M2113" s="14">
        <f>VLOOKUP(B2113,Customers!$A$1:$E$2501,4,0)</f>
        <v>72</v>
      </c>
    </row>
    <row r="2114" spans="1:13" x14ac:dyDescent="0.3">
      <c r="A2114">
        <v>1432252</v>
      </c>
      <c r="B2114">
        <v>286</v>
      </c>
      <c r="C2114" s="1" t="s">
        <v>98</v>
      </c>
      <c r="D2114" s="7">
        <v>44930</v>
      </c>
      <c r="E2114" s="11">
        <v>0.53055555555555556</v>
      </c>
      <c r="F2114" s="15">
        <f t="shared" si="96"/>
        <v>1</v>
      </c>
      <c r="G2114" s="10" t="str">
        <f t="shared" si="97"/>
        <v>Wednesday</v>
      </c>
      <c r="H2114" s="9" t="str">
        <f t="shared" si="98"/>
        <v>January</v>
      </c>
      <c r="I2114" t="s">
        <v>190</v>
      </c>
      <c r="J2114" t="s">
        <v>8</v>
      </c>
      <c r="K2114">
        <v>4443</v>
      </c>
      <c r="L2114" s="5" t="str">
        <f>IF(OR(K2114&lt;Answers!$C$16,Orders!K2114&gt;Answers!$C$17),"Yes","No")</f>
        <v>No</v>
      </c>
      <c r="M2114" s="14">
        <f>VLOOKUP(B2114,Customers!$A$1:$E$2501,4,0)</f>
        <v>79</v>
      </c>
    </row>
    <row r="2115" spans="1:13" x14ac:dyDescent="0.3">
      <c r="A2115">
        <v>1433358</v>
      </c>
      <c r="B2115">
        <v>125</v>
      </c>
      <c r="C2115" s="1" t="s">
        <v>104</v>
      </c>
      <c r="D2115" s="7">
        <v>45076</v>
      </c>
      <c r="E2115" s="11">
        <v>0.51388888888888884</v>
      </c>
      <c r="F2115" s="15">
        <f t="shared" ref="F2115:F2178" si="99">MONTH(D2115)</f>
        <v>5</v>
      </c>
      <c r="G2115" s="10" t="str">
        <f t="shared" ref="G2115:G2178" si="100">TEXT(D2115,"dddd")</f>
        <v>Tuesday</v>
      </c>
      <c r="H2115" s="9" t="str">
        <f t="shared" ref="H2115:H2178" si="101">TEXT(D2115,"mmmm")</f>
        <v>May</v>
      </c>
      <c r="I2115" t="s">
        <v>95</v>
      </c>
      <c r="J2115" t="s">
        <v>89</v>
      </c>
      <c r="K2115">
        <v>7762</v>
      </c>
      <c r="L2115" s="5" t="str">
        <f>IF(OR(K2115&lt;Answers!$C$16,Orders!K2115&gt;Answers!$C$17),"Yes","No")</f>
        <v>No</v>
      </c>
      <c r="M2115" s="14">
        <f>VLOOKUP(B2115,Customers!$A$1:$E$2501,4,0)</f>
        <v>58</v>
      </c>
    </row>
    <row r="2116" spans="1:13" x14ac:dyDescent="0.3">
      <c r="A2116">
        <v>1436270</v>
      </c>
      <c r="B2116">
        <v>1052</v>
      </c>
      <c r="C2116" s="1" t="s">
        <v>108</v>
      </c>
      <c r="D2116" s="7">
        <v>45101</v>
      </c>
      <c r="E2116" s="11">
        <v>7.013888888888889E-2</v>
      </c>
      <c r="F2116" s="15">
        <f t="shared" si="99"/>
        <v>6</v>
      </c>
      <c r="G2116" s="10" t="str">
        <f t="shared" si="100"/>
        <v>Saturday</v>
      </c>
      <c r="H2116" s="9" t="str">
        <f t="shared" si="101"/>
        <v>June</v>
      </c>
      <c r="I2116" t="s">
        <v>96</v>
      </c>
      <c r="J2116" t="s">
        <v>56</v>
      </c>
      <c r="K2116">
        <v>1360</v>
      </c>
      <c r="L2116" s="5" t="str">
        <f>IF(OR(K2116&lt;Answers!$C$16,Orders!K2116&gt;Answers!$C$17),"Yes","No")</f>
        <v>No</v>
      </c>
      <c r="M2116" s="14">
        <f>VLOOKUP(B2116,Customers!$A$1:$E$2501,4,0)</f>
        <v>66</v>
      </c>
    </row>
    <row r="2117" spans="1:13" x14ac:dyDescent="0.3">
      <c r="A2117">
        <v>1437527</v>
      </c>
      <c r="B2117">
        <v>1495</v>
      </c>
      <c r="C2117" s="1" t="s">
        <v>107</v>
      </c>
      <c r="D2117" s="7">
        <v>44982</v>
      </c>
      <c r="E2117" s="11">
        <v>0.53263888888888888</v>
      </c>
      <c r="F2117" s="15">
        <f t="shared" si="99"/>
        <v>2</v>
      </c>
      <c r="G2117" s="10" t="str">
        <f t="shared" si="100"/>
        <v>Saturday</v>
      </c>
      <c r="H2117" s="9" t="str">
        <f t="shared" si="101"/>
        <v>February</v>
      </c>
      <c r="I2117" t="s">
        <v>97</v>
      </c>
      <c r="J2117" t="s">
        <v>91</v>
      </c>
      <c r="K2117">
        <v>2234</v>
      </c>
      <c r="L2117" s="5" t="str">
        <f>IF(OR(K2117&lt;Answers!$C$16,Orders!K2117&gt;Answers!$C$17),"Yes","No")</f>
        <v>No</v>
      </c>
      <c r="M2117" s="14">
        <f>VLOOKUP(B2117,Customers!$A$1:$E$2501,4,0)</f>
        <v>34</v>
      </c>
    </row>
    <row r="2118" spans="1:13" x14ac:dyDescent="0.3">
      <c r="A2118">
        <v>1437873</v>
      </c>
      <c r="B2118">
        <v>493</v>
      </c>
      <c r="C2118" s="1" t="s">
        <v>98</v>
      </c>
      <c r="D2118" s="7">
        <v>45052</v>
      </c>
      <c r="E2118" s="11">
        <v>0.49375000000000002</v>
      </c>
      <c r="F2118" s="15">
        <f t="shared" si="99"/>
        <v>5</v>
      </c>
      <c r="G2118" s="10" t="str">
        <f t="shared" si="100"/>
        <v>Saturday</v>
      </c>
      <c r="H2118" s="9" t="str">
        <f t="shared" si="101"/>
        <v>May</v>
      </c>
      <c r="I2118" t="s">
        <v>97</v>
      </c>
      <c r="J2118" t="s">
        <v>23</v>
      </c>
      <c r="K2118">
        <v>5373</v>
      </c>
      <c r="L2118" s="5" t="str">
        <f>IF(OR(K2118&lt;Answers!$C$16,Orders!K2118&gt;Answers!$C$17),"Yes","No")</f>
        <v>No</v>
      </c>
      <c r="M2118" s="14">
        <f>VLOOKUP(B2118,Customers!$A$1:$E$2501,4,0)</f>
        <v>82</v>
      </c>
    </row>
    <row r="2119" spans="1:13" x14ac:dyDescent="0.3">
      <c r="A2119">
        <v>1438232</v>
      </c>
      <c r="B2119">
        <v>1388</v>
      </c>
      <c r="C2119" s="1" t="s">
        <v>105</v>
      </c>
      <c r="D2119" s="7">
        <v>45016</v>
      </c>
      <c r="E2119" s="11">
        <v>0.53333333333333333</v>
      </c>
      <c r="F2119" s="15">
        <f t="shared" si="99"/>
        <v>3</v>
      </c>
      <c r="G2119" s="10" t="str">
        <f t="shared" si="100"/>
        <v>Friday</v>
      </c>
      <c r="H2119" s="9" t="str">
        <f t="shared" si="101"/>
        <v>March</v>
      </c>
      <c r="I2119" t="s">
        <v>190</v>
      </c>
      <c r="J2119" t="s">
        <v>17</v>
      </c>
      <c r="K2119">
        <v>8781</v>
      </c>
      <c r="L2119" s="5" t="str">
        <f>IF(OR(K2119&lt;Answers!$C$16,Orders!K2119&gt;Answers!$C$17),"Yes","No")</f>
        <v>No</v>
      </c>
      <c r="M2119" s="14">
        <f>VLOOKUP(B2119,Customers!$A$1:$E$2501,4,0)</f>
        <v>65</v>
      </c>
    </row>
    <row r="2120" spans="1:13" x14ac:dyDescent="0.3">
      <c r="A2120">
        <v>1438726</v>
      </c>
      <c r="B2120">
        <v>1037</v>
      </c>
      <c r="C2120" s="1" t="s">
        <v>112</v>
      </c>
      <c r="D2120" s="7">
        <v>45194</v>
      </c>
      <c r="E2120" s="11">
        <v>36568</v>
      </c>
      <c r="F2120" s="15">
        <f t="shared" si="99"/>
        <v>9</v>
      </c>
      <c r="G2120" s="10" t="str">
        <f t="shared" si="100"/>
        <v>Monday</v>
      </c>
      <c r="H2120" s="9" t="str">
        <f t="shared" si="101"/>
        <v>September</v>
      </c>
      <c r="I2120" t="s">
        <v>190</v>
      </c>
      <c r="J2120" t="s">
        <v>26</v>
      </c>
      <c r="K2120">
        <v>2991</v>
      </c>
      <c r="L2120" s="5" t="str">
        <f>IF(OR(K2120&lt;Answers!$C$16,Orders!K2120&gt;Answers!$C$17),"Yes","No")</f>
        <v>No</v>
      </c>
      <c r="M2120" s="14">
        <f>VLOOKUP(B2120,Customers!$A$1:$E$2501,4,0)</f>
        <v>21</v>
      </c>
    </row>
    <row r="2121" spans="1:13" x14ac:dyDescent="0.3">
      <c r="A2121">
        <v>1438926</v>
      </c>
      <c r="B2121">
        <v>367</v>
      </c>
      <c r="C2121" s="1" t="s">
        <v>112</v>
      </c>
      <c r="D2121" s="7">
        <v>45042</v>
      </c>
      <c r="E2121" s="11">
        <v>0.44374999999999998</v>
      </c>
      <c r="F2121" s="15">
        <f t="shared" si="99"/>
        <v>4</v>
      </c>
      <c r="G2121" s="10" t="str">
        <f t="shared" si="100"/>
        <v>Wednesday</v>
      </c>
      <c r="H2121" s="9" t="str">
        <f t="shared" si="101"/>
        <v>April</v>
      </c>
      <c r="I2121" t="s">
        <v>96</v>
      </c>
      <c r="J2121" t="s">
        <v>4</v>
      </c>
      <c r="K2121">
        <v>3956</v>
      </c>
      <c r="L2121" s="5" t="str">
        <f>IF(OR(K2121&lt;Answers!$C$16,Orders!K2121&gt;Answers!$C$17),"Yes","No")</f>
        <v>No</v>
      </c>
      <c r="M2121" s="14">
        <f>VLOOKUP(B2121,Customers!$A$1:$E$2501,4,0)</f>
        <v>23</v>
      </c>
    </row>
    <row r="2122" spans="1:13" x14ac:dyDescent="0.3">
      <c r="A2122">
        <v>1439951</v>
      </c>
      <c r="B2122">
        <v>1852</v>
      </c>
      <c r="C2122" s="1" t="s">
        <v>106</v>
      </c>
      <c r="D2122" s="7">
        <v>45146</v>
      </c>
      <c r="E2122" s="11">
        <v>0.48055555555555557</v>
      </c>
      <c r="F2122" s="15">
        <f t="shared" si="99"/>
        <v>8</v>
      </c>
      <c r="G2122" s="10" t="str">
        <f t="shared" si="100"/>
        <v>Tuesday</v>
      </c>
      <c r="H2122" s="9" t="str">
        <f t="shared" si="101"/>
        <v>August</v>
      </c>
      <c r="I2122" t="s">
        <v>190</v>
      </c>
      <c r="J2122" t="s">
        <v>15</v>
      </c>
      <c r="K2122">
        <v>1905</v>
      </c>
      <c r="L2122" s="5" t="str">
        <f>IF(OR(K2122&lt;Answers!$C$16,Orders!K2122&gt;Answers!$C$17),"Yes","No")</f>
        <v>No</v>
      </c>
      <c r="M2122" s="14">
        <f>VLOOKUP(B2122,Customers!$A$1:$E$2501,4,0)</f>
        <v>87</v>
      </c>
    </row>
    <row r="2123" spans="1:13" x14ac:dyDescent="0.3">
      <c r="A2123">
        <v>1440438</v>
      </c>
      <c r="B2123">
        <v>531</v>
      </c>
      <c r="C2123" s="1" t="s">
        <v>98</v>
      </c>
      <c r="D2123" s="7">
        <v>44931</v>
      </c>
      <c r="E2123" s="11">
        <v>36770</v>
      </c>
      <c r="F2123" s="15">
        <f t="shared" si="99"/>
        <v>1</v>
      </c>
      <c r="G2123" s="10" t="str">
        <f t="shared" si="100"/>
        <v>Thursday</v>
      </c>
      <c r="H2123" s="9" t="str">
        <f t="shared" si="101"/>
        <v>January</v>
      </c>
      <c r="I2123" t="s">
        <v>97</v>
      </c>
      <c r="J2123" t="s">
        <v>73</v>
      </c>
      <c r="K2123">
        <v>1288</v>
      </c>
      <c r="L2123" s="5" t="str">
        <f>IF(OR(K2123&lt;Answers!$C$16,Orders!K2123&gt;Answers!$C$17),"Yes","No")</f>
        <v>No</v>
      </c>
      <c r="M2123" s="14">
        <f>VLOOKUP(B2123,Customers!$A$1:$E$2501,4,0)</f>
        <v>43</v>
      </c>
    </row>
    <row r="2124" spans="1:13" x14ac:dyDescent="0.3">
      <c r="A2124">
        <v>1440486</v>
      </c>
      <c r="B2124">
        <v>898</v>
      </c>
      <c r="C2124" s="1" t="s">
        <v>98</v>
      </c>
      <c r="D2124" s="7">
        <v>45253</v>
      </c>
      <c r="E2124" s="11">
        <v>0.51944444444444449</v>
      </c>
      <c r="F2124" s="15">
        <f t="shared" si="99"/>
        <v>11</v>
      </c>
      <c r="G2124" s="10" t="str">
        <f t="shared" si="100"/>
        <v>Thursday</v>
      </c>
      <c r="H2124" s="9" t="str">
        <f t="shared" si="101"/>
        <v>November</v>
      </c>
      <c r="I2124" t="s">
        <v>97</v>
      </c>
      <c r="J2124" t="s">
        <v>69</v>
      </c>
      <c r="K2124">
        <v>7417</v>
      </c>
      <c r="L2124" s="5" t="str">
        <f>IF(OR(K2124&lt;Answers!$C$16,Orders!K2124&gt;Answers!$C$17),"Yes","No")</f>
        <v>No</v>
      </c>
      <c r="M2124" s="14">
        <f>VLOOKUP(B2124,Customers!$A$1:$E$2501,4,0)</f>
        <v>64</v>
      </c>
    </row>
    <row r="2125" spans="1:13" x14ac:dyDescent="0.3">
      <c r="A2125">
        <v>1441153</v>
      </c>
      <c r="B2125">
        <v>1510</v>
      </c>
      <c r="C2125" s="1" t="s">
        <v>102</v>
      </c>
      <c r="D2125" s="7">
        <v>45213</v>
      </c>
      <c r="E2125" s="11">
        <v>0.52708333333333335</v>
      </c>
      <c r="F2125" s="15">
        <f t="shared" si="99"/>
        <v>10</v>
      </c>
      <c r="G2125" s="10" t="str">
        <f t="shared" si="100"/>
        <v>Saturday</v>
      </c>
      <c r="H2125" s="9" t="str">
        <f t="shared" si="101"/>
        <v>October</v>
      </c>
      <c r="I2125" t="s">
        <v>96</v>
      </c>
      <c r="J2125" t="s">
        <v>70</v>
      </c>
      <c r="K2125">
        <v>3392</v>
      </c>
      <c r="L2125" s="5" t="str">
        <f>IF(OR(K2125&lt;Answers!$C$16,Orders!K2125&gt;Answers!$C$17),"Yes","No")</f>
        <v>No</v>
      </c>
      <c r="M2125" s="14">
        <f>VLOOKUP(B2125,Customers!$A$1:$E$2501,4,0)</f>
        <v>23</v>
      </c>
    </row>
    <row r="2126" spans="1:13" x14ac:dyDescent="0.3">
      <c r="A2126">
        <v>1441631</v>
      </c>
      <c r="B2126">
        <v>1359</v>
      </c>
      <c r="C2126" s="1" t="s">
        <v>98</v>
      </c>
      <c r="D2126" s="7">
        <v>45063</v>
      </c>
      <c r="E2126" s="11">
        <v>0.53541666666666665</v>
      </c>
      <c r="F2126" s="15">
        <f t="shared" si="99"/>
        <v>5</v>
      </c>
      <c r="G2126" s="10" t="str">
        <f t="shared" si="100"/>
        <v>Wednesday</v>
      </c>
      <c r="H2126" s="9" t="str">
        <f t="shared" si="101"/>
        <v>May</v>
      </c>
      <c r="I2126" t="s">
        <v>97</v>
      </c>
      <c r="J2126" t="s">
        <v>42</v>
      </c>
      <c r="K2126">
        <v>6438</v>
      </c>
      <c r="L2126" s="5" t="str">
        <f>IF(OR(K2126&lt;Answers!$C$16,Orders!K2126&gt;Answers!$C$17),"Yes","No")</f>
        <v>No</v>
      </c>
      <c r="M2126" s="14">
        <f>VLOOKUP(B2126,Customers!$A$1:$E$2501,4,0)</f>
        <v>78</v>
      </c>
    </row>
    <row r="2127" spans="1:13" x14ac:dyDescent="0.3">
      <c r="A2127">
        <v>1441698</v>
      </c>
      <c r="B2127">
        <v>118</v>
      </c>
      <c r="C2127" s="1" t="s">
        <v>98</v>
      </c>
      <c r="D2127" s="7">
        <v>45052</v>
      </c>
      <c r="E2127" s="11">
        <v>0.49444444444444446</v>
      </c>
      <c r="F2127" s="15">
        <f t="shared" si="99"/>
        <v>5</v>
      </c>
      <c r="G2127" s="10" t="str">
        <f t="shared" si="100"/>
        <v>Saturday</v>
      </c>
      <c r="H2127" s="9" t="str">
        <f t="shared" si="101"/>
        <v>May</v>
      </c>
      <c r="I2127" t="s">
        <v>97</v>
      </c>
      <c r="J2127" t="s">
        <v>44</v>
      </c>
      <c r="K2127">
        <v>4154</v>
      </c>
      <c r="L2127" s="5" t="str">
        <f>IF(OR(K2127&lt;Answers!$C$16,Orders!K2127&gt;Answers!$C$17),"Yes","No")</f>
        <v>No</v>
      </c>
      <c r="M2127" s="14">
        <f>VLOOKUP(B2127,Customers!$A$1:$E$2501,4,0)</f>
        <v>25</v>
      </c>
    </row>
    <row r="2128" spans="1:13" x14ac:dyDescent="0.3">
      <c r="A2128">
        <v>1443406</v>
      </c>
      <c r="B2128">
        <v>1141</v>
      </c>
      <c r="C2128" s="1" t="s">
        <v>99</v>
      </c>
      <c r="D2128" s="7">
        <v>45131</v>
      </c>
      <c r="E2128" s="11">
        <v>5.486111111111111E-2</v>
      </c>
      <c r="F2128" s="15">
        <f t="shared" si="99"/>
        <v>7</v>
      </c>
      <c r="G2128" s="10" t="str">
        <f t="shared" si="100"/>
        <v>Monday</v>
      </c>
      <c r="H2128" s="9" t="str">
        <f t="shared" si="101"/>
        <v>July</v>
      </c>
      <c r="I2128" t="s">
        <v>190</v>
      </c>
      <c r="J2128" t="s">
        <v>7</v>
      </c>
      <c r="K2128">
        <v>8328</v>
      </c>
      <c r="L2128" s="5" t="str">
        <f>IF(OR(K2128&lt;Answers!$C$16,Orders!K2128&gt;Answers!$C$17),"Yes","No")</f>
        <v>No</v>
      </c>
      <c r="M2128" s="14">
        <f>VLOOKUP(B2128,Customers!$A$1:$E$2501,4,0)</f>
        <v>60</v>
      </c>
    </row>
    <row r="2129" spans="1:13" x14ac:dyDescent="0.3">
      <c r="A2129">
        <v>1443815</v>
      </c>
      <c r="B2129">
        <v>623</v>
      </c>
      <c r="C2129" s="1" t="s">
        <v>112</v>
      </c>
      <c r="D2129" s="7">
        <v>44952</v>
      </c>
      <c r="E2129" s="11">
        <v>0.49861111111111112</v>
      </c>
      <c r="F2129" s="15">
        <f t="shared" si="99"/>
        <v>1</v>
      </c>
      <c r="G2129" s="10" t="str">
        <f t="shared" si="100"/>
        <v>Thursday</v>
      </c>
      <c r="H2129" s="9" t="str">
        <f t="shared" si="101"/>
        <v>January</v>
      </c>
      <c r="I2129" t="s">
        <v>96</v>
      </c>
      <c r="J2129" t="s">
        <v>45</v>
      </c>
      <c r="K2129">
        <v>9333</v>
      </c>
      <c r="L2129" s="5" t="str">
        <f>IF(OR(K2129&lt;Answers!$C$16,Orders!K2129&gt;Answers!$C$17),"Yes","No")</f>
        <v>No</v>
      </c>
      <c r="M2129" s="14">
        <f>VLOOKUP(B2129,Customers!$A$1:$E$2501,4,0)</f>
        <v>80</v>
      </c>
    </row>
    <row r="2130" spans="1:13" x14ac:dyDescent="0.3">
      <c r="A2130">
        <v>1444534</v>
      </c>
      <c r="B2130">
        <v>1217</v>
      </c>
      <c r="C2130" s="1" t="s">
        <v>98</v>
      </c>
      <c r="D2130" s="7">
        <v>45274</v>
      </c>
      <c r="E2130" s="11">
        <v>0.52777777777777779</v>
      </c>
      <c r="F2130" s="15">
        <f t="shared" si="99"/>
        <v>12</v>
      </c>
      <c r="G2130" s="10" t="str">
        <f t="shared" si="100"/>
        <v>Thursday</v>
      </c>
      <c r="H2130" s="9" t="str">
        <f t="shared" si="101"/>
        <v>December</v>
      </c>
      <c r="I2130" t="s">
        <v>190</v>
      </c>
      <c r="J2130" t="s">
        <v>9</v>
      </c>
      <c r="K2130">
        <v>4597</v>
      </c>
      <c r="L2130" s="5" t="str">
        <f>IF(OR(K2130&lt;Answers!$C$16,Orders!K2130&gt;Answers!$C$17),"Yes","No")</f>
        <v>No</v>
      </c>
      <c r="M2130" s="14">
        <f>VLOOKUP(B2130,Customers!$A$1:$E$2501,4,0)</f>
        <v>68</v>
      </c>
    </row>
    <row r="2131" spans="1:13" x14ac:dyDescent="0.3">
      <c r="A2131">
        <v>1444921</v>
      </c>
      <c r="B2131">
        <v>973</v>
      </c>
      <c r="C2131" s="1" t="s">
        <v>98</v>
      </c>
      <c r="D2131" s="7">
        <v>45186</v>
      </c>
      <c r="E2131" s="11">
        <v>0.50902777777777775</v>
      </c>
      <c r="F2131" s="15">
        <f t="shared" si="99"/>
        <v>9</v>
      </c>
      <c r="G2131" s="10" t="str">
        <f t="shared" si="100"/>
        <v>Sunday</v>
      </c>
      <c r="H2131" s="9" t="str">
        <f t="shared" si="101"/>
        <v>September</v>
      </c>
      <c r="I2131" t="s">
        <v>96</v>
      </c>
      <c r="J2131" t="s">
        <v>71</v>
      </c>
      <c r="K2131">
        <v>7329</v>
      </c>
      <c r="L2131" s="5" t="str">
        <f>IF(OR(K2131&lt;Answers!$C$16,Orders!K2131&gt;Answers!$C$17),"Yes","No")</f>
        <v>No</v>
      </c>
      <c r="M2131" s="14">
        <f>VLOOKUP(B2131,Customers!$A$1:$E$2501,4,0)</f>
        <v>50</v>
      </c>
    </row>
    <row r="2132" spans="1:13" x14ac:dyDescent="0.3">
      <c r="A2132">
        <v>1445405</v>
      </c>
      <c r="B2132">
        <v>226</v>
      </c>
      <c r="C2132" s="1" t="s">
        <v>98</v>
      </c>
      <c r="D2132" s="7">
        <v>45042</v>
      </c>
      <c r="E2132" s="11">
        <v>36739</v>
      </c>
      <c r="F2132" s="15">
        <f t="shared" si="99"/>
        <v>4</v>
      </c>
      <c r="G2132" s="10" t="str">
        <f t="shared" si="100"/>
        <v>Wednesday</v>
      </c>
      <c r="H2132" s="9" t="str">
        <f t="shared" si="101"/>
        <v>April</v>
      </c>
      <c r="I2132" t="s">
        <v>97</v>
      </c>
      <c r="J2132" t="s">
        <v>12</v>
      </c>
      <c r="K2132">
        <v>4037</v>
      </c>
      <c r="L2132" s="5" t="str">
        <f>IF(OR(K2132&lt;Answers!$C$16,Orders!K2132&gt;Answers!$C$17),"Yes","No")</f>
        <v>No</v>
      </c>
      <c r="M2132" s="14">
        <f>VLOOKUP(B2132,Customers!$A$1:$E$2501,4,0)</f>
        <v>31</v>
      </c>
    </row>
    <row r="2133" spans="1:13" x14ac:dyDescent="0.3">
      <c r="A2133">
        <v>1445568</v>
      </c>
      <c r="B2133">
        <v>550</v>
      </c>
      <c r="C2133" s="1" t="s">
        <v>98</v>
      </c>
      <c r="D2133" s="7">
        <v>45130</v>
      </c>
      <c r="E2133" s="11">
        <v>9.4444444444444442E-2</v>
      </c>
      <c r="F2133" s="15">
        <f t="shared" si="99"/>
        <v>7</v>
      </c>
      <c r="G2133" s="10" t="str">
        <f t="shared" si="100"/>
        <v>Sunday</v>
      </c>
      <c r="H2133" s="9" t="str">
        <f t="shared" si="101"/>
        <v>July</v>
      </c>
      <c r="I2133" t="s">
        <v>96</v>
      </c>
      <c r="J2133" t="s">
        <v>72</v>
      </c>
      <c r="K2133">
        <v>3612</v>
      </c>
      <c r="L2133" s="5" t="str">
        <f>IF(OR(K2133&lt;Answers!$C$16,Orders!K2133&gt;Answers!$C$17),"Yes","No")</f>
        <v>No</v>
      </c>
      <c r="M2133" s="14">
        <f>VLOOKUP(B2133,Customers!$A$1:$E$2501,4,0)</f>
        <v>31</v>
      </c>
    </row>
    <row r="2134" spans="1:13" x14ac:dyDescent="0.3">
      <c r="A2134">
        <v>1446428</v>
      </c>
      <c r="B2134">
        <v>1271</v>
      </c>
      <c r="C2134" s="1" t="s">
        <v>99</v>
      </c>
      <c r="D2134" s="7">
        <v>45291</v>
      </c>
      <c r="E2134" s="11">
        <v>0.48194444444444445</v>
      </c>
      <c r="F2134" s="15">
        <f t="shared" si="99"/>
        <v>12</v>
      </c>
      <c r="G2134" s="10" t="str">
        <f t="shared" si="100"/>
        <v>Sunday</v>
      </c>
      <c r="H2134" s="9" t="str">
        <f t="shared" si="101"/>
        <v>December</v>
      </c>
      <c r="I2134" t="s">
        <v>95</v>
      </c>
      <c r="J2134" t="s">
        <v>51</v>
      </c>
      <c r="K2134">
        <v>4354</v>
      </c>
      <c r="L2134" s="5" t="str">
        <f>IF(OR(K2134&lt;Answers!$C$16,Orders!K2134&gt;Answers!$C$17),"Yes","No")</f>
        <v>No</v>
      </c>
      <c r="M2134" s="14">
        <f>VLOOKUP(B2134,Customers!$A$1:$E$2501,4,0)</f>
        <v>43</v>
      </c>
    </row>
    <row r="2135" spans="1:13" x14ac:dyDescent="0.3">
      <c r="A2135">
        <v>1448149</v>
      </c>
      <c r="B2135">
        <v>340</v>
      </c>
      <c r="C2135" s="1" t="s">
        <v>99</v>
      </c>
      <c r="D2135" s="7">
        <v>45058</v>
      </c>
      <c r="E2135" s="11">
        <v>0.4909722222222222</v>
      </c>
      <c r="F2135" s="15">
        <f t="shared" si="99"/>
        <v>5</v>
      </c>
      <c r="G2135" s="10" t="str">
        <f t="shared" si="100"/>
        <v>Friday</v>
      </c>
      <c r="H2135" s="9" t="str">
        <f t="shared" si="101"/>
        <v>May</v>
      </c>
      <c r="I2135" t="s">
        <v>190</v>
      </c>
      <c r="J2135" t="s">
        <v>12</v>
      </c>
      <c r="K2135">
        <v>8948</v>
      </c>
      <c r="L2135" s="5" t="str">
        <f>IF(OR(K2135&lt;Answers!$C$16,Orders!K2135&gt;Answers!$C$17),"Yes","No")</f>
        <v>No</v>
      </c>
      <c r="M2135" s="14">
        <f>VLOOKUP(B2135,Customers!$A$1:$E$2501,4,0)</f>
        <v>68</v>
      </c>
    </row>
    <row r="2136" spans="1:13" x14ac:dyDescent="0.3">
      <c r="A2136">
        <v>1448694</v>
      </c>
      <c r="B2136">
        <v>75</v>
      </c>
      <c r="C2136" s="1" t="s">
        <v>100</v>
      </c>
      <c r="D2136" s="7">
        <v>45068</v>
      </c>
      <c r="E2136" s="11">
        <v>0.48541666666666666</v>
      </c>
      <c r="F2136" s="15">
        <f t="shared" si="99"/>
        <v>5</v>
      </c>
      <c r="G2136" s="10" t="str">
        <f t="shared" si="100"/>
        <v>Monday</v>
      </c>
      <c r="H2136" s="9" t="str">
        <f t="shared" si="101"/>
        <v>May</v>
      </c>
      <c r="I2136" t="s">
        <v>96</v>
      </c>
      <c r="J2136" t="s">
        <v>61</v>
      </c>
      <c r="K2136">
        <v>1873</v>
      </c>
      <c r="L2136" s="5" t="str">
        <f>IF(OR(K2136&lt;Answers!$C$16,Orders!K2136&gt;Answers!$C$17),"Yes","No")</f>
        <v>No</v>
      </c>
      <c r="M2136" s="14">
        <f>VLOOKUP(B2136,Customers!$A$1:$E$2501,4,0)</f>
        <v>36</v>
      </c>
    </row>
    <row r="2137" spans="1:13" x14ac:dyDescent="0.3">
      <c r="A2137">
        <v>1448727</v>
      </c>
      <c r="B2137">
        <v>1583</v>
      </c>
      <c r="C2137" s="1" t="s">
        <v>105</v>
      </c>
      <c r="D2137" s="7">
        <v>44951</v>
      </c>
      <c r="E2137" s="11">
        <v>7.8472222222222221E-2</v>
      </c>
      <c r="F2137" s="15">
        <f t="shared" si="99"/>
        <v>1</v>
      </c>
      <c r="G2137" s="10" t="str">
        <f t="shared" si="100"/>
        <v>Wednesday</v>
      </c>
      <c r="H2137" s="9" t="str">
        <f t="shared" si="101"/>
        <v>January</v>
      </c>
      <c r="I2137" t="s">
        <v>190</v>
      </c>
      <c r="J2137" t="s">
        <v>74</v>
      </c>
      <c r="K2137">
        <v>8355</v>
      </c>
      <c r="L2137" s="5" t="str">
        <f>IF(OR(K2137&lt;Answers!$C$16,Orders!K2137&gt;Answers!$C$17),"Yes","No")</f>
        <v>No</v>
      </c>
      <c r="M2137" s="14">
        <f>VLOOKUP(B2137,Customers!$A$1:$E$2501,4,0)</f>
        <v>73</v>
      </c>
    </row>
    <row r="2138" spans="1:13" x14ac:dyDescent="0.3">
      <c r="A2138">
        <v>1449298</v>
      </c>
      <c r="B2138">
        <v>1511</v>
      </c>
      <c r="C2138" s="1" t="s">
        <v>98</v>
      </c>
      <c r="D2138" s="7">
        <v>45103</v>
      </c>
      <c r="E2138" s="11">
        <v>6.1805555555555558E-2</v>
      </c>
      <c r="F2138" s="15">
        <f t="shared" si="99"/>
        <v>6</v>
      </c>
      <c r="G2138" s="10" t="str">
        <f t="shared" si="100"/>
        <v>Monday</v>
      </c>
      <c r="H2138" s="9" t="str">
        <f t="shared" si="101"/>
        <v>June</v>
      </c>
      <c r="I2138" t="s">
        <v>97</v>
      </c>
      <c r="J2138" t="s">
        <v>72</v>
      </c>
      <c r="K2138">
        <v>837</v>
      </c>
      <c r="L2138" s="5" t="str">
        <f>IF(OR(K2138&lt;Answers!$C$16,Orders!K2138&gt;Answers!$C$17),"Yes","No")</f>
        <v>No</v>
      </c>
      <c r="M2138" s="14">
        <f>VLOOKUP(B2138,Customers!$A$1:$E$2501,4,0)</f>
        <v>19</v>
      </c>
    </row>
    <row r="2139" spans="1:13" x14ac:dyDescent="0.3">
      <c r="A2139">
        <v>1449763</v>
      </c>
      <c r="B2139">
        <v>465</v>
      </c>
      <c r="C2139" s="1" t="s">
        <v>98</v>
      </c>
      <c r="D2139" s="7">
        <v>44997</v>
      </c>
      <c r="E2139" s="11">
        <v>36708</v>
      </c>
      <c r="F2139" s="15">
        <f t="shared" si="99"/>
        <v>3</v>
      </c>
      <c r="G2139" s="10" t="str">
        <f t="shared" si="100"/>
        <v>Sunday</v>
      </c>
      <c r="H2139" s="9" t="str">
        <f t="shared" si="101"/>
        <v>March</v>
      </c>
      <c r="I2139" t="s">
        <v>96</v>
      </c>
      <c r="J2139" t="s">
        <v>19</v>
      </c>
      <c r="K2139">
        <v>425</v>
      </c>
      <c r="L2139" s="5" t="str">
        <f>IF(OR(K2139&lt;Answers!$C$16,Orders!K2139&gt;Answers!$C$17),"Yes","No")</f>
        <v>No</v>
      </c>
      <c r="M2139" s="14">
        <f>VLOOKUP(B2139,Customers!$A$1:$E$2501,4,0)</f>
        <v>49</v>
      </c>
    </row>
    <row r="2140" spans="1:13" x14ac:dyDescent="0.3">
      <c r="A2140">
        <v>1449820</v>
      </c>
      <c r="B2140">
        <v>1828</v>
      </c>
      <c r="C2140" s="1" t="s">
        <v>101</v>
      </c>
      <c r="D2140" s="7">
        <v>45259</v>
      </c>
      <c r="E2140" s="11">
        <v>0.4861111111111111</v>
      </c>
      <c r="F2140" s="15">
        <f t="shared" si="99"/>
        <v>11</v>
      </c>
      <c r="G2140" s="10" t="str">
        <f t="shared" si="100"/>
        <v>Wednesday</v>
      </c>
      <c r="H2140" s="9" t="str">
        <f t="shared" si="101"/>
        <v>November</v>
      </c>
      <c r="I2140" t="s">
        <v>95</v>
      </c>
      <c r="J2140" t="s">
        <v>71</v>
      </c>
      <c r="K2140">
        <v>1844</v>
      </c>
      <c r="L2140" s="5" t="str">
        <f>IF(OR(K2140&lt;Answers!$C$16,Orders!K2140&gt;Answers!$C$17),"Yes","No")</f>
        <v>No</v>
      </c>
      <c r="M2140" s="14">
        <f>VLOOKUP(B2140,Customers!$A$1:$E$2501,4,0)</f>
        <v>51</v>
      </c>
    </row>
    <row r="2141" spans="1:13" x14ac:dyDescent="0.3">
      <c r="A2141">
        <v>1449918</v>
      </c>
      <c r="B2141">
        <v>1881</v>
      </c>
      <c r="C2141" s="1" t="s">
        <v>99</v>
      </c>
      <c r="D2141" s="7">
        <v>45007</v>
      </c>
      <c r="E2141" s="11">
        <v>7.7083333333333337E-2</v>
      </c>
      <c r="F2141" s="15">
        <f t="shared" si="99"/>
        <v>3</v>
      </c>
      <c r="G2141" s="10" t="str">
        <f t="shared" si="100"/>
        <v>Wednesday</v>
      </c>
      <c r="H2141" s="9" t="str">
        <f t="shared" si="101"/>
        <v>March</v>
      </c>
      <c r="I2141" t="s">
        <v>97</v>
      </c>
      <c r="J2141" t="s">
        <v>82</v>
      </c>
      <c r="K2141">
        <v>8835</v>
      </c>
      <c r="L2141" s="5" t="str">
        <f>IF(OR(K2141&lt;Answers!$C$16,Orders!K2141&gt;Answers!$C$17),"Yes","No")</f>
        <v>No</v>
      </c>
      <c r="M2141" s="14">
        <f>VLOOKUP(B2141,Customers!$A$1:$E$2501,4,0)</f>
        <v>83</v>
      </c>
    </row>
    <row r="2142" spans="1:13" x14ac:dyDescent="0.3">
      <c r="A2142">
        <v>1452068</v>
      </c>
      <c r="B2142">
        <v>658</v>
      </c>
      <c r="C2142" s="1" t="s">
        <v>112</v>
      </c>
      <c r="D2142" s="7">
        <v>45199</v>
      </c>
      <c r="E2142" s="11">
        <v>5.9722222222222225E-2</v>
      </c>
      <c r="F2142" s="15">
        <f t="shared" si="99"/>
        <v>9</v>
      </c>
      <c r="G2142" s="10" t="str">
        <f t="shared" si="100"/>
        <v>Saturday</v>
      </c>
      <c r="H2142" s="9" t="str">
        <f t="shared" si="101"/>
        <v>September</v>
      </c>
      <c r="I2142" t="s">
        <v>97</v>
      </c>
      <c r="J2142" t="s">
        <v>48</v>
      </c>
      <c r="K2142">
        <v>1299</v>
      </c>
      <c r="L2142" s="5" t="str">
        <f>IF(OR(K2142&lt;Answers!$C$16,Orders!K2142&gt;Answers!$C$17),"Yes","No")</f>
        <v>No</v>
      </c>
      <c r="M2142" s="14">
        <f>VLOOKUP(B2142,Customers!$A$1:$E$2501,4,0)</f>
        <v>42</v>
      </c>
    </row>
    <row r="2143" spans="1:13" x14ac:dyDescent="0.3">
      <c r="A2143">
        <v>1452251</v>
      </c>
      <c r="B2143">
        <v>1276</v>
      </c>
      <c r="C2143" s="1" t="s">
        <v>99</v>
      </c>
      <c r="D2143" s="7">
        <v>45009</v>
      </c>
      <c r="E2143" s="11">
        <v>0.45416666666666666</v>
      </c>
      <c r="F2143" s="15">
        <f t="shared" si="99"/>
        <v>3</v>
      </c>
      <c r="G2143" s="10" t="str">
        <f t="shared" si="100"/>
        <v>Friday</v>
      </c>
      <c r="H2143" s="9" t="str">
        <f t="shared" si="101"/>
        <v>March</v>
      </c>
      <c r="I2143" t="s">
        <v>95</v>
      </c>
      <c r="J2143" t="s">
        <v>4</v>
      </c>
      <c r="K2143">
        <v>9140</v>
      </c>
      <c r="L2143" s="5" t="str">
        <f>IF(OR(K2143&lt;Answers!$C$16,Orders!K2143&gt;Answers!$C$17),"Yes","No")</f>
        <v>No</v>
      </c>
      <c r="M2143" s="14">
        <f>VLOOKUP(B2143,Customers!$A$1:$E$2501,4,0)</f>
        <v>88</v>
      </c>
    </row>
    <row r="2144" spans="1:13" x14ac:dyDescent="0.3">
      <c r="A2144">
        <v>1453632</v>
      </c>
      <c r="B2144">
        <v>26</v>
      </c>
      <c r="C2144" s="1" t="s">
        <v>99</v>
      </c>
      <c r="D2144" s="7">
        <v>45071</v>
      </c>
      <c r="E2144" s="11">
        <v>0.53402777777777777</v>
      </c>
      <c r="F2144" s="15">
        <f t="shared" si="99"/>
        <v>5</v>
      </c>
      <c r="G2144" s="10" t="str">
        <f t="shared" si="100"/>
        <v>Thursday</v>
      </c>
      <c r="H2144" s="9" t="str">
        <f t="shared" si="101"/>
        <v>May</v>
      </c>
      <c r="I2144" t="s">
        <v>96</v>
      </c>
      <c r="J2144" t="s">
        <v>26</v>
      </c>
      <c r="K2144">
        <v>1681</v>
      </c>
      <c r="L2144" s="5" t="str">
        <f>IF(OR(K2144&lt;Answers!$C$16,Orders!K2144&gt;Answers!$C$17),"Yes","No")</f>
        <v>No</v>
      </c>
      <c r="M2144" s="14">
        <f>VLOOKUP(B2144,Customers!$A$1:$E$2501,4,0)</f>
        <v>27</v>
      </c>
    </row>
    <row r="2145" spans="1:13" x14ac:dyDescent="0.3">
      <c r="A2145">
        <v>1453804</v>
      </c>
      <c r="B2145">
        <v>727</v>
      </c>
      <c r="C2145" s="1" t="s">
        <v>99</v>
      </c>
      <c r="D2145" s="7">
        <v>44941</v>
      </c>
      <c r="E2145" s="11">
        <v>0.44166666666666665</v>
      </c>
      <c r="F2145" s="15">
        <f t="shared" si="99"/>
        <v>1</v>
      </c>
      <c r="G2145" s="10" t="str">
        <f t="shared" si="100"/>
        <v>Sunday</v>
      </c>
      <c r="H2145" s="9" t="str">
        <f t="shared" si="101"/>
        <v>January</v>
      </c>
      <c r="I2145" t="s">
        <v>96</v>
      </c>
      <c r="J2145" t="s">
        <v>76</v>
      </c>
      <c r="K2145">
        <v>9801</v>
      </c>
      <c r="L2145" s="5" t="str">
        <f>IF(OR(K2145&lt;Answers!$C$16,Orders!K2145&gt;Answers!$C$17),"Yes","No")</f>
        <v>No</v>
      </c>
      <c r="M2145" s="14">
        <f>VLOOKUP(B2145,Customers!$A$1:$E$2501,4,0)</f>
        <v>64</v>
      </c>
    </row>
    <row r="2146" spans="1:13" x14ac:dyDescent="0.3">
      <c r="A2146">
        <v>1454237</v>
      </c>
      <c r="B2146">
        <v>604</v>
      </c>
      <c r="C2146" s="1" t="s">
        <v>103</v>
      </c>
      <c r="D2146" s="7">
        <v>45250</v>
      </c>
      <c r="E2146" s="11">
        <v>0.52777777777777779</v>
      </c>
      <c r="F2146" s="15">
        <f t="shared" si="99"/>
        <v>11</v>
      </c>
      <c r="G2146" s="10" t="str">
        <f t="shared" si="100"/>
        <v>Monday</v>
      </c>
      <c r="H2146" s="9" t="str">
        <f t="shared" si="101"/>
        <v>November</v>
      </c>
      <c r="I2146" t="s">
        <v>96</v>
      </c>
      <c r="J2146" t="s">
        <v>26</v>
      </c>
      <c r="K2146">
        <v>8617</v>
      </c>
      <c r="L2146" s="5" t="str">
        <f>IF(OR(K2146&lt;Answers!$C$16,Orders!K2146&gt;Answers!$C$17),"Yes","No")</f>
        <v>No</v>
      </c>
      <c r="M2146" s="14">
        <f>VLOOKUP(B2146,Customers!$A$1:$E$2501,4,0)</f>
        <v>85</v>
      </c>
    </row>
    <row r="2147" spans="1:13" x14ac:dyDescent="0.3">
      <c r="A2147">
        <v>1454722</v>
      </c>
      <c r="B2147">
        <v>557</v>
      </c>
      <c r="C2147" s="1" t="s">
        <v>108</v>
      </c>
      <c r="D2147" s="7">
        <v>45091</v>
      </c>
      <c r="E2147" s="11">
        <v>0.53541666666666665</v>
      </c>
      <c r="F2147" s="15">
        <f t="shared" si="99"/>
        <v>6</v>
      </c>
      <c r="G2147" s="10" t="str">
        <f t="shared" si="100"/>
        <v>Wednesday</v>
      </c>
      <c r="H2147" s="9" t="str">
        <f t="shared" si="101"/>
        <v>June</v>
      </c>
      <c r="I2147" t="s">
        <v>95</v>
      </c>
      <c r="J2147" t="s">
        <v>42</v>
      </c>
      <c r="K2147">
        <v>7460</v>
      </c>
      <c r="L2147" s="5" t="str">
        <f>IF(OR(K2147&lt;Answers!$C$16,Orders!K2147&gt;Answers!$C$17),"Yes","No")</f>
        <v>No</v>
      </c>
      <c r="M2147" s="14">
        <f>VLOOKUP(B2147,Customers!$A$1:$E$2501,4,0)</f>
        <v>84</v>
      </c>
    </row>
    <row r="2148" spans="1:13" x14ac:dyDescent="0.3">
      <c r="A2148">
        <v>1454915</v>
      </c>
      <c r="B2148">
        <v>1109</v>
      </c>
      <c r="C2148" s="1" t="s">
        <v>112</v>
      </c>
      <c r="D2148" s="7">
        <v>45195</v>
      </c>
      <c r="E2148" s="11">
        <v>0.4861111111111111</v>
      </c>
      <c r="F2148" s="15">
        <f t="shared" si="99"/>
        <v>9</v>
      </c>
      <c r="G2148" s="10" t="str">
        <f t="shared" si="100"/>
        <v>Tuesday</v>
      </c>
      <c r="H2148" s="9" t="str">
        <f t="shared" si="101"/>
        <v>September</v>
      </c>
      <c r="I2148" t="s">
        <v>190</v>
      </c>
      <c r="J2148" t="s">
        <v>20</v>
      </c>
      <c r="K2148">
        <v>5760</v>
      </c>
      <c r="L2148" s="5" t="str">
        <f>IF(OR(K2148&lt;Answers!$C$16,Orders!K2148&gt;Answers!$C$17),"Yes","No")</f>
        <v>No</v>
      </c>
      <c r="M2148" s="14">
        <f>VLOOKUP(B2148,Customers!$A$1:$E$2501,4,0)</f>
        <v>86</v>
      </c>
    </row>
    <row r="2149" spans="1:13" x14ac:dyDescent="0.3">
      <c r="A2149">
        <v>1455334</v>
      </c>
      <c r="B2149">
        <v>1735</v>
      </c>
      <c r="C2149" s="1" t="s">
        <v>101</v>
      </c>
      <c r="D2149" s="7">
        <v>45266</v>
      </c>
      <c r="E2149" s="11">
        <v>36811</v>
      </c>
      <c r="F2149" s="15">
        <f t="shared" si="99"/>
        <v>12</v>
      </c>
      <c r="G2149" s="10" t="str">
        <f t="shared" si="100"/>
        <v>Wednesday</v>
      </c>
      <c r="H2149" s="9" t="str">
        <f t="shared" si="101"/>
        <v>December</v>
      </c>
      <c r="I2149" t="s">
        <v>190</v>
      </c>
      <c r="J2149" t="s">
        <v>65</v>
      </c>
      <c r="K2149">
        <v>8911</v>
      </c>
      <c r="L2149" s="5" t="str">
        <f>IF(OR(K2149&lt;Answers!$C$16,Orders!K2149&gt;Answers!$C$17),"Yes","No")</f>
        <v>No</v>
      </c>
      <c r="M2149" s="14">
        <f>VLOOKUP(B2149,Customers!$A$1:$E$2501,4,0)</f>
        <v>76</v>
      </c>
    </row>
    <row r="2150" spans="1:13" x14ac:dyDescent="0.3">
      <c r="A2150">
        <v>1456673</v>
      </c>
      <c r="B2150">
        <v>275</v>
      </c>
      <c r="C2150" s="1" t="s">
        <v>106</v>
      </c>
      <c r="D2150" s="7">
        <v>45113</v>
      </c>
      <c r="E2150" s="11">
        <v>36811</v>
      </c>
      <c r="F2150" s="15">
        <f t="shared" si="99"/>
        <v>7</v>
      </c>
      <c r="G2150" s="10" t="str">
        <f t="shared" si="100"/>
        <v>Thursday</v>
      </c>
      <c r="H2150" s="9" t="str">
        <f t="shared" si="101"/>
        <v>July</v>
      </c>
      <c r="I2150" t="s">
        <v>95</v>
      </c>
      <c r="J2150" t="s">
        <v>28</v>
      </c>
      <c r="K2150">
        <v>4862</v>
      </c>
      <c r="L2150" s="5" t="str">
        <f>IF(OR(K2150&lt;Answers!$C$16,Orders!K2150&gt;Answers!$C$17),"Yes","No")</f>
        <v>No</v>
      </c>
      <c r="M2150" s="14">
        <f>VLOOKUP(B2150,Customers!$A$1:$E$2501,4,0)</f>
        <v>42</v>
      </c>
    </row>
    <row r="2151" spans="1:13" x14ac:dyDescent="0.3">
      <c r="A2151">
        <v>1457155</v>
      </c>
      <c r="B2151">
        <v>418</v>
      </c>
      <c r="C2151" s="1" t="s">
        <v>105</v>
      </c>
      <c r="D2151" s="7">
        <v>45182</v>
      </c>
      <c r="E2151" s="11">
        <v>0.50902777777777775</v>
      </c>
      <c r="F2151" s="15">
        <f t="shared" si="99"/>
        <v>9</v>
      </c>
      <c r="G2151" s="10" t="str">
        <f t="shared" si="100"/>
        <v>Wednesday</v>
      </c>
      <c r="H2151" s="9" t="str">
        <f t="shared" si="101"/>
        <v>September</v>
      </c>
      <c r="I2151" t="s">
        <v>97</v>
      </c>
      <c r="J2151" t="s">
        <v>8</v>
      </c>
      <c r="K2151">
        <v>2807</v>
      </c>
      <c r="L2151" s="5" t="str">
        <f>IF(OR(K2151&lt;Answers!$C$16,Orders!K2151&gt;Answers!$C$17),"Yes","No")</f>
        <v>No</v>
      </c>
      <c r="M2151" s="14">
        <f>VLOOKUP(B2151,Customers!$A$1:$E$2501,4,0)</f>
        <v>22</v>
      </c>
    </row>
    <row r="2152" spans="1:13" x14ac:dyDescent="0.3">
      <c r="A2152">
        <v>1459990</v>
      </c>
      <c r="B2152">
        <v>85</v>
      </c>
      <c r="C2152" s="1" t="s">
        <v>106</v>
      </c>
      <c r="D2152" s="7">
        <v>45098</v>
      </c>
      <c r="E2152" s="11">
        <v>0.47986111111111113</v>
      </c>
      <c r="F2152" s="15">
        <f t="shared" si="99"/>
        <v>6</v>
      </c>
      <c r="G2152" s="10" t="str">
        <f t="shared" si="100"/>
        <v>Wednesday</v>
      </c>
      <c r="H2152" s="9" t="str">
        <f t="shared" si="101"/>
        <v>June</v>
      </c>
      <c r="I2152" t="s">
        <v>97</v>
      </c>
      <c r="J2152" t="s">
        <v>63</v>
      </c>
      <c r="K2152">
        <v>1384</v>
      </c>
      <c r="L2152" s="5" t="str">
        <f>IF(OR(K2152&lt;Answers!$C$16,Orders!K2152&gt;Answers!$C$17),"Yes","No")</f>
        <v>No</v>
      </c>
      <c r="M2152" s="14">
        <f>VLOOKUP(B2152,Customers!$A$1:$E$2501,4,0)</f>
        <v>20</v>
      </c>
    </row>
    <row r="2153" spans="1:13" x14ac:dyDescent="0.3">
      <c r="A2153">
        <v>1460179</v>
      </c>
      <c r="B2153">
        <v>331</v>
      </c>
      <c r="C2153" s="1" t="s">
        <v>105</v>
      </c>
      <c r="D2153" s="7">
        <v>45110</v>
      </c>
      <c r="E2153" s="11">
        <v>36861</v>
      </c>
      <c r="F2153" s="15">
        <f t="shared" si="99"/>
        <v>7</v>
      </c>
      <c r="G2153" s="10" t="str">
        <f t="shared" si="100"/>
        <v>Monday</v>
      </c>
      <c r="H2153" s="9" t="str">
        <f t="shared" si="101"/>
        <v>July</v>
      </c>
      <c r="I2153" t="s">
        <v>96</v>
      </c>
      <c r="J2153" t="s">
        <v>66</v>
      </c>
      <c r="K2153">
        <v>7781</v>
      </c>
      <c r="L2153" s="5" t="str">
        <f>IF(OR(K2153&lt;Answers!$C$16,Orders!K2153&gt;Answers!$C$17),"Yes","No")</f>
        <v>No</v>
      </c>
      <c r="M2153" s="14">
        <f>VLOOKUP(B2153,Customers!$A$1:$E$2501,4,0)</f>
        <v>24</v>
      </c>
    </row>
    <row r="2154" spans="1:13" x14ac:dyDescent="0.3">
      <c r="A2154">
        <v>1460925</v>
      </c>
      <c r="B2154">
        <v>1141</v>
      </c>
      <c r="C2154" s="1" t="s">
        <v>99</v>
      </c>
      <c r="D2154" s="7">
        <v>44963</v>
      </c>
      <c r="E2154" s="11">
        <v>0.51875000000000004</v>
      </c>
      <c r="F2154" s="15">
        <f t="shared" si="99"/>
        <v>2</v>
      </c>
      <c r="G2154" s="10" t="str">
        <f t="shared" si="100"/>
        <v>Monday</v>
      </c>
      <c r="H2154" s="9" t="str">
        <f t="shared" si="101"/>
        <v>February</v>
      </c>
      <c r="I2154" t="s">
        <v>96</v>
      </c>
      <c r="J2154" t="s">
        <v>52</v>
      </c>
      <c r="K2154">
        <v>2472</v>
      </c>
      <c r="L2154" s="5" t="str">
        <f>IF(OR(K2154&lt;Answers!$C$16,Orders!K2154&gt;Answers!$C$17),"Yes","No")</f>
        <v>No</v>
      </c>
      <c r="M2154" s="14">
        <f>VLOOKUP(B2154,Customers!$A$1:$E$2501,4,0)</f>
        <v>60</v>
      </c>
    </row>
    <row r="2155" spans="1:13" x14ac:dyDescent="0.3">
      <c r="A2155">
        <v>1461194</v>
      </c>
      <c r="B2155">
        <v>1262</v>
      </c>
      <c r="C2155" s="1" t="s">
        <v>98</v>
      </c>
      <c r="D2155" s="7">
        <v>45045</v>
      </c>
      <c r="E2155" s="11">
        <v>6.7361111111111108E-2</v>
      </c>
      <c r="F2155" s="15">
        <f t="shared" si="99"/>
        <v>4</v>
      </c>
      <c r="G2155" s="10" t="str">
        <f t="shared" si="100"/>
        <v>Saturday</v>
      </c>
      <c r="H2155" s="9" t="str">
        <f t="shared" si="101"/>
        <v>April</v>
      </c>
      <c r="I2155" t="s">
        <v>96</v>
      </c>
      <c r="J2155" t="s">
        <v>84</v>
      </c>
      <c r="K2155">
        <v>9700</v>
      </c>
      <c r="L2155" s="5" t="str">
        <f>IF(OR(K2155&lt;Answers!$C$16,Orders!K2155&gt;Answers!$C$17),"Yes","No")</f>
        <v>No</v>
      </c>
      <c r="M2155" s="14">
        <f>VLOOKUP(B2155,Customers!$A$1:$E$2501,4,0)</f>
        <v>41</v>
      </c>
    </row>
    <row r="2156" spans="1:13" x14ac:dyDescent="0.3">
      <c r="A2156">
        <v>1461613</v>
      </c>
      <c r="B2156">
        <v>1086</v>
      </c>
      <c r="C2156" s="1" t="s">
        <v>99</v>
      </c>
      <c r="D2156" s="7">
        <v>45226</v>
      </c>
      <c r="E2156" s="11">
        <v>0.47152777777777777</v>
      </c>
      <c r="F2156" s="15">
        <f t="shared" si="99"/>
        <v>10</v>
      </c>
      <c r="G2156" s="10" t="str">
        <f t="shared" si="100"/>
        <v>Friday</v>
      </c>
      <c r="H2156" s="9" t="str">
        <f t="shared" si="101"/>
        <v>October</v>
      </c>
      <c r="I2156" t="s">
        <v>95</v>
      </c>
      <c r="J2156" t="s">
        <v>33</v>
      </c>
      <c r="K2156">
        <v>8282</v>
      </c>
      <c r="L2156" s="5" t="str">
        <f>IF(OR(K2156&lt;Answers!$C$16,Orders!K2156&gt;Answers!$C$17),"Yes","No")</f>
        <v>No</v>
      </c>
      <c r="M2156" s="14">
        <f>VLOOKUP(B2156,Customers!$A$1:$E$2501,4,0)</f>
        <v>63</v>
      </c>
    </row>
    <row r="2157" spans="1:13" x14ac:dyDescent="0.3">
      <c r="A2157">
        <v>1461756</v>
      </c>
      <c r="B2157">
        <v>1743</v>
      </c>
      <c r="C2157" s="1" t="s">
        <v>98</v>
      </c>
      <c r="D2157" s="7">
        <v>45098</v>
      </c>
      <c r="E2157" s="11">
        <v>0.51597222222222228</v>
      </c>
      <c r="F2157" s="15">
        <f t="shared" si="99"/>
        <v>6</v>
      </c>
      <c r="G2157" s="10" t="str">
        <f t="shared" si="100"/>
        <v>Wednesday</v>
      </c>
      <c r="H2157" s="9" t="str">
        <f t="shared" si="101"/>
        <v>June</v>
      </c>
      <c r="I2157" t="s">
        <v>97</v>
      </c>
      <c r="J2157" t="s">
        <v>67</v>
      </c>
      <c r="K2157">
        <v>3339</v>
      </c>
      <c r="L2157" s="5" t="str">
        <f>IF(OR(K2157&lt;Answers!$C$16,Orders!K2157&gt;Answers!$C$17),"Yes","No")</f>
        <v>No</v>
      </c>
      <c r="M2157" s="14">
        <f>VLOOKUP(B2157,Customers!$A$1:$E$2501,4,0)</f>
        <v>30</v>
      </c>
    </row>
    <row r="2158" spans="1:13" x14ac:dyDescent="0.3">
      <c r="A2158">
        <v>1461908</v>
      </c>
      <c r="B2158">
        <v>311</v>
      </c>
      <c r="C2158" s="1" t="s">
        <v>100</v>
      </c>
      <c r="D2158" s="7">
        <v>45113</v>
      </c>
      <c r="E2158" s="11">
        <v>0.45624999999999999</v>
      </c>
      <c r="F2158" s="15">
        <f t="shared" si="99"/>
        <v>7</v>
      </c>
      <c r="G2158" s="10" t="str">
        <f t="shared" si="100"/>
        <v>Thursday</v>
      </c>
      <c r="H2158" s="9" t="str">
        <f t="shared" si="101"/>
        <v>July</v>
      </c>
      <c r="I2158" t="s">
        <v>95</v>
      </c>
      <c r="J2158" t="s">
        <v>68</v>
      </c>
      <c r="K2158">
        <v>6698</v>
      </c>
      <c r="L2158" s="5" t="str">
        <f>IF(OR(K2158&lt;Answers!$C$16,Orders!K2158&gt;Answers!$C$17),"Yes","No")</f>
        <v>No</v>
      </c>
      <c r="M2158" s="14">
        <f>VLOOKUP(B2158,Customers!$A$1:$E$2501,4,0)</f>
        <v>45</v>
      </c>
    </row>
    <row r="2159" spans="1:13" x14ac:dyDescent="0.3">
      <c r="A2159">
        <v>1462009</v>
      </c>
      <c r="B2159">
        <v>1803</v>
      </c>
      <c r="C2159" s="1" t="s">
        <v>104</v>
      </c>
      <c r="D2159" s="7">
        <v>44928</v>
      </c>
      <c r="E2159" s="11">
        <v>0.52430555555555558</v>
      </c>
      <c r="F2159" s="15">
        <f t="shared" si="99"/>
        <v>1</v>
      </c>
      <c r="G2159" s="10" t="str">
        <f t="shared" si="100"/>
        <v>Monday</v>
      </c>
      <c r="H2159" s="9" t="str">
        <f t="shared" si="101"/>
        <v>January</v>
      </c>
      <c r="I2159" t="s">
        <v>190</v>
      </c>
      <c r="J2159" t="s">
        <v>42</v>
      </c>
      <c r="K2159">
        <v>5184</v>
      </c>
      <c r="L2159" s="5" t="str">
        <f>IF(OR(K2159&lt;Answers!$C$16,Orders!K2159&gt;Answers!$C$17),"Yes","No")</f>
        <v>No</v>
      </c>
      <c r="M2159" s="14">
        <f>VLOOKUP(B2159,Customers!$A$1:$E$2501,4,0)</f>
        <v>59</v>
      </c>
    </row>
    <row r="2160" spans="1:13" x14ac:dyDescent="0.3">
      <c r="A2160">
        <v>1462495</v>
      </c>
      <c r="B2160">
        <v>243</v>
      </c>
      <c r="C2160" s="1" t="s">
        <v>98</v>
      </c>
      <c r="D2160" s="7">
        <v>45227</v>
      </c>
      <c r="E2160" s="11">
        <v>0.53125</v>
      </c>
      <c r="F2160" s="15">
        <f t="shared" si="99"/>
        <v>10</v>
      </c>
      <c r="G2160" s="10" t="str">
        <f t="shared" si="100"/>
        <v>Saturday</v>
      </c>
      <c r="H2160" s="9" t="str">
        <f t="shared" si="101"/>
        <v>October</v>
      </c>
      <c r="I2160" t="s">
        <v>97</v>
      </c>
      <c r="J2160" t="s">
        <v>37</v>
      </c>
      <c r="K2160">
        <v>2850</v>
      </c>
      <c r="L2160" s="5" t="str">
        <f>IF(OR(K2160&lt;Answers!$C$16,Orders!K2160&gt;Answers!$C$17),"Yes","No")</f>
        <v>No</v>
      </c>
      <c r="M2160" s="14">
        <f>VLOOKUP(B2160,Customers!$A$1:$E$2501,4,0)</f>
        <v>18</v>
      </c>
    </row>
    <row r="2161" spans="1:13" x14ac:dyDescent="0.3">
      <c r="A2161">
        <v>1465193</v>
      </c>
      <c r="B2161">
        <v>87</v>
      </c>
      <c r="C2161" s="1" t="s">
        <v>112</v>
      </c>
      <c r="D2161" s="7">
        <v>45041</v>
      </c>
      <c r="E2161" s="11">
        <v>0.52083333333333337</v>
      </c>
      <c r="F2161" s="15">
        <f t="shared" si="99"/>
        <v>4</v>
      </c>
      <c r="G2161" s="10" t="str">
        <f t="shared" si="100"/>
        <v>Tuesday</v>
      </c>
      <c r="H2161" s="9" t="str">
        <f t="shared" si="101"/>
        <v>April</v>
      </c>
      <c r="I2161" t="s">
        <v>97</v>
      </c>
      <c r="J2161" t="s">
        <v>68</v>
      </c>
      <c r="K2161">
        <v>7107</v>
      </c>
      <c r="L2161" s="5" t="str">
        <f>IF(OR(K2161&lt;Answers!$C$16,Orders!K2161&gt;Answers!$C$17),"Yes","No")</f>
        <v>No</v>
      </c>
      <c r="M2161" s="14">
        <f>VLOOKUP(B2161,Customers!$A$1:$E$2501,4,0)</f>
        <v>62</v>
      </c>
    </row>
    <row r="2162" spans="1:13" x14ac:dyDescent="0.3">
      <c r="A2162">
        <v>1465254</v>
      </c>
      <c r="B2162">
        <v>1992</v>
      </c>
      <c r="C2162" s="1" t="s">
        <v>107</v>
      </c>
      <c r="D2162" s="7">
        <v>45170</v>
      </c>
      <c r="E2162" s="11">
        <v>0.52986111111111112</v>
      </c>
      <c r="F2162" s="15">
        <f t="shared" si="99"/>
        <v>9</v>
      </c>
      <c r="G2162" s="10" t="str">
        <f t="shared" si="100"/>
        <v>Friday</v>
      </c>
      <c r="H2162" s="9" t="str">
        <f t="shared" si="101"/>
        <v>September</v>
      </c>
      <c r="I2162" t="s">
        <v>97</v>
      </c>
      <c r="J2162" t="s">
        <v>23</v>
      </c>
      <c r="K2162">
        <v>5514</v>
      </c>
      <c r="L2162" s="5" t="str">
        <f>IF(OR(K2162&lt;Answers!$C$16,Orders!K2162&gt;Answers!$C$17),"Yes","No")</f>
        <v>No</v>
      </c>
      <c r="M2162" s="14">
        <f>VLOOKUP(B2162,Customers!$A$1:$E$2501,4,0)</f>
        <v>66</v>
      </c>
    </row>
    <row r="2163" spans="1:13" x14ac:dyDescent="0.3">
      <c r="A2163">
        <v>1466316</v>
      </c>
      <c r="B2163">
        <v>122</v>
      </c>
      <c r="C2163" s="1" t="s">
        <v>104</v>
      </c>
      <c r="D2163" s="7">
        <v>44933</v>
      </c>
      <c r="E2163" s="11">
        <v>7.7083333333333337E-2</v>
      </c>
      <c r="F2163" s="15">
        <f t="shared" si="99"/>
        <v>1</v>
      </c>
      <c r="G2163" s="10" t="str">
        <f t="shared" si="100"/>
        <v>Saturday</v>
      </c>
      <c r="H2163" s="9" t="str">
        <f t="shared" si="101"/>
        <v>January</v>
      </c>
      <c r="I2163" t="s">
        <v>190</v>
      </c>
      <c r="J2163" t="s">
        <v>21</v>
      </c>
      <c r="K2163">
        <v>1672</v>
      </c>
      <c r="L2163" s="5" t="str">
        <f>IF(OR(K2163&lt;Answers!$C$16,Orders!K2163&gt;Answers!$C$17),"Yes","No")</f>
        <v>No</v>
      </c>
      <c r="M2163" s="14">
        <f>VLOOKUP(B2163,Customers!$A$1:$E$2501,4,0)</f>
        <v>41</v>
      </c>
    </row>
    <row r="2164" spans="1:13" x14ac:dyDescent="0.3">
      <c r="A2164">
        <v>1466372</v>
      </c>
      <c r="B2164">
        <v>1073</v>
      </c>
      <c r="C2164" s="1" t="s">
        <v>104</v>
      </c>
      <c r="D2164" s="7">
        <v>45246</v>
      </c>
      <c r="E2164" s="11">
        <v>0.45763888888888887</v>
      </c>
      <c r="F2164" s="15">
        <f t="shared" si="99"/>
        <v>11</v>
      </c>
      <c r="G2164" s="10" t="str">
        <f t="shared" si="100"/>
        <v>Thursday</v>
      </c>
      <c r="H2164" s="9" t="str">
        <f t="shared" si="101"/>
        <v>November</v>
      </c>
      <c r="I2164" t="s">
        <v>97</v>
      </c>
      <c r="J2164" t="s">
        <v>40</v>
      </c>
      <c r="K2164">
        <v>8940</v>
      </c>
      <c r="L2164" s="5" t="str">
        <f>IF(OR(K2164&lt;Answers!$C$16,Orders!K2164&gt;Answers!$C$17),"Yes","No")</f>
        <v>No</v>
      </c>
      <c r="M2164" s="14">
        <f>VLOOKUP(B2164,Customers!$A$1:$E$2501,4,0)</f>
        <v>60</v>
      </c>
    </row>
    <row r="2165" spans="1:13" x14ac:dyDescent="0.3">
      <c r="A2165">
        <v>1466718</v>
      </c>
      <c r="B2165">
        <v>453</v>
      </c>
      <c r="C2165" s="1" t="s">
        <v>99</v>
      </c>
      <c r="D2165" s="7">
        <v>45072</v>
      </c>
      <c r="E2165" s="11">
        <v>36537</v>
      </c>
      <c r="F2165" s="15">
        <f t="shared" si="99"/>
        <v>5</v>
      </c>
      <c r="G2165" s="10" t="str">
        <f t="shared" si="100"/>
        <v>Friday</v>
      </c>
      <c r="H2165" s="9" t="str">
        <f t="shared" si="101"/>
        <v>May</v>
      </c>
      <c r="I2165" t="s">
        <v>97</v>
      </c>
      <c r="J2165" t="s">
        <v>18</v>
      </c>
      <c r="K2165">
        <v>9174</v>
      </c>
      <c r="L2165" s="5" t="str">
        <f>IF(OR(K2165&lt;Answers!$C$16,Orders!K2165&gt;Answers!$C$17),"Yes","No")</f>
        <v>No</v>
      </c>
      <c r="M2165" s="14">
        <f>VLOOKUP(B2165,Customers!$A$1:$E$2501,4,0)</f>
        <v>52</v>
      </c>
    </row>
    <row r="2166" spans="1:13" x14ac:dyDescent="0.3">
      <c r="A2166">
        <v>1467283</v>
      </c>
      <c r="B2166">
        <v>113</v>
      </c>
      <c r="C2166" s="1" t="s">
        <v>98</v>
      </c>
      <c r="D2166" s="7">
        <v>45142</v>
      </c>
      <c r="E2166" s="11">
        <v>0.10138888888888889</v>
      </c>
      <c r="F2166" s="15">
        <f t="shared" si="99"/>
        <v>8</v>
      </c>
      <c r="G2166" s="10" t="str">
        <f t="shared" si="100"/>
        <v>Friday</v>
      </c>
      <c r="H2166" s="9" t="str">
        <f t="shared" si="101"/>
        <v>August</v>
      </c>
      <c r="I2166" t="s">
        <v>97</v>
      </c>
      <c r="J2166" t="s">
        <v>34</v>
      </c>
      <c r="K2166">
        <v>722</v>
      </c>
      <c r="L2166" s="5" t="str">
        <f>IF(OR(K2166&lt;Answers!$C$16,Orders!K2166&gt;Answers!$C$17),"Yes","No")</f>
        <v>No</v>
      </c>
      <c r="M2166" s="14">
        <f>VLOOKUP(B2166,Customers!$A$1:$E$2501,4,0)</f>
        <v>72</v>
      </c>
    </row>
    <row r="2167" spans="1:13" x14ac:dyDescent="0.3">
      <c r="A2167">
        <v>1469052</v>
      </c>
      <c r="B2167">
        <v>376</v>
      </c>
      <c r="C2167" s="1" t="s">
        <v>112</v>
      </c>
      <c r="D2167" s="7">
        <v>45092</v>
      </c>
      <c r="E2167" s="11">
        <v>0.47847222222222224</v>
      </c>
      <c r="F2167" s="15">
        <f t="shared" si="99"/>
        <v>6</v>
      </c>
      <c r="G2167" s="10" t="str">
        <f t="shared" si="100"/>
        <v>Thursday</v>
      </c>
      <c r="H2167" s="9" t="str">
        <f t="shared" si="101"/>
        <v>June</v>
      </c>
      <c r="I2167" t="s">
        <v>96</v>
      </c>
      <c r="J2167" t="s">
        <v>14</v>
      </c>
      <c r="K2167">
        <v>4580</v>
      </c>
      <c r="L2167" s="5" t="str">
        <f>IF(OR(K2167&lt;Answers!$C$16,Orders!K2167&gt;Answers!$C$17),"Yes","No")</f>
        <v>No</v>
      </c>
      <c r="M2167" s="14">
        <f>VLOOKUP(B2167,Customers!$A$1:$E$2501,4,0)</f>
        <v>89</v>
      </c>
    </row>
    <row r="2168" spans="1:13" x14ac:dyDescent="0.3">
      <c r="A2168">
        <v>1469471</v>
      </c>
      <c r="B2168">
        <v>736</v>
      </c>
      <c r="C2168" s="1" t="s">
        <v>98</v>
      </c>
      <c r="D2168" s="7">
        <v>45043</v>
      </c>
      <c r="E2168" s="11">
        <v>36811</v>
      </c>
      <c r="F2168" s="15">
        <f t="shared" si="99"/>
        <v>4</v>
      </c>
      <c r="G2168" s="10" t="str">
        <f t="shared" si="100"/>
        <v>Thursday</v>
      </c>
      <c r="H2168" s="9" t="str">
        <f t="shared" si="101"/>
        <v>April</v>
      </c>
      <c r="I2168" t="s">
        <v>96</v>
      </c>
      <c r="J2168" t="s">
        <v>42</v>
      </c>
      <c r="K2168">
        <v>4917</v>
      </c>
      <c r="L2168" s="5" t="str">
        <f>IF(OR(K2168&lt;Answers!$C$16,Orders!K2168&gt;Answers!$C$17),"Yes","No")</f>
        <v>No</v>
      </c>
      <c r="M2168" s="14">
        <f>VLOOKUP(B2168,Customers!$A$1:$E$2501,4,0)</f>
        <v>50</v>
      </c>
    </row>
    <row r="2169" spans="1:13" x14ac:dyDescent="0.3">
      <c r="A2169">
        <v>1470933</v>
      </c>
      <c r="B2169">
        <v>1285</v>
      </c>
      <c r="C2169" s="1" t="s">
        <v>104</v>
      </c>
      <c r="D2169" s="7">
        <v>45140</v>
      </c>
      <c r="E2169" s="11">
        <v>0.53819444444444442</v>
      </c>
      <c r="F2169" s="15">
        <f t="shared" si="99"/>
        <v>8</v>
      </c>
      <c r="G2169" s="10" t="str">
        <f t="shared" si="100"/>
        <v>Wednesday</v>
      </c>
      <c r="H2169" s="9" t="str">
        <f t="shared" si="101"/>
        <v>August</v>
      </c>
      <c r="I2169" t="s">
        <v>95</v>
      </c>
      <c r="J2169" t="s">
        <v>28</v>
      </c>
      <c r="K2169">
        <v>5249</v>
      </c>
      <c r="L2169" s="5" t="str">
        <f>IF(OR(K2169&lt;Answers!$C$16,Orders!K2169&gt;Answers!$C$17),"Yes","No")</f>
        <v>No</v>
      </c>
      <c r="M2169" s="14">
        <f>VLOOKUP(B2169,Customers!$A$1:$E$2501,4,0)</f>
        <v>56</v>
      </c>
    </row>
    <row r="2170" spans="1:13" x14ac:dyDescent="0.3">
      <c r="A2170">
        <v>1471380</v>
      </c>
      <c r="B2170">
        <v>139</v>
      </c>
      <c r="C2170" s="1" t="s">
        <v>98</v>
      </c>
      <c r="D2170" s="7">
        <v>45166</v>
      </c>
      <c r="E2170" s="11">
        <v>36567</v>
      </c>
      <c r="F2170" s="15">
        <f t="shared" si="99"/>
        <v>8</v>
      </c>
      <c r="G2170" s="10" t="str">
        <f t="shared" si="100"/>
        <v>Monday</v>
      </c>
      <c r="H2170" s="9" t="str">
        <f t="shared" si="101"/>
        <v>August</v>
      </c>
      <c r="I2170" t="s">
        <v>95</v>
      </c>
      <c r="J2170" t="s">
        <v>26</v>
      </c>
      <c r="K2170">
        <v>2139</v>
      </c>
      <c r="L2170" s="5" t="str">
        <f>IF(OR(K2170&lt;Answers!$C$16,Orders!K2170&gt;Answers!$C$17),"Yes","No")</f>
        <v>No</v>
      </c>
      <c r="M2170" s="14">
        <f>VLOOKUP(B2170,Customers!$A$1:$E$2501,4,0)</f>
        <v>75</v>
      </c>
    </row>
    <row r="2171" spans="1:13" x14ac:dyDescent="0.3">
      <c r="A2171">
        <v>1471535</v>
      </c>
      <c r="B2171">
        <v>668</v>
      </c>
      <c r="C2171" s="1" t="s">
        <v>99</v>
      </c>
      <c r="D2171" s="7">
        <v>45284</v>
      </c>
      <c r="E2171" s="11">
        <v>36718</v>
      </c>
      <c r="F2171" s="15">
        <f t="shared" si="99"/>
        <v>12</v>
      </c>
      <c r="G2171" s="10" t="str">
        <f t="shared" si="100"/>
        <v>Sunday</v>
      </c>
      <c r="H2171" s="9" t="str">
        <f t="shared" si="101"/>
        <v>December</v>
      </c>
      <c r="I2171" t="s">
        <v>96</v>
      </c>
      <c r="J2171" t="s">
        <v>42</v>
      </c>
      <c r="K2171">
        <v>6311</v>
      </c>
      <c r="L2171" s="5" t="str">
        <f>IF(OR(K2171&lt;Answers!$C$16,Orders!K2171&gt;Answers!$C$17),"Yes","No")</f>
        <v>No</v>
      </c>
      <c r="M2171" s="14">
        <f>VLOOKUP(B2171,Customers!$A$1:$E$2501,4,0)</f>
        <v>90</v>
      </c>
    </row>
    <row r="2172" spans="1:13" x14ac:dyDescent="0.3">
      <c r="A2172">
        <v>1472021</v>
      </c>
      <c r="B2172">
        <v>1564</v>
      </c>
      <c r="C2172" s="1" t="s">
        <v>105</v>
      </c>
      <c r="D2172" s="7">
        <v>45282</v>
      </c>
      <c r="E2172" s="11">
        <v>0.51666666666666672</v>
      </c>
      <c r="F2172" s="15">
        <f t="shared" si="99"/>
        <v>12</v>
      </c>
      <c r="G2172" s="10" t="str">
        <f t="shared" si="100"/>
        <v>Friday</v>
      </c>
      <c r="H2172" s="9" t="str">
        <f t="shared" si="101"/>
        <v>December</v>
      </c>
      <c r="I2172" t="s">
        <v>96</v>
      </c>
      <c r="J2172" t="s">
        <v>42</v>
      </c>
      <c r="K2172">
        <v>7609</v>
      </c>
      <c r="L2172" s="5" t="str">
        <f>IF(OR(K2172&lt;Answers!$C$16,Orders!K2172&gt;Answers!$C$17),"Yes","No")</f>
        <v>No</v>
      </c>
      <c r="M2172" s="14">
        <f>VLOOKUP(B2172,Customers!$A$1:$E$2501,4,0)</f>
        <v>89</v>
      </c>
    </row>
    <row r="2173" spans="1:13" x14ac:dyDescent="0.3">
      <c r="A2173">
        <v>1472256</v>
      </c>
      <c r="B2173">
        <v>196</v>
      </c>
      <c r="C2173" s="1" t="s">
        <v>98</v>
      </c>
      <c r="D2173" s="7">
        <v>45274</v>
      </c>
      <c r="E2173" s="11">
        <v>36781</v>
      </c>
      <c r="F2173" s="15">
        <f t="shared" si="99"/>
        <v>12</v>
      </c>
      <c r="G2173" s="10" t="str">
        <f t="shared" si="100"/>
        <v>Thursday</v>
      </c>
      <c r="H2173" s="9" t="str">
        <f t="shared" si="101"/>
        <v>December</v>
      </c>
      <c r="I2173" t="s">
        <v>96</v>
      </c>
      <c r="J2173" t="s">
        <v>46</v>
      </c>
      <c r="K2173">
        <v>2311</v>
      </c>
      <c r="L2173" s="5" t="str">
        <f>IF(OR(K2173&lt;Answers!$C$16,Orders!K2173&gt;Answers!$C$17),"Yes","No")</f>
        <v>No</v>
      </c>
      <c r="M2173" s="14">
        <f>VLOOKUP(B2173,Customers!$A$1:$E$2501,4,0)</f>
        <v>77</v>
      </c>
    </row>
    <row r="2174" spans="1:13" x14ac:dyDescent="0.3">
      <c r="A2174">
        <v>1472426</v>
      </c>
      <c r="B2174">
        <v>338</v>
      </c>
      <c r="C2174" s="1" t="s">
        <v>112</v>
      </c>
      <c r="D2174" s="7">
        <v>45185</v>
      </c>
      <c r="E2174" s="11">
        <v>0.49791666666666667</v>
      </c>
      <c r="F2174" s="15">
        <f t="shared" si="99"/>
        <v>9</v>
      </c>
      <c r="G2174" s="10" t="str">
        <f t="shared" si="100"/>
        <v>Saturday</v>
      </c>
      <c r="H2174" s="9" t="str">
        <f t="shared" si="101"/>
        <v>September</v>
      </c>
      <c r="I2174" t="s">
        <v>95</v>
      </c>
      <c r="J2174" t="s">
        <v>17</v>
      </c>
      <c r="K2174">
        <v>2068</v>
      </c>
      <c r="L2174" s="5" t="str">
        <f>IF(OR(K2174&lt;Answers!$C$16,Orders!K2174&gt;Answers!$C$17),"Yes","No")</f>
        <v>No</v>
      </c>
      <c r="M2174" s="14">
        <f>VLOOKUP(B2174,Customers!$A$1:$E$2501,4,0)</f>
        <v>51</v>
      </c>
    </row>
    <row r="2175" spans="1:13" x14ac:dyDescent="0.3">
      <c r="A2175">
        <v>1472446</v>
      </c>
      <c r="B2175">
        <v>1614</v>
      </c>
      <c r="C2175" s="1" t="s">
        <v>98</v>
      </c>
      <c r="D2175" s="7">
        <v>45233</v>
      </c>
      <c r="E2175" s="11">
        <v>7.4999999999999997E-2</v>
      </c>
      <c r="F2175" s="15">
        <f t="shared" si="99"/>
        <v>11</v>
      </c>
      <c r="G2175" s="10" t="str">
        <f t="shared" si="100"/>
        <v>Friday</v>
      </c>
      <c r="H2175" s="9" t="str">
        <f t="shared" si="101"/>
        <v>November</v>
      </c>
      <c r="I2175" t="s">
        <v>190</v>
      </c>
      <c r="J2175" t="s">
        <v>3</v>
      </c>
      <c r="K2175">
        <v>7570</v>
      </c>
      <c r="L2175" s="5" t="str">
        <f>IF(OR(K2175&lt;Answers!$C$16,Orders!K2175&gt;Answers!$C$17),"Yes","No")</f>
        <v>No</v>
      </c>
      <c r="M2175" s="14">
        <f>VLOOKUP(B2175,Customers!$A$1:$E$2501,4,0)</f>
        <v>37</v>
      </c>
    </row>
    <row r="2176" spans="1:13" x14ac:dyDescent="0.3">
      <c r="A2176">
        <v>1473392</v>
      </c>
      <c r="B2176">
        <v>1230</v>
      </c>
      <c r="C2176" s="1" t="s">
        <v>104</v>
      </c>
      <c r="D2176" s="7">
        <v>45183</v>
      </c>
      <c r="E2176" s="11">
        <v>7.0833333333333331E-2</v>
      </c>
      <c r="F2176" s="15">
        <f t="shared" si="99"/>
        <v>9</v>
      </c>
      <c r="G2176" s="10" t="str">
        <f t="shared" si="100"/>
        <v>Thursday</v>
      </c>
      <c r="H2176" s="9" t="str">
        <f t="shared" si="101"/>
        <v>September</v>
      </c>
      <c r="I2176" t="s">
        <v>190</v>
      </c>
      <c r="J2176" t="s">
        <v>13</v>
      </c>
      <c r="K2176">
        <v>4758</v>
      </c>
      <c r="L2176" s="5" t="str">
        <f>IF(OR(K2176&lt;Answers!$C$16,Orders!K2176&gt;Answers!$C$17),"Yes","No")</f>
        <v>No</v>
      </c>
      <c r="M2176" s="14">
        <f>VLOOKUP(B2176,Customers!$A$1:$E$2501,4,0)</f>
        <v>80</v>
      </c>
    </row>
    <row r="2177" spans="1:13" x14ac:dyDescent="0.3">
      <c r="A2177">
        <v>1474092</v>
      </c>
      <c r="B2177">
        <v>1710</v>
      </c>
      <c r="C2177" s="1" t="s">
        <v>104</v>
      </c>
      <c r="D2177" s="7">
        <v>45079</v>
      </c>
      <c r="E2177" s="11">
        <v>0.49375000000000002</v>
      </c>
      <c r="F2177" s="15">
        <f t="shared" si="99"/>
        <v>6</v>
      </c>
      <c r="G2177" s="10" t="str">
        <f t="shared" si="100"/>
        <v>Friday</v>
      </c>
      <c r="H2177" s="9" t="str">
        <f t="shared" si="101"/>
        <v>June</v>
      </c>
      <c r="I2177" t="s">
        <v>97</v>
      </c>
      <c r="J2177" t="s">
        <v>26</v>
      </c>
      <c r="K2177">
        <v>7733</v>
      </c>
      <c r="L2177" s="5" t="str">
        <f>IF(OR(K2177&lt;Answers!$C$16,Orders!K2177&gt;Answers!$C$17),"Yes","No")</f>
        <v>No</v>
      </c>
      <c r="M2177" s="14">
        <f>VLOOKUP(B2177,Customers!$A$1:$E$2501,4,0)</f>
        <v>84</v>
      </c>
    </row>
    <row r="2178" spans="1:13" x14ac:dyDescent="0.3">
      <c r="A2178">
        <v>1474156</v>
      </c>
      <c r="B2178">
        <v>1822</v>
      </c>
      <c r="C2178" s="1" t="s">
        <v>98</v>
      </c>
      <c r="D2178" s="7">
        <v>45076</v>
      </c>
      <c r="E2178" s="11">
        <v>0.49444444444444446</v>
      </c>
      <c r="F2178" s="15">
        <f t="shared" si="99"/>
        <v>5</v>
      </c>
      <c r="G2178" s="10" t="str">
        <f t="shared" si="100"/>
        <v>Tuesday</v>
      </c>
      <c r="H2178" s="9" t="str">
        <f t="shared" si="101"/>
        <v>May</v>
      </c>
      <c r="I2178" t="s">
        <v>95</v>
      </c>
      <c r="J2178" t="s">
        <v>6</v>
      </c>
      <c r="K2178">
        <v>597</v>
      </c>
      <c r="L2178" s="5" t="str">
        <f>IF(OR(K2178&lt;Answers!$C$16,Orders!K2178&gt;Answers!$C$17),"Yes","No")</f>
        <v>No</v>
      </c>
      <c r="M2178" s="14">
        <f>VLOOKUP(B2178,Customers!$A$1:$E$2501,4,0)</f>
        <v>56</v>
      </c>
    </row>
    <row r="2179" spans="1:13" x14ac:dyDescent="0.3">
      <c r="A2179">
        <v>1474744</v>
      </c>
      <c r="B2179">
        <v>1900</v>
      </c>
      <c r="C2179" s="1" t="s">
        <v>105</v>
      </c>
      <c r="D2179" s="7">
        <v>45038</v>
      </c>
      <c r="E2179" s="11">
        <v>0.54027777777777775</v>
      </c>
      <c r="F2179" s="15">
        <f t="shared" ref="F2179:F2242" si="102">MONTH(D2179)</f>
        <v>4</v>
      </c>
      <c r="G2179" s="10" t="str">
        <f t="shared" ref="G2179:G2242" si="103">TEXT(D2179,"dddd")</f>
        <v>Saturday</v>
      </c>
      <c r="H2179" s="9" t="str">
        <f t="shared" ref="H2179:H2242" si="104">TEXT(D2179,"mmmm")</f>
        <v>April</v>
      </c>
      <c r="I2179" t="s">
        <v>97</v>
      </c>
      <c r="J2179" t="s">
        <v>8</v>
      </c>
      <c r="K2179">
        <v>9529</v>
      </c>
      <c r="L2179" s="5" t="str">
        <f>IF(OR(K2179&lt;Answers!$C$16,Orders!K2179&gt;Answers!$C$17),"Yes","No")</f>
        <v>No</v>
      </c>
      <c r="M2179" s="14">
        <f>VLOOKUP(B2179,Customers!$A$1:$E$2501,4,0)</f>
        <v>28</v>
      </c>
    </row>
    <row r="2180" spans="1:13" x14ac:dyDescent="0.3">
      <c r="A2180">
        <v>1474867</v>
      </c>
      <c r="B2180">
        <v>1837</v>
      </c>
      <c r="C2180" s="1" t="s">
        <v>109</v>
      </c>
      <c r="D2180" s="7">
        <v>45268</v>
      </c>
      <c r="E2180" s="11">
        <v>36842</v>
      </c>
      <c r="F2180" s="15">
        <f t="shared" si="102"/>
        <v>12</v>
      </c>
      <c r="G2180" s="10" t="str">
        <f t="shared" si="103"/>
        <v>Friday</v>
      </c>
      <c r="H2180" s="9" t="str">
        <f t="shared" si="104"/>
        <v>December</v>
      </c>
      <c r="I2180" t="s">
        <v>95</v>
      </c>
      <c r="J2180" t="s">
        <v>10</v>
      </c>
      <c r="K2180">
        <v>6262</v>
      </c>
      <c r="L2180" s="5" t="str">
        <f>IF(OR(K2180&lt;Answers!$C$16,Orders!K2180&gt;Answers!$C$17),"Yes","No")</f>
        <v>No</v>
      </c>
      <c r="M2180" s="14">
        <f>VLOOKUP(B2180,Customers!$A$1:$E$2501,4,0)</f>
        <v>87</v>
      </c>
    </row>
    <row r="2181" spans="1:13" x14ac:dyDescent="0.3">
      <c r="A2181">
        <v>1475178</v>
      </c>
      <c r="B2181">
        <v>466</v>
      </c>
      <c r="C2181" s="1" t="s">
        <v>106</v>
      </c>
      <c r="D2181" s="7">
        <v>45028</v>
      </c>
      <c r="E2181" s="11">
        <v>36811</v>
      </c>
      <c r="F2181" s="15">
        <f t="shared" si="102"/>
        <v>4</v>
      </c>
      <c r="G2181" s="10" t="str">
        <f t="shared" si="103"/>
        <v>Wednesday</v>
      </c>
      <c r="H2181" s="9" t="str">
        <f t="shared" si="104"/>
        <v>April</v>
      </c>
      <c r="I2181" t="s">
        <v>190</v>
      </c>
      <c r="J2181" t="s">
        <v>47</v>
      </c>
      <c r="K2181">
        <v>1408</v>
      </c>
      <c r="L2181" s="5" t="str">
        <f>IF(OR(K2181&lt;Answers!$C$16,Orders!K2181&gt;Answers!$C$17),"Yes","No")</f>
        <v>No</v>
      </c>
      <c r="M2181" s="14">
        <f>VLOOKUP(B2181,Customers!$A$1:$E$2501,4,0)</f>
        <v>32</v>
      </c>
    </row>
    <row r="2182" spans="1:13" x14ac:dyDescent="0.3">
      <c r="A2182">
        <v>1475354</v>
      </c>
      <c r="B2182">
        <v>1633</v>
      </c>
      <c r="C2182" s="1" t="s">
        <v>100</v>
      </c>
      <c r="D2182" s="7">
        <v>45208</v>
      </c>
      <c r="E2182" s="11">
        <v>0.51875000000000004</v>
      </c>
      <c r="F2182" s="15">
        <f t="shared" si="102"/>
        <v>10</v>
      </c>
      <c r="G2182" s="10" t="str">
        <f t="shared" si="103"/>
        <v>Monday</v>
      </c>
      <c r="H2182" s="9" t="str">
        <f t="shared" si="104"/>
        <v>October</v>
      </c>
      <c r="I2182" t="s">
        <v>95</v>
      </c>
      <c r="J2182" t="s">
        <v>13</v>
      </c>
      <c r="K2182">
        <v>7693</v>
      </c>
      <c r="L2182" s="5" t="str">
        <f>IF(OR(K2182&lt;Answers!$C$16,Orders!K2182&gt;Answers!$C$17),"Yes","No")</f>
        <v>No</v>
      </c>
      <c r="M2182" s="14">
        <f>VLOOKUP(B2182,Customers!$A$1:$E$2501,4,0)</f>
        <v>64</v>
      </c>
    </row>
    <row r="2183" spans="1:13" x14ac:dyDescent="0.3">
      <c r="A2183">
        <v>1477405</v>
      </c>
      <c r="B2183">
        <v>1342</v>
      </c>
      <c r="C2183" s="1" t="s">
        <v>98</v>
      </c>
      <c r="D2183" s="7">
        <v>45203</v>
      </c>
      <c r="E2183" s="11">
        <v>6.3888888888888884E-2</v>
      </c>
      <c r="F2183" s="15">
        <f t="shared" si="102"/>
        <v>10</v>
      </c>
      <c r="G2183" s="10" t="str">
        <f t="shared" si="103"/>
        <v>Wednesday</v>
      </c>
      <c r="H2183" s="9" t="str">
        <f t="shared" si="104"/>
        <v>October</v>
      </c>
      <c r="I2183" t="s">
        <v>190</v>
      </c>
      <c r="J2183" t="s">
        <v>60</v>
      </c>
      <c r="K2183">
        <v>6068</v>
      </c>
      <c r="L2183" s="5" t="str">
        <f>IF(OR(K2183&lt;Answers!$C$16,Orders!K2183&gt;Answers!$C$17),"Yes","No")</f>
        <v>No</v>
      </c>
      <c r="M2183" s="14">
        <f>VLOOKUP(B2183,Customers!$A$1:$E$2501,4,0)</f>
        <v>24</v>
      </c>
    </row>
    <row r="2184" spans="1:13" x14ac:dyDescent="0.3">
      <c r="A2184">
        <v>1477894</v>
      </c>
      <c r="B2184">
        <v>1834</v>
      </c>
      <c r="C2184" s="1" t="s">
        <v>100</v>
      </c>
      <c r="D2184" s="7">
        <v>44948</v>
      </c>
      <c r="E2184" s="11">
        <v>0.48125000000000001</v>
      </c>
      <c r="F2184" s="15">
        <f t="shared" si="102"/>
        <v>1</v>
      </c>
      <c r="G2184" s="10" t="str">
        <f t="shared" si="103"/>
        <v>Sunday</v>
      </c>
      <c r="H2184" s="9" t="str">
        <f t="shared" si="104"/>
        <v>January</v>
      </c>
      <c r="I2184" t="s">
        <v>97</v>
      </c>
      <c r="J2184" t="s">
        <v>64</v>
      </c>
      <c r="K2184">
        <v>9471</v>
      </c>
      <c r="L2184" s="5" t="str">
        <f>IF(OR(K2184&lt;Answers!$C$16,Orders!K2184&gt;Answers!$C$17),"Yes","No")</f>
        <v>No</v>
      </c>
      <c r="M2184" s="14">
        <f>VLOOKUP(B2184,Customers!$A$1:$E$2501,4,0)</f>
        <v>60</v>
      </c>
    </row>
    <row r="2185" spans="1:13" x14ac:dyDescent="0.3">
      <c r="A2185">
        <v>1478839</v>
      </c>
      <c r="B2185">
        <v>896</v>
      </c>
      <c r="C2185" s="1" t="s">
        <v>100</v>
      </c>
      <c r="D2185" s="7">
        <v>44964</v>
      </c>
      <c r="E2185" s="11">
        <v>7.1527777777777773E-2</v>
      </c>
      <c r="F2185" s="15">
        <f t="shared" si="102"/>
        <v>2</v>
      </c>
      <c r="G2185" s="10" t="str">
        <f t="shared" si="103"/>
        <v>Tuesday</v>
      </c>
      <c r="H2185" s="9" t="str">
        <f t="shared" si="104"/>
        <v>February</v>
      </c>
      <c r="I2185" t="s">
        <v>97</v>
      </c>
      <c r="J2185" t="s">
        <v>16</v>
      </c>
      <c r="K2185">
        <v>6444</v>
      </c>
      <c r="L2185" s="5" t="str">
        <f>IF(OR(K2185&lt;Answers!$C$16,Orders!K2185&gt;Answers!$C$17),"Yes","No")</f>
        <v>No</v>
      </c>
      <c r="M2185" s="14">
        <f>VLOOKUP(B2185,Customers!$A$1:$E$2501,4,0)</f>
        <v>79</v>
      </c>
    </row>
    <row r="2186" spans="1:13" x14ac:dyDescent="0.3">
      <c r="A2186">
        <v>1479085</v>
      </c>
      <c r="B2186">
        <v>510</v>
      </c>
      <c r="C2186" s="1" t="s">
        <v>98</v>
      </c>
      <c r="D2186" s="7">
        <v>45251</v>
      </c>
      <c r="E2186" s="11">
        <v>0.44513888888888886</v>
      </c>
      <c r="F2186" s="15">
        <f t="shared" si="102"/>
        <v>11</v>
      </c>
      <c r="G2186" s="10" t="str">
        <f t="shared" si="103"/>
        <v>Tuesday</v>
      </c>
      <c r="H2186" s="9" t="str">
        <f t="shared" si="104"/>
        <v>November</v>
      </c>
      <c r="I2186" t="s">
        <v>95</v>
      </c>
      <c r="J2186" t="s">
        <v>17</v>
      </c>
      <c r="K2186">
        <v>6503</v>
      </c>
      <c r="L2186" s="5" t="str">
        <f>IF(OR(K2186&lt;Answers!$C$16,Orders!K2186&gt;Answers!$C$17),"Yes","No")</f>
        <v>No</v>
      </c>
      <c r="M2186" s="14">
        <f>VLOOKUP(B2186,Customers!$A$1:$E$2501,4,0)</f>
        <v>39</v>
      </c>
    </row>
    <row r="2187" spans="1:13" x14ac:dyDescent="0.3">
      <c r="A2187">
        <v>1479736</v>
      </c>
      <c r="B2187">
        <v>1363</v>
      </c>
      <c r="C2187" s="1" t="s">
        <v>99</v>
      </c>
      <c r="D2187" s="7">
        <v>45206</v>
      </c>
      <c r="E2187" s="11">
        <v>0.53055555555555556</v>
      </c>
      <c r="F2187" s="15">
        <f t="shared" si="102"/>
        <v>10</v>
      </c>
      <c r="G2187" s="10" t="str">
        <f t="shared" si="103"/>
        <v>Saturday</v>
      </c>
      <c r="H2187" s="9" t="str">
        <f t="shared" si="104"/>
        <v>October</v>
      </c>
      <c r="I2187" t="s">
        <v>95</v>
      </c>
      <c r="J2187" t="s">
        <v>18</v>
      </c>
      <c r="K2187">
        <v>2193</v>
      </c>
      <c r="L2187" s="5" t="str">
        <f>IF(OR(K2187&lt;Answers!$C$16,Orders!K2187&gt;Answers!$C$17),"Yes","No")</f>
        <v>No</v>
      </c>
      <c r="M2187" s="14">
        <f>VLOOKUP(B2187,Customers!$A$1:$E$2501,4,0)</f>
        <v>81</v>
      </c>
    </row>
    <row r="2188" spans="1:13" x14ac:dyDescent="0.3">
      <c r="A2188">
        <v>1479812</v>
      </c>
      <c r="B2188">
        <v>340</v>
      </c>
      <c r="C2188" s="1" t="s">
        <v>99</v>
      </c>
      <c r="D2188" s="7">
        <v>45090</v>
      </c>
      <c r="E2188" s="11">
        <v>0.53680555555555554</v>
      </c>
      <c r="F2188" s="15">
        <f t="shared" si="102"/>
        <v>6</v>
      </c>
      <c r="G2188" s="10" t="str">
        <f t="shared" si="103"/>
        <v>Tuesday</v>
      </c>
      <c r="H2188" s="9" t="str">
        <f t="shared" si="104"/>
        <v>June</v>
      </c>
      <c r="I2188" t="s">
        <v>190</v>
      </c>
      <c r="J2188" t="s">
        <v>78</v>
      </c>
      <c r="K2188">
        <v>7134</v>
      </c>
      <c r="L2188" s="5" t="str">
        <f>IF(OR(K2188&lt;Answers!$C$16,Orders!K2188&gt;Answers!$C$17),"Yes","No")</f>
        <v>No</v>
      </c>
      <c r="M2188" s="14">
        <f>VLOOKUP(B2188,Customers!$A$1:$E$2501,4,0)</f>
        <v>68</v>
      </c>
    </row>
    <row r="2189" spans="1:13" x14ac:dyDescent="0.3">
      <c r="A2189">
        <v>1480087</v>
      </c>
      <c r="B2189">
        <v>26</v>
      </c>
      <c r="C2189" s="1" t="s">
        <v>99</v>
      </c>
      <c r="D2189" s="7">
        <v>45115</v>
      </c>
      <c r="E2189" s="11">
        <v>0.49791666666666667</v>
      </c>
      <c r="F2189" s="15">
        <f t="shared" si="102"/>
        <v>7</v>
      </c>
      <c r="G2189" s="10" t="str">
        <f t="shared" si="103"/>
        <v>Saturday</v>
      </c>
      <c r="H2189" s="9" t="str">
        <f t="shared" si="104"/>
        <v>July</v>
      </c>
      <c r="I2189" t="s">
        <v>97</v>
      </c>
      <c r="J2189" t="s">
        <v>50</v>
      </c>
      <c r="K2189">
        <v>9335</v>
      </c>
      <c r="L2189" s="5" t="str">
        <f>IF(OR(K2189&lt;Answers!$C$16,Orders!K2189&gt;Answers!$C$17),"Yes","No")</f>
        <v>No</v>
      </c>
      <c r="M2189" s="14">
        <f>VLOOKUP(B2189,Customers!$A$1:$E$2501,4,0)</f>
        <v>27</v>
      </c>
    </row>
    <row r="2190" spans="1:13" x14ac:dyDescent="0.3">
      <c r="A2190">
        <v>1480394</v>
      </c>
      <c r="B2190">
        <v>1003</v>
      </c>
      <c r="C2190" s="1" t="s">
        <v>98</v>
      </c>
      <c r="D2190" s="7">
        <v>45081</v>
      </c>
      <c r="E2190" s="11">
        <v>0.52500000000000002</v>
      </c>
      <c r="F2190" s="15">
        <f t="shared" si="102"/>
        <v>6</v>
      </c>
      <c r="G2190" s="10" t="str">
        <f t="shared" si="103"/>
        <v>Sunday</v>
      </c>
      <c r="H2190" s="9" t="str">
        <f t="shared" si="104"/>
        <v>June</v>
      </c>
      <c r="I2190" t="s">
        <v>97</v>
      </c>
      <c r="J2190" t="s">
        <v>21</v>
      </c>
      <c r="K2190">
        <v>2616</v>
      </c>
      <c r="L2190" s="5" t="str">
        <f>IF(OR(K2190&lt;Answers!$C$16,Orders!K2190&gt;Answers!$C$17),"Yes","No")</f>
        <v>No</v>
      </c>
      <c r="M2190" s="14">
        <f>VLOOKUP(B2190,Customers!$A$1:$E$2501,4,0)</f>
        <v>64</v>
      </c>
    </row>
    <row r="2191" spans="1:13" x14ac:dyDescent="0.3">
      <c r="A2191">
        <v>1480900</v>
      </c>
      <c r="B2191">
        <v>866</v>
      </c>
      <c r="C2191" s="1" t="s">
        <v>105</v>
      </c>
      <c r="D2191" s="7">
        <v>44928</v>
      </c>
      <c r="E2191" s="11">
        <v>36872</v>
      </c>
      <c r="F2191" s="15">
        <f t="shared" si="102"/>
        <v>1</v>
      </c>
      <c r="G2191" s="10" t="str">
        <f t="shared" si="103"/>
        <v>Monday</v>
      </c>
      <c r="H2191" s="9" t="str">
        <f t="shared" si="104"/>
        <v>January</v>
      </c>
      <c r="I2191" t="s">
        <v>96</v>
      </c>
      <c r="J2191" t="s">
        <v>3</v>
      </c>
      <c r="K2191">
        <v>2284</v>
      </c>
      <c r="L2191" s="5" t="str">
        <f>IF(OR(K2191&lt;Answers!$C$16,Orders!K2191&gt;Answers!$C$17),"Yes","No")</f>
        <v>No</v>
      </c>
      <c r="M2191" s="14">
        <f>VLOOKUP(B2191,Customers!$A$1:$E$2501,4,0)</f>
        <v>66</v>
      </c>
    </row>
    <row r="2192" spans="1:13" x14ac:dyDescent="0.3">
      <c r="A2192">
        <v>1480961</v>
      </c>
      <c r="B2192">
        <v>550</v>
      </c>
      <c r="C2192" s="1" t="s">
        <v>98</v>
      </c>
      <c r="D2192" s="7">
        <v>44942</v>
      </c>
      <c r="E2192" s="11">
        <v>36617</v>
      </c>
      <c r="F2192" s="15">
        <f t="shared" si="102"/>
        <v>1</v>
      </c>
      <c r="G2192" s="10" t="str">
        <f t="shared" si="103"/>
        <v>Monday</v>
      </c>
      <c r="H2192" s="9" t="str">
        <f t="shared" si="104"/>
        <v>January</v>
      </c>
      <c r="I2192" t="s">
        <v>97</v>
      </c>
      <c r="J2192" t="s">
        <v>56</v>
      </c>
      <c r="K2192">
        <v>8407</v>
      </c>
      <c r="L2192" s="5" t="str">
        <f>IF(OR(K2192&lt;Answers!$C$16,Orders!K2192&gt;Answers!$C$17),"Yes","No")</f>
        <v>No</v>
      </c>
      <c r="M2192" s="14">
        <f>VLOOKUP(B2192,Customers!$A$1:$E$2501,4,0)</f>
        <v>31</v>
      </c>
    </row>
    <row r="2193" spans="1:13" x14ac:dyDescent="0.3">
      <c r="A2193">
        <v>1481396</v>
      </c>
      <c r="B2193">
        <v>619</v>
      </c>
      <c r="C2193" s="1" t="s">
        <v>98</v>
      </c>
      <c r="D2193" s="7">
        <v>45253</v>
      </c>
      <c r="E2193" s="11">
        <v>36831</v>
      </c>
      <c r="F2193" s="15">
        <f t="shared" si="102"/>
        <v>11</v>
      </c>
      <c r="G2193" s="10" t="str">
        <f t="shared" si="103"/>
        <v>Thursday</v>
      </c>
      <c r="H2193" s="9" t="str">
        <f t="shared" si="104"/>
        <v>November</v>
      </c>
      <c r="I2193" t="s">
        <v>96</v>
      </c>
      <c r="J2193" t="s">
        <v>91</v>
      </c>
      <c r="K2193">
        <v>3557</v>
      </c>
      <c r="L2193" s="5" t="str">
        <f>IF(OR(K2193&lt;Answers!$C$16,Orders!K2193&gt;Answers!$C$17),"Yes","No")</f>
        <v>No</v>
      </c>
      <c r="M2193" s="14">
        <f>VLOOKUP(B2193,Customers!$A$1:$E$2501,4,0)</f>
        <v>38</v>
      </c>
    </row>
    <row r="2194" spans="1:13" x14ac:dyDescent="0.3">
      <c r="A2194">
        <v>1482389</v>
      </c>
      <c r="B2194">
        <v>1928</v>
      </c>
      <c r="C2194" s="1" t="s">
        <v>100</v>
      </c>
      <c r="D2194" s="7">
        <v>45216</v>
      </c>
      <c r="E2194" s="11">
        <v>0.51041666666666663</v>
      </c>
      <c r="F2194" s="15">
        <f t="shared" si="102"/>
        <v>10</v>
      </c>
      <c r="G2194" s="10" t="str">
        <f t="shared" si="103"/>
        <v>Tuesday</v>
      </c>
      <c r="H2194" s="9" t="str">
        <f t="shared" si="104"/>
        <v>October</v>
      </c>
      <c r="I2194" t="s">
        <v>190</v>
      </c>
      <c r="J2194" t="s">
        <v>76</v>
      </c>
      <c r="K2194">
        <v>32</v>
      </c>
      <c r="L2194" s="5" t="str">
        <f>IF(OR(K2194&lt;Answers!$C$16,Orders!K2194&gt;Answers!$C$17),"Yes","No")</f>
        <v>No</v>
      </c>
      <c r="M2194" s="14">
        <f>VLOOKUP(B2194,Customers!$A$1:$E$2501,4,0)</f>
        <v>62</v>
      </c>
    </row>
    <row r="2195" spans="1:13" x14ac:dyDescent="0.3">
      <c r="A2195">
        <v>1483729</v>
      </c>
      <c r="B2195">
        <v>1668</v>
      </c>
      <c r="C2195" s="1" t="s">
        <v>98</v>
      </c>
      <c r="D2195" s="7">
        <v>45183</v>
      </c>
      <c r="E2195" s="11">
        <v>0.4909722222222222</v>
      </c>
      <c r="F2195" s="15">
        <f t="shared" si="102"/>
        <v>9</v>
      </c>
      <c r="G2195" s="10" t="str">
        <f t="shared" si="103"/>
        <v>Thursday</v>
      </c>
      <c r="H2195" s="9" t="str">
        <f t="shared" si="104"/>
        <v>September</v>
      </c>
      <c r="I2195" t="s">
        <v>190</v>
      </c>
      <c r="J2195" t="s">
        <v>17</v>
      </c>
      <c r="K2195">
        <v>1625</v>
      </c>
      <c r="L2195" s="5" t="str">
        <f>IF(OR(K2195&lt;Answers!$C$16,Orders!K2195&gt;Answers!$C$17),"Yes","No")</f>
        <v>No</v>
      </c>
      <c r="M2195" s="14">
        <f>VLOOKUP(B2195,Customers!$A$1:$E$2501,4,0)</f>
        <v>68</v>
      </c>
    </row>
    <row r="2196" spans="1:13" x14ac:dyDescent="0.3">
      <c r="A2196">
        <v>1483901</v>
      </c>
      <c r="B2196">
        <v>1708</v>
      </c>
      <c r="C2196" s="1" t="s">
        <v>99</v>
      </c>
      <c r="D2196" s="7">
        <v>45115</v>
      </c>
      <c r="E2196" s="11">
        <v>0.53472222222222221</v>
      </c>
      <c r="F2196" s="15">
        <f t="shared" si="102"/>
        <v>7</v>
      </c>
      <c r="G2196" s="10" t="str">
        <f t="shared" si="103"/>
        <v>Saturday</v>
      </c>
      <c r="H2196" s="9" t="str">
        <f t="shared" si="104"/>
        <v>July</v>
      </c>
      <c r="I2196" t="s">
        <v>190</v>
      </c>
      <c r="J2196" t="s">
        <v>29</v>
      </c>
      <c r="K2196">
        <v>9214</v>
      </c>
      <c r="L2196" s="5" t="str">
        <f>IF(OR(K2196&lt;Answers!$C$16,Orders!K2196&gt;Answers!$C$17),"Yes","No")</f>
        <v>No</v>
      </c>
      <c r="M2196" s="14">
        <f>VLOOKUP(B2196,Customers!$A$1:$E$2501,4,0)</f>
        <v>87</v>
      </c>
    </row>
    <row r="2197" spans="1:13" x14ac:dyDescent="0.3">
      <c r="A2197">
        <v>1483931</v>
      </c>
      <c r="B2197">
        <v>1980</v>
      </c>
      <c r="C2197" s="1" t="s">
        <v>109</v>
      </c>
      <c r="D2197" s="7">
        <v>45031</v>
      </c>
      <c r="E2197" s="11">
        <v>5.8333333333333334E-2</v>
      </c>
      <c r="F2197" s="15">
        <f t="shared" si="102"/>
        <v>4</v>
      </c>
      <c r="G2197" s="10" t="str">
        <f t="shared" si="103"/>
        <v>Saturday</v>
      </c>
      <c r="H2197" s="9" t="str">
        <f t="shared" si="104"/>
        <v>April</v>
      </c>
      <c r="I2197" t="s">
        <v>97</v>
      </c>
      <c r="J2197" t="s">
        <v>15</v>
      </c>
      <c r="K2197">
        <v>4382</v>
      </c>
      <c r="L2197" s="5" t="str">
        <f>IF(OR(K2197&lt;Answers!$C$16,Orders!K2197&gt;Answers!$C$17),"Yes","No")</f>
        <v>No</v>
      </c>
      <c r="M2197" s="14">
        <f>VLOOKUP(B2197,Customers!$A$1:$E$2501,4,0)</f>
        <v>57</v>
      </c>
    </row>
    <row r="2198" spans="1:13" x14ac:dyDescent="0.3">
      <c r="A2198">
        <v>1485067</v>
      </c>
      <c r="B2198">
        <v>1608</v>
      </c>
      <c r="C2198" s="1" t="s">
        <v>98</v>
      </c>
      <c r="D2198" s="7">
        <v>44963</v>
      </c>
      <c r="E2198" s="11">
        <v>36781</v>
      </c>
      <c r="F2198" s="15">
        <f t="shared" si="102"/>
        <v>2</v>
      </c>
      <c r="G2198" s="10" t="str">
        <f t="shared" si="103"/>
        <v>Monday</v>
      </c>
      <c r="H2198" s="9" t="str">
        <f t="shared" si="104"/>
        <v>February</v>
      </c>
      <c r="I2198" t="s">
        <v>190</v>
      </c>
      <c r="J2198" t="s">
        <v>73</v>
      </c>
      <c r="K2198">
        <v>3382</v>
      </c>
      <c r="L2198" s="5" t="str">
        <f>IF(OR(K2198&lt;Answers!$C$16,Orders!K2198&gt;Answers!$C$17),"Yes","No")</f>
        <v>No</v>
      </c>
      <c r="M2198" s="14">
        <f>VLOOKUP(B2198,Customers!$A$1:$E$2501,4,0)</f>
        <v>43</v>
      </c>
    </row>
    <row r="2199" spans="1:13" x14ac:dyDescent="0.3">
      <c r="A2199">
        <v>1485425</v>
      </c>
      <c r="B2199">
        <v>980</v>
      </c>
      <c r="C2199" s="1" t="s">
        <v>98</v>
      </c>
      <c r="D2199" s="7">
        <v>45125</v>
      </c>
      <c r="E2199" s="11">
        <v>0.4548611111111111</v>
      </c>
      <c r="F2199" s="15">
        <f t="shared" si="102"/>
        <v>7</v>
      </c>
      <c r="G2199" s="10" t="str">
        <f t="shared" si="103"/>
        <v>Tuesday</v>
      </c>
      <c r="H2199" s="9" t="str">
        <f t="shared" si="104"/>
        <v>July</v>
      </c>
      <c r="I2199" t="s">
        <v>96</v>
      </c>
      <c r="J2199" t="s">
        <v>69</v>
      </c>
      <c r="K2199">
        <v>9648</v>
      </c>
      <c r="L2199" s="5" t="str">
        <f>IF(OR(K2199&lt;Answers!$C$16,Orders!K2199&gt;Answers!$C$17),"Yes","No")</f>
        <v>No</v>
      </c>
      <c r="M2199" s="14">
        <f>VLOOKUP(B2199,Customers!$A$1:$E$2501,4,0)</f>
        <v>31</v>
      </c>
    </row>
    <row r="2200" spans="1:13" x14ac:dyDescent="0.3">
      <c r="A2200">
        <v>1485939</v>
      </c>
      <c r="B2200">
        <v>899</v>
      </c>
      <c r="C2200" s="1" t="s">
        <v>98</v>
      </c>
      <c r="D2200" s="7">
        <v>44980</v>
      </c>
      <c r="E2200" s="11">
        <v>0.5</v>
      </c>
      <c r="F2200" s="15">
        <f t="shared" si="102"/>
        <v>2</v>
      </c>
      <c r="G2200" s="10" t="str">
        <f t="shared" si="103"/>
        <v>Thursday</v>
      </c>
      <c r="H2200" s="9" t="str">
        <f t="shared" si="104"/>
        <v>February</v>
      </c>
      <c r="I2200" t="s">
        <v>190</v>
      </c>
      <c r="J2200" t="s">
        <v>70</v>
      </c>
      <c r="K2200">
        <v>902</v>
      </c>
      <c r="L2200" s="5" t="str">
        <f>IF(OR(K2200&lt;Answers!$C$16,Orders!K2200&gt;Answers!$C$17),"Yes","No")</f>
        <v>No</v>
      </c>
      <c r="M2200" s="14">
        <f>VLOOKUP(B2200,Customers!$A$1:$E$2501,4,0)</f>
        <v>75</v>
      </c>
    </row>
    <row r="2201" spans="1:13" x14ac:dyDescent="0.3">
      <c r="A2201">
        <v>1486000</v>
      </c>
      <c r="B2201">
        <v>545</v>
      </c>
      <c r="C2201" s="1" t="s">
        <v>98</v>
      </c>
      <c r="D2201" s="7">
        <v>45283</v>
      </c>
      <c r="E2201" s="11">
        <v>36800</v>
      </c>
      <c r="F2201" s="15">
        <f t="shared" si="102"/>
        <v>12</v>
      </c>
      <c r="G2201" s="10" t="str">
        <f t="shared" si="103"/>
        <v>Saturday</v>
      </c>
      <c r="H2201" s="9" t="str">
        <f t="shared" si="104"/>
        <v>December</v>
      </c>
      <c r="I2201" t="s">
        <v>97</v>
      </c>
      <c r="J2201" t="s">
        <v>42</v>
      </c>
      <c r="K2201">
        <v>2377</v>
      </c>
      <c r="L2201" s="5" t="str">
        <f>IF(OR(K2201&lt;Answers!$C$16,Orders!K2201&gt;Answers!$C$17),"Yes","No")</f>
        <v>No</v>
      </c>
      <c r="M2201" s="14">
        <f>VLOOKUP(B2201,Customers!$A$1:$E$2501,4,0)</f>
        <v>76</v>
      </c>
    </row>
    <row r="2202" spans="1:13" x14ac:dyDescent="0.3">
      <c r="A2202">
        <v>1486426</v>
      </c>
      <c r="B2202">
        <v>1244</v>
      </c>
      <c r="C2202" s="1" t="s">
        <v>104</v>
      </c>
      <c r="D2202" s="7">
        <v>45229</v>
      </c>
      <c r="E2202" s="11">
        <v>0.48472222222222222</v>
      </c>
      <c r="F2202" s="15">
        <f t="shared" si="102"/>
        <v>10</v>
      </c>
      <c r="G2202" s="10" t="str">
        <f t="shared" si="103"/>
        <v>Monday</v>
      </c>
      <c r="H2202" s="9" t="str">
        <f t="shared" si="104"/>
        <v>October</v>
      </c>
      <c r="I2202" t="s">
        <v>96</v>
      </c>
      <c r="J2202" t="s">
        <v>6</v>
      </c>
      <c r="K2202">
        <v>8227</v>
      </c>
      <c r="L2202" s="5" t="str">
        <f>IF(OR(K2202&lt;Answers!$C$16,Orders!K2202&gt;Answers!$C$17),"Yes","No")</f>
        <v>No</v>
      </c>
      <c r="M2202" s="14">
        <f>VLOOKUP(B2202,Customers!$A$1:$E$2501,4,0)</f>
        <v>20</v>
      </c>
    </row>
    <row r="2203" spans="1:13" x14ac:dyDescent="0.3">
      <c r="A2203">
        <v>1487293</v>
      </c>
      <c r="B2203">
        <v>1157</v>
      </c>
      <c r="C2203" s="1" t="s">
        <v>105</v>
      </c>
      <c r="D2203" s="7">
        <v>44952</v>
      </c>
      <c r="E2203" s="11">
        <v>5.2083333333333336E-2</v>
      </c>
      <c r="F2203" s="15">
        <f t="shared" si="102"/>
        <v>1</v>
      </c>
      <c r="G2203" s="10" t="str">
        <f t="shared" si="103"/>
        <v>Thursday</v>
      </c>
      <c r="H2203" s="9" t="str">
        <f t="shared" si="104"/>
        <v>January</v>
      </c>
      <c r="I2203" t="s">
        <v>190</v>
      </c>
      <c r="J2203" t="s">
        <v>7</v>
      </c>
      <c r="K2203">
        <v>2092</v>
      </c>
      <c r="L2203" s="5" t="str">
        <f>IF(OR(K2203&lt;Answers!$C$16,Orders!K2203&gt;Answers!$C$17),"Yes","No")</f>
        <v>No</v>
      </c>
      <c r="M2203" s="14">
        <f>VLOOKUP(B2203,Customers!$A$1:$E$2501,4,0)</f>
        <v>70</v>
      </c>
    </row>
    <row r="2204" spans="1:13" x14ac:dyDescent="0.3">
      <c r="A2204">
        <v>1487429</v>
      </c>
      <c r="B2204">
        <v>1983</v>
      </c>
      <c r="C2204" s="1" t="s">
        <v>104</v>
      </c>
      <c r="D2204" s="7">
        <v>44990</v>
      </c>
      <c r="E2204" s="11">
        <v>0.47986111111111113</v>
      </c>
      <c r="F2204" s="15">
        <f t="shared" si="102"/>
        <v>3</v>
      </c>
      <c r="G2204" s="10" t="str">
        <f t="shared" si="103"/>
        <v>Sunday</v>
      </c>
      <c r="H2204" s="9" t="str">
        <f t="shared" si="104"/>
        <v>March</v>
      </c>
      <c r="I2204" t="s">
        <v>190</v>
      </c>
      <c r="J2204" t="s">
        <v>45</v>
      </c>
      <c r="K2204">
        <v>5465</v>
      </c>
      <c r="L2204" s="5" t="str">
        <f>IF(OR(K2204&lt;Answers!$C$16,Orders!K2204&gt;Answers!$C$17),"Yes","No")</f>
        <v>No</v>
      </c>
      <c r="M2204" s="14">
        <f>VLOOKUP(B2204,Customers!$A$1:$E$2501,4,0)</f>
        <v>35</v>
      </c>
    </row>
    <row r="2205" spans="1:13" x14ac:dyDescent="0.3">
      <c r="A2205">
        <v>1488818</v>
      </c>
      <c r="B2205">
        <v>827</v>
      </c>
      <c r="C2205" s="1" t="s">
        <v>105</v>
      </c>
      <c r="D2205" s="7">
        <v>45052</v>
      </c>
      <c r="E2205" s="11">
        <v>0.53402777777777777</v>
      </c>
      <c r="F2205" s="15">
        <f t="shared" si="102"/>
        <v>5</v>
      </c>
      <c r="G2205" s="10" t="str">
        <f t="shared" si="103"/>
        <v>Saturday</v>
      </c>
      <c r="H2205" s="9" t="str">
        <f t="shared" si="104"/>
        <v>May</v>
      </c>
      <c r="I2205" t="s">
        <v>95</v>
      </c>
      <c r="J2205" t="s">
        <v>9</v>
      </c>
      <c r="K2205">
        <v>8763</v>
      </c>
      <c r="L2205" s="5" t="str">
        <f>IF(OR(K2205&lt;Answers!$C$16,Orders!K2205&gt;Answers!$C$17),"Yes","No")</f>
        <v>No</v>
      </c>
      <c r="M2205" s="14">
        <f>VLOOKUP(B2205,Customers!$A$1:$E$2501,4,0)</f>
        <v>40</v>
      </c>
    </row>
    <row r="2206" spans="1:13" x14ac:dyDescent="0.3">
      <c r="A2206">
        <v>1488979</v>
      </c>
      <c r="B2206">
        <v>1787</v>
      </c>
      <c r="C2206" s="1" t="s">
        <v>99</v>
      </c>
      <c r="D2206" s="7">
        <v>45156</v>
      </c>
      <c r="E2206" s="11">
        <v>5.6250000000000001E-2</v>
      </c>
      <c r="F2206" s="15">
        <f t="shared" si="102"/>
        <v>8</v>
      </c>
      <c r="G2206" s="10" t="str">
        <f t="shared" si="103"/>
        <v>Friday</v>
      </c>
      <c r="H2206" s="9" t="str">
        <f t="shared" si="104"/>
        <v>August</v>
      </c>
      <c r="I2206" t="s">
        <v>96</v>
      </c>
      <c r="J2206" t="s">
        <v>26</v>
      </c>
      <c r="K2206">
        <v>8980</v>
      </c>
      <c r="L2206" s="5" t="str">
        <f>IF(OR(K2206&lt;Answers!$C$16,Orders!K2206&gt;Answers!$C$17),"Yes","No")</f>
        <v>No</v>
      </c>
      <c r="M2206" s="14">
        <f>VLOOKUP(B2206,Customers!$A$1:$E$2501,4,0)</f>
        <v>48</v>
      </c>
    </row>
    <row r="2207" spans="1:13" x14ac:dyDescent="0.3">
      <c r="A2207">
        <v>1489446</v>
      </c>
      <c r="B2207">
        <v>1158</v>
      </c>
      <c r="C2207" s="1" t="s">
        <v>102</v>
      </c>
      <c r="D2207" s="7">
        <v>45225</v>
      </c>
      <c r="E2207" s="11">
        <v>8.3333333333333329E-2</v>
      </c>
      <c r="F2207" s="15">
        <f t="shared" si="102"/>
        <v>10</v>
      </c>
      <c r="G2207" s="10" t="str">
        <f t="shared" si="103"/>
        <v>Thursday</v>
      </c>
      <c r="H2207" s="9" t="str">
        <f t="shared" si="104"/>
        <v>October</v>
      </c>
      <c r="I2207" t="s">
        <v>97</v>
      </c>
      <c r="J2207" t="s">
        <v>12</v>
      </c>
      <c r="K2207">
        <v>4889</v>
      </c>
      <c r="L2207" s="5" t="str">
        <f>IF(OR(K2207&lt;Answers!$C$16,Orders!K2207&gt;Answers!$C$17),"Yes","No")</f>
        <v>No</v>
      </c>
      <c r="M2207" s="14">
        <f>VLOOKUP(B2207,Customers!$A$1:$E$2501,4,0)</f>
        <v>59</v>
      </c>
    </row>
    <row r="2208" spans="1:13" x14ac:dyDescent="0.3">
      <c r="A2208">
        <v>1489846</v>
      </c>
      <c r="B2208">
        <v>1501</v>
      </c>
      <c r="C2208" s="1" t="s">
        <v>98</v>
      </c>
      <c r="D2208" s="7">
        <v>45077</v>
      </c>
      <c r="E2208" s="11">
        <v>7.3611111111111113E-2</v>
      </c>
      <c r="F2208" s="15">
        <f t="shared" si="102"/>
        <v>5</v>
      </c>
      <c r="G2208" s="10" t="str">
        <f t="shared" si="103"/>
        <v>Wednesday</v>
      </c>
      <c r="H2208" s="9" t="str">
        <f t="shared" si="104"/>
        <v>May</v>
      </c>
      <c r="I2208" t="s">
        <v>96</v>
      </c>
      <c r="J2208" t="s">
        <v>9</v>
      </c>
      <c r="K2208">
        <v>1094</v>
      </c>
      <c r="L2208" s="5" t="str">
        <f>IF(OR(K2208&lt;Answers!$C$16,Orders!K2208&gt;Answers!$C$17),"Yes","No")</f>
        <v>No</v>
      </c>
      <c r="M2208" s="14">
        <f>VLOOKUP(B2208,Customers!$A$1:$E$2501,4,0)</f>
        <v>51</v>
      </c>
    </row>
    <row r="2209" spans="1:13" x14ac:dyDescent="0.3">
      <c r="A2209">
        <v>1490112</v>
      </c>
      <c r="B2209">
        <v>348</v>
      </c>
      <c r="C2209" s="1" t="s">
        <v>99</v>
      </c>
      <c r="D2209" s="7">
        <v>45164</v>
      </c>
      <c r="E2209" s="11">
        <v>36586</v>
      </c>
      <c r="F2209" s="15">
        <f t="shared" si="102"/>
        <v>8</v>
      </c>
      <c r="G2209" s="10" t="str">
        <f t="shared" si="103"/>
        <v>Saturday</v>
      </c>
      <c r="H2209" s="9" t="str">
        <f t="shared" si="104"/>
        <v>August</v>
      </c>
      <c r="I2209" t="s">
        <v>95</v>
      </c>
      <c r="J2209" t="s">
        <v>14</v>
      </c>
      <c r="K2209">
        <v>7429</v>
      </c>
      <c r="L2209" s="5" t="str">
        <f>IF(OR(K2209&lt;Answers!$C$16,Orders!K2209&gt;Answers!$C$17),"Yes","No")</f>
        <v>No</v>
      </c>
      <c r="M2209" s="14">
        <f>VLOOKUP(B2209,Customers!$A$1:$E$2501,4,0)</f>
        <v>61</v>
      </c>
    </row>
    <row r="2210" spans="1:13" x14ac:dyDescent="0.3">
      <c r="A2210">
        <v>1490458</v>
      </c>
      <c r="B2210">
        <v>1820</v>
      </c>
      <c r="C2210" s="1" t="s">
        <v>200</v>
      </c>
      <c r="D2210" s="7">
        <v>45020</v>
      </c>
      <c r="E2210" s="11">
        <v>5.486111111111111E-2</v>
      </c>
      <c r="F2210" s="15">
        <f t="shared" si="102"/>
        <v>4</v>
      </c>
      <c r="G2210" s="10" t="str">
        <f t="shared" si="103"/>
        <v>Tuesday</v>
      </c>
      <c r="H2210" s="9" t="str">
        <f t="shared" si="104"/>
        <v>April</v>
      </c>
      <c r="I2210" t="s">
        <v>190</v>
      </c>
      <c r="J2210" t="s">
        <v>12</v>
      </c>
      <c r="K2210">
        <v>3873</v>
      </c>
      <c r="L2210" s="5" t="str">
        <f>IF(OR(K2210&lt;Answers!$C$16,Orders!K2210&gt;Answers!$C$17),"Yes","No")</f>
        <v>No</v>
      </c>
      <c r="M2210" s="14">
        <f>VLOOKUP(B2210,Customers!$A$1:$E$2501,4,0)</f>
        <v>71</v>
      </c>
    </row>
    <row r="2211" spans="1:13" x14ac:dyDescent="0.3">
      <c r="A2211">
        <v>1490598</v>
      </c>
      <c r="B2211">
        <v>1613</v>
      </c>
      <c r="C2211" s="1" t="s">
        <v>98</v>
      </c>
      <c r="D2211" s="7">
        <v>45184</v>
      </c>
      <c r="E2211" s="11">
        <v>0.50902777777777775</v>
      </c>
      <c r="F2211" s="15">
        <f t="shared" si="102"/>
        <v>9</v>
      </c>
      <c r="G2211" s="10" t="str">
        <f t="shared" si="103"/>
        <v>Friday</v>
      </c>
      <c r="H2211" s="9" t="str">
        <f t="shared" si="104"/>
        <v>September</v>
      </c>
      <c r="I2211" t="s">
        <v>97</v>
      </c>
      <c r="J2211" t="s">
        <v>61</v>
      </c>
      <c r="K2211">
        <v>2270</v>
      </c>
      <c r="L2211" s="5" t="str">
        <f>IF(OR(K2211&lt;Answers!$C$16,Orders!K2211&gt;Answers!$C$17),"Yes","No")</f>
        <v>No</v>
      </c>
      <c r="M2211" s="14">
        <f>VLOOKUP(B2211,Customers!$A$1:$E$2501,4,0)</f>
        <v>71</v>
      </c>
    </row>
    <row r="2212" spans="1:13" x14ac:dyDescent="0.3">
      <c r="A2212">
        <v>1491354</v>
      </c>
      <c r="B2212">
        <v>1812</v>
      </c>
      <c r="C2212" s="1" t="s">
        <v>104</v>
      </c>
      <c r="D2212" s="7">
        <v>45225</v>
      </c>
      <c r="E2212" s="11">
        <v>36709</v>
      </c>
      <c r="F2212" s="15">
        <f t="shared" si="102"/>
        <v>10</v>
      </c>
      <c r="G2212" s="10" t="str">
        <f t="shared" si="103"/>
        <v>Thursday</v>
      </c>
      <c r="H2212" s="9" t="str">
        <f t="shared" si="104"/>
        <v>October</v>
      </c>
      <c r="I2212" t="s">
        <v>96</v>
      </c>
      <c r="J2212" t="s">
        <v>74</v>
      </c>
      <c r="K2212">
        <v>86</v>
      </c>
      <c r="L2212" s="5" t="str">
        <f>IF(OR(K2212&lt;Answers!$C$16,Orders!K2212&gt;Answers!$C$17),"Yes","No")</f>
        <v>No</v>
      </c>
      <c r="M2212" s="14">
        <f>VLOOKUP(B2212,Customers!$A$1:$E$2501,4,0)</f>
        <v>49</v>
      </c>
    </row>
    <row r="2213" spans="1:13" x14ac:dyDescent="0.3">
      <c r="A2213">
        <v>1491897</v>
      </c>
      <c r="B2213">
        <v>1955</v>
      </c>
      <c r="C2213" s="1" t="s">
        <v>104</v>
      </c>
      <c r="D2213" s="7">
        <v>45205</v>
      </c>
      <c r="E2213" s="11">
        <v>7.3611111111111113E-2</v>
      </c>
      <c r="F2213" s="15">
        <f t="shared" si="102"/>
        <v>10</v>
      </c>
      <c r="G2213" s="10" t="str">
        <f t="shared" si="103"/>
        <v>Friday</v>
      </c>
      <c r="H2213" s="9" t="str">
        <f t="shared" si="104"/>
        <v>October</v>
      </c>
      <c r="I2213" t="s">
        <v>190</v>
      </c>
      <c r="J2213" t="s">
        <v>18</v>
      </c>
      <c r="K2213">
        <v>9703</v>
      </c>
      <c r="L2213" s="5" t="str">
        <f>IF(OR(K2213&lt;Answers!$C$16,Orders!K2213&gt;Answers!$C$17),"Yes","No")</f>
        <v>No</v>
      </c>
      <c r="M2213" s="14">
        <f>VLOOKUP(B2213,Customers!$A$1:$E$2501,4,0)</f>
        <v>68</v>
      </c>
    </row>
    <row r="2214" spans="1:13" x14ac:dyDescent="0.3">
      <c r="A2214">
        <v>1492578</v>
      </c>
      <c r="B2214">
        <v>1234</v>
      </c>
      <c r="C2214" s="1" t="s">
        <v>98</v>
      </c>
      <c r="D2214" s="7">
        <v>45164</v>
      </c>
      <c r="E2214" s="11">
        <v>0.51527777777777772</v>
      </c>
      <c r="F2214" s="15">
        <f t="shared" si="102"/>
        <v>8</v>
      </c>
      <c r="G2214" s="10" t="str">
        <f t="shared" si="103"/>
        <v>Saturday</v>
      </c>
      <c r="H2214" s="9" t="str">
        <f t="shared" si="104"/>
        <v>August</v>
      </c>
      <c r="I2214" t="s">
        <v>190</v>
      </c>
      <c r="J2214" t="s">
        <v>19</v>
      </c>
      <c r="K2214">
        <v>3400</v>
      </c>
      <c r="L2214" s="5" t="str">
        <f>IF(OR(K2214&lt;Answers!$C$16,Orders!K2214&gt;Answers!$C$17),"Yes","No")</f>
        <v>No</v>
      </c>
      <c r="M2214" s="14">
        <f>VLOOKUP(B2214,Customers!$A$1:$E$2501,4,0)</f>
        <v>89</v>
      </c>
    </row>
    <row r="2215" spans="1:13" x14ac:dyDescent="0.3">
      <c r="A2215">
        <v>1493135</v>
      </c>
      <c r="B2215">
        <v>378</v>
      </c>
      <c r="C2215" s="1" t="s">
        <v>109</v>
      </c>
      <c r="D2215" s="7">
        <v>45146</v>
      </c>
      <c r="E2215" s="11">
        <v>0.47222222222222221</v>
      </c>
      <c r="F2215" s="15">
        <f t="shared" si="102"/>
        <v>8</v>
      </c>
      <c r="G2215" s="10" t="str">
        <f t="shared" si="103"/>
        <v>Tuesday</v>
      </c>
      <c r="H2215" s="9" t="str">
        <f t="shared" si="104"/>
        <v>August</v>
      </c>
      <c r="I2215" t="s">
        <v>190</v>
      </c>
      <c r="J2215" t="s">
        <v>71</v>
      </c>
      <c r="K2215">
        <v>8000</v>
      </c>
      <c r="L2215" s="5" t="str">
        <f>IF(OR(K2215&lt;Answers!$C$16,Orders!K2215&gt;Answers!$C$17),"Yes","No")</f>
        <v>No</v>
      </c>
      <c r="M2215" s="14">
        <f>VLOOKUP(B2215,Customers!$A$1:$E$2501,4,0)</f>
        <v>69</v>
      </c>
    </row>
    <row r="2216" spans="1:13" x14ac:dyDescent="0.3">
      <c r="A2216">
        <v>1494087</v>
      </c>
      <c r="B2216">
        <v>118</v>
      </c>
      <c r="C2216" s="1" t="s">
        <v>98</v>
      </c>
      <c r="D2216" s="7">
        <v>45039</v>
      </c>
      <c r="E2216" s="11">
        <v>6.7361111111111108E-2</v>
      </c>
      <c r="F2216" s="15">
        <f t="shared" si="102"/>
        <v>4</v>
      </c>
      <c r="G2216" s="10" t="str">
        <f t="shared" si="103"/>
        <v>Sunday</v>
      </c>
      <c r="H2216" s="9" t="str">
        <f t="shared" si="104"/>
        <v>April</v>
      </c>
      <c r="I2216" t="s">
        <v>97</v>
      </c>
      <c r="J2216" t="s">
        <v>82</v>
      </c>
      <c r="K2216">
        <v>6162</v>
      </c>
      <c r="L2216" s="5" t="str">
        <f>IF(OR(K2216&lt;Answers!$C$16,Orders!K2216&gt;Answers!$C$17),"Yes","No")</f>
        <v>No</v>
      </c>
      <c r="M2216" s="14">
        <f>VLOOKUP(B2216,Customers!$A$1:$E$2501,4,0)</f>
        <v>25</v>
      </c>
    </row>
    <row r="2217" spans="1:13" x14ac:dyDescent="0.3">
      <c r="A2217">
        <v>1494182</v>
      </c>
      <c r="B2217">
        <v>1512</v>
      </c>
      <c r="C2217" s="1" t="s">
        <v>107</v>
      </c>
      <c r="D2217" s="7">
        <v>45254</v>
      </c>
      <c r="E2217" s="11">
        <v>0.48541666666666666</v>
      </c>
      <c r="F2217" s="15">
        <f t="shared" si="102"/>
        <v>11</v>
      </c>
      <c r="G2217" s="10" t="str">
        <f t="shared" si="103"/>
        <v>Friday</v>
      </c>
      <c r="H2217" s="9" t="str">
        <f t="shared" si="104"/>
        <v>November</v>
      </c>
      <c r="I2217" t="s">
        <v>96</v>
      </c>
      <c r="J2217" t="s">
        <v>48</v>
      </c>
      <c r="K2217">
        <v>775</v>
      </c>
      <c r="L2217" s="5" t="str">
        <f>IF(OR(K2217&lt;Answers!$C$16,Orders!K2217&gt;Answers!$C$17),"Yes","No")</f>
        <v>No</v>
      </c>
      <c r="M2217" s="14">
        <f>VLOOKUP(B2217,Customers!$A$1:$E$2501,4,0)</f>
        <v>28</v>
      </c>
    </row>
    <row r="2218" spans="1:13" x14ac:dyDescent="0.3">
      <c r="A2218">
        <v>1494501</v>
      </c>
      <c r="B2218">
        <v>1519</v>
      </c>
      <c r="C2218" s="1" t="s">
        <v>104</v>
      </c>
      <c r="D2218" s="7">
        <v>45198</v>
      </c>
      <c r="E2218" s="11">
        <v>0.47847222222222224</v>
      </c>
      <c r="F2218" s="15">
        <f t="shared" si="102"/>
        <v>9</v>
      </c>
      <c r="G2218" s="10" t="str">
        <f t="shared" si="103"/>
        <v>Friday</v>
      </c>
      <c r="H2218" s="9" t="str">
        <f t="shared" si="104"/>
        <v>September</v>
      </c>
      <c r="I2218" t="s">
        <v>95</v>
      </c>
      <c r="J2218" t="s">
        <v>4</v>
      </c>
      <c r="K2218">
        <v>5248</v>
      </c>
      <c r="L2218" s="5" t="str">
        <f>IF(OR(K2218&lt;Answers!$C$16,Orders!K2218&gt;Answers!$C$17),"Yes","No")</f>
        <v>No</v>
      </c>
      <c r="M2218" s="14">
        <f>VLOOKUP(B2218,Customers!$A$1:$E$2501,4,0)</f>
        <v>20</v>
      </c>
    </row>
    <row r="2219" spans="1:13" x14ac:dyDescent="0.3">
      <c r="A2219">
        <v>1494544</v>
      </c>
      <c r="B2219">
        <v>651</v>
      </c>
      <c r="C2219" s="1" t="s">
        <v>98</v>
      </c>
      <c r="D2219" s="7">
        <v>45097</v>
      </c>
      <c r="E2219" s="11">
        <v>8.2638888888888887E-2</v>
      </c>
      <c r="F2219" s="15">
        <f t="shared" si="102"/>
        <v>6</v>
      </c>
      <c r="G2219" s="10" t="str">
        <f t="shared" si="103"/>
        <v>Tuesday</v>
      </c>
      <c r="H2219" s="9" t="str">
        <f t="shared" si="104"/>
        <v>June</v>
      </c>
      <c r="I2219" t="s">
        <v>96</v>
      </c>
      <c r="J2219" t="s">
        <v>26</v>
      </c>
      <c r="K2219">
        <v>1370</v>
      </c>
      <c r="L2219" s="5" t="str">
        <f>IF(OR(K2219&lt;Answers!$C$16,Orders!K2219&gt;Answers!$C$17),"Yes","No")</f>
        <v>No</v>
      </c>
      <c r="M2219" s="14">
        <f>VLOOKUP(B2219,Customers!$A$1:$E$2501,4,0)</f>
        <v>61</v>
      </c>
    </row>
    <row r="2220" spans="1:13" x14ac:dyDescent="0.3">
      <c r="A2220">
        <v>1495611</v>
      </c>
      <c r="B2220">
        <v>1863</v>
      </c>
      <c r="C2220" s="1" t="s">
        <v>104</v>
      </c>
      <c r="D2220" s="7">
        <v>45218</v>
      </c>
      <c r="E2220" s="11">
        <v>0.47499999999999998</v>
      </c>
      <c r="F2220" s="15">
        <f t="shared" si="102"/>
        <v>10</v>
      </c>
      <c r="G2220" s="10" t="str">
        <f t="shared" si="103"/>
        <v>Thursday</v>
      </c>
      <c r="H2220" s="9" t="str">
        <f t="shared" si="104"/>
        <v>October</v>
      </c>
      <c r="I2220" t="s">
        <v>96</v>
      </c>
      <c r="J2220" t="s">
        <v>70</v>
      </c>
      <c r="K2220">
        <v>3590</v>
      </c>
      <c r="L2220" s="5" t="str">
        <f>IF(OR(K2220&lt;Answers!$C$16,Orders!K2220&gt;Answers!$C$17),"Yes","No")</f>
        <v>No</v>
      </c>
      <c r="M2220" s="14">
        <f>VLOOKUP(B2220,Customers!$A$1:$E$2501,4,0)</f>
        <v>21</v>
      </c>
    </row>
    <row r="2221" spans="1:13" x14ac:dyDescent="0.3">
      <c r="A2221">
        <v>1496982</v>
      </c>
      <c r="B2221">
        <v>616</v>
      </c>
      <c r="C2221" s="1" t="s">
        <v>99</v>
      </c>
      <c r="D2221" s="7">
        <v>45109</v>
      </c>
      <c r="E2221" s="11">
        <v>36586</v>
      </c>
      <c r="F2221" s="15">
        <f t="shared" si="102"/>
        <v>7</v>
      </c>
      <c r="G2221" s="10" t="str">
        <f t="shared" si="103"/>
        <v>Sunday</v>
      </c>
      <c r="H2221" s="9" t="str">
        <f t="shared" si="104"/>
        <v>July</v>
      </c>
      <c r="I2221" t="s">
        <v>97</v>
      </c>
      <c r="J2221" t="s">
        <v>26</v>
      </c>
      <c r="K2221">
        <v>4824</v>
      </c>
      <c r="L2221" s="5" t="str">
        <f>IF(OR(K2221&lt;Answers!$C$16,Orders!K2221&gt;Answers!$C$17),"Yes","No")</f>
        <v>No</v>
      </c>
      <c r="M2221" s="14">
        <f>VLOOKUP(B2221,Customers!$A$1:$E$2501,4,0)</f>
        <v>40</v>
      </c>
    </row>
    <row r="2222" spans="1:13" x14ac:dyDescent="0.3">
      <c r="A2222">
        <v>1497326</v>
      </c>
      <c r="B2222">
        <v>1050</v>
      </c>
      <c r="C2222" s="1" t="s">
        <v>99</v>
      </c>
      <c r="D2222" s="7">
        <v>45259</v>
      </c>
      <c r="E2222" s="11">
        <v>6.1805555555555558E-2</v>
      </c>
      <c r="F2222" s="15">
        <f t="shared" si="102"/>
        <v>11</v>
      </c>
      <c r="G2222" s="10" t="str">
        <f t="shared" si="103"/>
        <v>Wednesday</v>
      </c>
      <c r="H2222" s="9" t="str">
        <f t="shared" si="104"/>
        <v>November</v>
      </c>
      <c r="I2222" t="s">
        <v>97</v>
      </c>
      <c r="J2222" t="s">
        <v>42</v>
      </c>
      <c r="K2222">
        <v>1670</v>
      </c>
      <c r="L2222" s="5" t="str">
        <f>IF(OR(K2222&lt;Answers!$C$16,Orders!K2222&gt;Answers!$C$17),"Yes","No")</f>
        <v>No</v>
      </c>
      <c r="M2222" s="14">
        <f>VLOOKUP(B2222,Customers!$A$1:$E$2501,4,0)</f>
        <v>31</v>
      </c>
    </row>
    <row r="2223" spans="1:13" x14ac:dyDescent="0.3">
      <c r="A2223">
        <v>1498622</v>
      </c>
      <c r="B2223">
        <v>1094</v>
      </c>
      <c r="C2223" s="1" t="s">
        <v>112</v>
      </c>
      <c r="D2223" s="7">
        <v>45191</v>
      </c>
      <c r="E2223" s="11">
        <v>36842</v>
      </c>
      <c r="F2223" s="15">
        <f t="shared" si="102"/>
        <v>9</v>
      </c>
      <c r="G2223" s="10" t="str">
        <f t="shared" si="103"/>
        <v>Friday</v>
      </c>
      <c r="H2223" s="9" t="str">
        <f t="shared" si="104"/>
        <v>September</v>
      </c>
      <c r="I2223" t="s">
        <v>96</v>
      </c>
      <c r="J2223" t="s">
        <v>25</v>
      </c>
      <c r="K2223">
        <v>6659</v>
      </c>
      <c r="L2223" s="5" t="str">
        <f>IF(OR(K2223&lt;Answers!$C$16,Orders!K2223&gt;Answers!$C$17),"Yes","No")</f>
        <v>No</v>
      </c>
      <c r="M2223" s="14">
        <f>VLOOKUP(B2223,Customers!$A$1:$E$2501,4,0)</f>
        <v>66</v>
      </c>
    </row>
    <row r="2224" spans="1:13" x14ac:dyDescent="0.3">
      <c r="A2224">
        <v>1499914</v>
      </c>
      <c r="B2224">
        <v>684</v>
      </c>
      <c r="C2224" s="1" t="s">
        <v>101</v>
      </c>
      <c r="D2224" s="7">
        <v>44964</v>
      </c>
      <c r="E2224" s="11">
        <v>0.44513888888888886</v>
      </c>
      <c r="F2224" s="15">
        <f t="shared" si="102"/>
        <v>2</v>
      </c>
      <c r="G2224" s="10" t="str">
        <f t="shared" si="103"/>
        <v>Tuesday</v>
      </c>
      <c r="H2224" s="9" t="str">
        <f t="shared" si="104"/>
        <v>February</v>
      </c>
      <c r="I2224" t="s">
        <v>190</v>
      </c>
      <c r="J2224" t="s">
        <v>26</v>
      </c>
      <c r="K2224">
        <v>7716</v>
      </c>
      <c r="L2224" s="5" t="str">
        <f>IF(OR(K2224&lt;Answers!$C$16,Orders!K2224&gt;Answers!$C$17),"Yes","No")</f>
        <v>No</v>
      </c>
      <c r="M2224" s="14">
        <f>VLOOKUP(B2224,Customers!$A$1:$E$2501,4,0)</f>
        <v>88</v>
      </c>
    </row>
    <row r="2225" spans="1:13" x14ac:dyDescent="0.3">
      <c r="A2225">
        <v>1500165</v>
      </c>
      <c r="B2225">
        <v>979</v>
      </c>
      <c r="C2225" s="1" t="s">
        <v>100</v>
      </c>
      <c r="D2225" s="7">
        <v>45061</v>
      </c>
      <c r="E2225" s="11">
        <v>0.47291666666666665</v>
      </c>
      <c r="F2225" s="15">
        <f t="shared" si="102"/>
        <v>5</v>
      </c>
      <c r="G2225" s="10" t="str">
        <f t="shared" si="103"/>
        <v>Monday</v>
      </c>
      <c r="H2225" s="9" t="str">
        <f t="shared" si="104"/>
        <v>May</v>
      </c>
      <c r="I2225" t="s">
        <v>190</v>
      </c>
      <c r="J2225" t="s">
        <v>65</v>
      </c>
      <c r="K2225">
        <v>3867</v>
      </c>
      <c r="L2225" s="5" t="str">
        <f>IF(OR(K2225&lt;Answers!$C$16,Orders!K2225&gt;Answers!$C$17),"Yes","No")</f>
        <v>No</v>
      </c>
      <c r="M2225" s="14">
        <f>VLOOKUP(B2225,Customers!$A$1:$E$2501,4,0)</f>
        <v>47</v>
      </c>
    </row>
    <row r="2226" spans="1:13" x14ac:dyDescent="0.3">
      <c r="A2226">
        <v>1500373</v>
      </c>
      <c r="B2226">
        <v>746</v>
      </c>
      <c r="C2226" s="1" t="s">
        <v>98</v>
      </c>
      <c r="D2226" s="7">
        <v>45035</v>
      </c>
      <c r="E2226" s="11">
        <v>0.4513888888888889</v>
      </c>
      <c r="F2226" s="15">
        <f t="shared" si="102"/>
        <v>4</v>
      </c>
      <c r="G2226" s="10" t="str">
        <f t="shared" si="103"/>
        <v>Wednesday</v>
      </c>
      <c r="H2226" s="9" t="str">
        <f t="shared" si="104"/>
        <v>April</v>
      </c>
      <c r="I2226" t="s">
        <v>190</v>
      </c>
      <c r="J2226" t="s">
        <v>77</v>
      </c>
      <c r="K2226">
        <v>1017</v>
      </c>
      <c r="L2226" s="5" t="str">
        <f>IF(OR(K2226&lt;Answers!$C$16,Orders!K2226&gt;Answers!$C$17),"Yes","No")</f>
        <v>No</v>
      </c>
      <c r="M2226" s="14">
        <f>VLOOKUP(B2226,Customers!$A$1:$E$2501,4,0)</f>
        <v>75</v>
      </c>
    </row>
    <row r="2227" spans="1:13" x14ac:dyDescent="0.3">
      <c r="A2227">
        <v>1500639</v>
      </c>
      <c r="B2227">
        <v>298</v>
      </c>
      <c r="C2227" s="1" t="s">
        <v>104</v>
      </c>
      <c r="D2227" s="7">
        <v>45099</v>
      </c>
      <c r="E2227" s="11">
        <v>0.53819444444444442</v>
      </c>
      <c r="F2227" s="15">
        <f t="shared" si="102"/>
        <v>6</v>
      </c>
      <c r="G2227" s="10" t="str">
        <f t="shared" si="103"/>
        <v>Thursday</v>
      </c>
      <c r="H2227" s="9" t="str">
        <f t="shared" si="104"/>
        <v>June</v>
      </c>
      <c r="I2227" t="s">
        <v>97</v>
      </c>
      <c r="J2227" t="s">
        <v>76</v>
      </c>
      <c r="K2227">
        <v>611</v>
      </c>
      <c r="L2227" s="5" t="str">
        <f>IF(OR(K2227&lt;Answers!$C$16,Orders!K2227&gt;Answers!$C$17),"Yes","No")</f>
        <v>No</v>
      </c>
      <c r="M2227" s="14">
        <f>VLOOKUP(B2227,Customers!$A$1:$E$2501,4,0)</f>
        <v>34</v>
      </c>
    </row>
    <row r="2228" spans="1:13" x14ac:dyDescent="0.3">
      <c r="A2228">
        <v>1501027</v>
      </c>
      <c r="B2228">
        <v>1645</v>
      </c>
      <c r="C2228" s="1" t="s">
        <v>100</v>
      </c>
      <c r="D2228" s="7">
        <v>45113</v>
      </c>
      <c r="E2228" s="11">
        <v>0.51875000000000004</v>
      </c>
      <c r="F2228" s="15">
        <f t="shared" si="102"/>
        <v>7</v>
      </c>
      <c r="G2228" s="10" t="str">
        <f t="shared" si="103"/>
        <v>Thursday</v>
      </c>
      <c r="H2228" s="9" t="str">
        <f t="shared" si="104"/>
        <v>July</v>
      </c>
      <c r="I2228" t="s">
        <v>190</v>
      </c>
      <c r="J2228" t="s">
        <v>63</v>
      </c>
      <c r="K2228">
        <v>7105</v>
      </c>
      <c r="L2228" s="5" t="str">
        <f>IF(OR(K2228&lt;Answers!$C$16,Orders!K2228&gt;Answers!$C$17),"Yes","No")</f>
        <v>No</v>
      </c>
      <c r="M2228" s="14">
        <f>VLOOKUP(B2228,Customers!$A$1:$E$2501,4,0)</f>
        <v>86</v>
      </c>
    </row>
    <row r="2229" spans="1:13" x14ac:dyDescent="0.3">
      <c r="A2229">
        <v>1502119</v>
      </c>
      <c r="B2229">
        <v>214</v>
      </c>
      <c r="C2229" s="1" t="s">
        <v>98</v>
      </c>
      <c r="D2229" s="7">
        <v>45192</v>
      </c>
      <c r="E2229" s="11">
        <v>0.4777777777777778</v>
      </c>
      <c r="F2229" s="15">
        <f t="shared" si="102"/>
        <v>9</v>
      </c>
      <c r="G2229" s="10" t="str">
        <f t="shared" si="103"/>
        <v>Saturday</v>
      </c>
      <c r="H2229" s="9" t="str">
        <f t="shared" si="104"/>
        <v>September</v>
      </c>
      <c r="I2229" t="s">
        <v>96</v>
      </c>
      <c r="J2229" t="s">
        <v>29</v>
      </c>
      <c r="K2229">
        <v>8968</v>
      </c>
      <c r="L2229" s="5" t="str">
        <f>IF(OR(K2229&lt;Answers!$C$16,Orders!K2229&gt;Answers!$C$17),"Yes","No")</f>
        <v>No</v>
      </c>
      <c r="M2229" s="14">
        <f>VLOOKUP(B2229,Customers!$A$1:$E$2501,4,0)</f>
        <v>18</v>
      </c>
    </row>
    <row r="2230" spans="1:13" x14ac:dyDescent="0.3">
      <c r="A2230">
        <v>1502209</v>
      </c>
      <c r="B2230">
        <v>1512</v>
      </c>
      <c r="C2230" s="1" t="s">
        <v>107</v>
      </c>
      <c r="D2230" s="7">
        <v>44984</v>
      </c>
      <c r="E2230" s="11">
        <v>0.48333333333333334</v>
      </c>
      <c r="F2230" s="15">
        <f t="shared" si="102"/>
        <v>2</v>
      </c>
      <c r="G2230" s="10" t="str">
        <f t="shared" si="103"/>
        <v>Monday</v>
      </c>
      <c r="H2230" s="9" t="str">
        <f t="shared" si="104"/>
        <v>February</v>
      </c>
      <c r="I2230" t="s">
        <v>97</v>
      </c>
      <c r="J2230" t="s">
        <v>52</v>
      </c>
      <c r="K2230">
        <v>9349</v>
      </c>
      <c r="L2230" s="5" t="str">
        <f>IF(OR(K2230&lt;Answers!$C$16,Orders!K2230&gt;Answers!$C$17),"Yes","No")</f>
        <v>No</v>
      </c>
      <c r="M2230" s="14">
        <f>VLOOKUP(B2230,Customers!$A$1:$E$2501,4,0)</f>
        <v>28</v>
      </c>
    </row>
    <row r="2231" spans="1:13" x14ac:dyDescent="0.3">
      <c r="A2231">
        <v>1503185</v>
      </c>
      <c r="B2231">
        <v>738</v>
      </c>
      <c r="C2231" s="1" t="s">
        <v>99</v>
      </c>
      <c r="D2231" s="7">
        <v>45140</v>
      </c>
      <c r="E2231" s="11">
        <v>0.52361111111111114</v>
      </c>
      <c r="F2231" s="15">
        <f t="shared" si="102"/>
        <v>8</v>
      </c>
      <c r="G2231" s="10" t="str">
        <f t="shared" si="103"/>
        <v>Wednesday</v>
      </c>
      <c r="H2231" s="9" t="str">
        <f t="shared" si="104"/>
        <v>August</v>
      </c>
      <c r="I2231" t="s">
        <v>190</v>
      </c>
      <c r="J2231" t="s">
        <v>84</v>
      </c>
      <c r="K2231">
        <v>7706</v>
      </c>
      <c r="L2231" s="5" t="str">
        <f>IF(OR(K2231&lt;Answers!$C$16,Orders!K2231&gt;Answers!$C$17),"Yes","No")</f>
        <v>No</v>
      </c>
      <c r="M2231" s="14">
        <f>VLOOKUP(B2231,Customers!$A$1:$E$2501,4,0)</f>
        <v>25</v>
      </c>
    </row>
    <row r="2232" spans="1:13" x14ac:dyDescent="0.3">
      <c r="A2232">
        <v>1503619</v>
      </c>
      <c r="B2232">
        <v>621</v>
      </c>
      <c r="C2232" s="1" t="s">
        <v>98</v>
      </c>
      <c r="D2232" s="7">
        <v>44943</v>
      </c>
      <c r="E2232" s="11">
        <v>0.53749999999999998</v>
      </c>
      <c r="F2232" s="15">
        <f t="shared" si="102"/>
        <v>1</v>
      </c>
      <c r="G2232" s="10" t="str">
        <f t="shared" si="103"/>
        <v>Tuesday</v>
      </c>
      <c r="H2232" s="9" t="str">
        <f t="shared" si="104"/>
        <v>January</v>
      </c>
      <c r="I2232" t="s">
        <v>95</v>
      </c>
      <c r="J2232" t="s">
        <v>50</v>
      </c>
      <c r="K2232">
        <v>4436</v>
      </c>
      <c r="L2232" s="5" t="str">
        <f>IF(OR(K2232&lt;Answers!$C$16,Orders!K2232&gt;Answers!$C$17),"Yes","No")</f>
        <v>No</v>
      </c>
      <c r="M2232" s="14">
        <f>VLOOKUP(B2232,Customers!$A$1:$E$2501,4,0)</f>
        <v>50</v>
      </c>
    </row>
    <row r="2233" spans="1:13" x14ac:dyDescent="0.3">
      <c r="A2233">
        <v>1503941</v>
      </c>
      <c r="B2233">
        <v>1910</v>
      </c>
      <c r="C2233" s="1" t="s">
        <v>99</v>
      </c>
      <c r="D2233" s="7">
        <v>45244</v>
      </c>
      <c r="E2233" s="11">
        <v>8.3333333333333329E-2</v>
      </c>
      <c r="F2233" s="15">
        <f t="shared" si="102"/>
        <v>11</v>
      </c>
      <c r="G2233" s="10" t="str">
        <f t="shared" si="103"/>
        <v>Tuesday</v>
      </c>
      <c r="H2233" s="9" t="str">
        <f t="shared" si="104"/>
        <v>November</v>
      </c>
      <c r="I2233" t="s">
        <v>190</v>
      </c>
      <c r="J2233" t="s">
        <v>67</v>
      </c>
      <c r="K2233">
        <v>4898</v>
      </c>
      <c r="L2233" s="5" t="str">
        <f>IF(OR(K2233&lt;Answers!$C$16,Orders!K2233&gt;Answers!$C$17),"Yes","No")</f>
        <v>No</v>
      </c>
      <c r="M2233" s="14">
        <f>VLOOKUP(B2233,Customers!$A$1:$E$2501,4,0)</f>
        <v>51</v>
      </c>
    </row>
    <row r="2234" spans="1:13" x14ac:dyDescent="0.3">
      <c r="A2234">
        <v>1506022</v>
      </c>
      <c r="B2234">
        <v>949</v>
      </c>
      <c r="C2234" s="1" t="s">
        <v>102</v>
      </c>
      <c r="D2234" s="7">
        <v>44932</v>
      </c>
      <c r="E2234" s="11">
        <v>0.52013888888888893</v>
      </c>
      <c r="F2234" s="15">
        <f t="shared" si="102"/>
        <v>1</v>
      </c>
      <c r="G2234" s="10" t="str">
        <f t="shared" si="103"/>
        <v>Friday</v>
      </c>
      <c r="H2234" s="9" t="str">
        <f t="shared" si="104"/>
        <v>January</v>
      </c>
      <c r="I2234" t="s">
        <v>190</v>
      </c>
      <c r="J2234" t="s">
        <v>85</v>
      </c>
      <c r="K2234">
        <v>8624</v>
      </c>
      <c r="L2234" s="5" t="str">
        <f>IF(OR(K2234&lt;Answers!$C$16,Orders!K2234&gt;Answers!$C$17),"Yes","No")</f>
        <v>No</v>
      </c>
      <c r="M2234" s="14">
        <f>VLOOKUP(B2234,Customers!$A$1:$E$2501,4,0)</f>
        <v>71</v>
      </c>
    </row>
    <row r="2235" spans="1:13" x14ac:dyDescent="0.3">
      <c r="A2235">
        <v>1506385</v>
      </c>
      <c r="B2235">
        <v>294</v>
      </c>
      <c r="C2235" s="1" t="s">
        <v>99</v>
      </c>
      <c r="D2235" s="7">
        <v>45268</v>
      </c>
      <c r="E2235" s="11">
        <v>0.46875</v>
      </c>
      <c r="F2235" s="15">
        <f t="shared" si="102"/>
        <v>12</v>
      </c>
      <c r="G2235" s="10" t="str">
        <f t="shared" si="103"/>
        <v>Friday</v>
      </c>
      <c r="H2235" s="9" t="str">
        <f t="shared" si="104"/>
        <v>December</v>
      </c>
      <c r="I2235" t="s">
        <v>95</v>
      </c>
      <c r="J2235" t="s">
        <v>42</v>
      </c>
      <c r="K2235">
        <v>5490</v>
      </c>
      <c r="L2235" s="5" t="str">
        <f>IF(OR(K2235&lt;Answers!$C$16,Orders!K2235&gt;Answers!$C$17),"Yes","No")</f>
        <v>No</v>
      </c>
      <c r="M2235" s="14">
        <f>VLOOKUP(B2235,Customers!$A$1:$E$2501,4,0)</f>
        <v>30</v>
      </c>
    </row>
    <row r="2236" spans="1:13" x14ac:dyDescent="0.3">
      <c r="A2236">
        <v>1507608</v>
      </c>
      <c r="B2236">
        <v>1886</v>
      </c>
      <c r="C2236" s="1" t="s">
        <v>100</v>
      </c>
      <c r="D2236" s="7">
        <v>45077</v>
      </c>
      <c r="E2236" s="11">
        <v>36617</v>
      </c>
      <c r="F2236" s="15">
        <f t="shared" si="102"/>
        <v>5</v>
      </c>
      <c r="G2236" s="10" t="str">
        <f t="shared" si="103"/>
        <v>Wednesday</v>
      </c>
      <c r="H2236" s="9" t="str">
        <f t="shared" si="104"/>
        <v>May</v>
      </c>
      <c r="I2236" t="s">
        <v>190</v>
      </c>
      <c r="J2236" t="s">
        <v>26</v>
      </c>
      <c r="K2236">
        <v>8078</v>
      </c>
      <c r="L2236" s="5" t="str">
        <f>IF(OR(K2236&lt;Answers!$C$16,Orders!K2236&gt;Answers!$C$17),"Yes","No")</f>
        <v>No</v>
      </c>
      <c r="M2236" s="14">
        <f>VLOOKUP(B2236,Customers!$A$1:$E$2501,4,0)</f>
        <v>28</v>
      </c>
    </row>
    <row r="2237" spans="1:13" x14ac:dyDescent="0.3">
      <c r="A2237">
        <v>1508121</v>
      </c>
      <c r="B2237">
        <v>1786</v>
      </c>
      <c r="C2237" s="1" t="s">
        <v>105</v>
      </c>
      <c r="D2237" s="7">
        <v>45038</v>
      </c>
      <c r="E2237" s="11">
        <v>0.54027777777777775</v>
      </c>
      <c r="F2237" s="15">
        <f t="shared" si="102"/>
        <v>4</v>
      </c>
      <c r="G2237" s="10" t="str">
        <f t="shared" si="103"/>
        <v>Saturday</v>
      </c>
      <c r="H2237" s="9" t="str">
        <f t="shared" si="104"/>
        <v>April</v>
      </c>
      <c r="I2237" t="s">
        <v>190</v>
      </c>
      <c r="J2237" t="s">
        <v>68</v>
      </c>
      <c r="K2237">
        <v>4650</v>
      </c>
      <c r="L2237" s="5" t="str">
        <f>IF(OR(K2237&lt;Answers!$C$16,Orders!K2237&gt;Answers!$C$17),"Yes","No")</f>
        <v>No</v>
      </c>
      <c r="M2237" s="14">
        <f>VLOOKUP(B2237,Customers!$A$1:$E$2501,4,0)</f>
        <v>78</v>
      </c>
    </row>
    <row r="2238" spans="1:13" x14ac:dyDescent="0.3">
      <c r="A2238">
        <v>1508428</v>
      </c>
      <c r="B2238">
        <v>1815</v>
      </c>
      <c r="C2238" s="1" t="s">
        <v>103</v>
      </c>
      <c r="D2238" s="7">
        <v>45015</v>
      </c>
      <c r="E2238" s="11">
        <v>0.53333333333333333</v>
      </c>
      <c r="F2238" s="15">
        <f t="shared" si="102"/>
        <v>3</v>
      </c>
      <c r="G2238" s="10" t="str">
        <f t="shared" si="103"/>
        <v>Thursday</v>
      </c>
      <c r="H2238" s="9" t="str">
        <f t="shared" si="104"/>
        <v>March</v>
      </c>
      <c r="I2238" t="s">
        <v>95</v>
      </c>
      <c r="J2238" t="s">
        <v>42</v>
      </c>
      <c r="K2238">
        <v>5995</v>
      </c>
      <c r="L2238" s="5" t="str">
        <f>IF(OR(K2238&lt;Answers!$C$16,Orders!K2238&gt;Answers!$C$17),"Yes","No")</f>
        <v>No</v>
      </c>
      <c r="M2238" s="14">
        <f>VLOOKUP(B2238,Customers!$A$1:$E$2501,4,0)</f>
        <v>43</v>
      </c>
    </row>
    <row r="2239" spans="1:13" x14ac:dyDescent="0.3">
      <c r="A2239">
        <v>1508568</v>
      </c>
      <c r="B2239">
        <v>979</v>
      </c>
      <c r="C2239" s="1" t="s">
        <v>100</v>
      </c>
      <c r="D2239" s="7">
        <v>45284</v>
      </c>
      <c r="E2239" s="11">
        <v>0.53402777777777777</v>
      </c>
      <c r="F2239" s="15">
        <f t="shared" si="102"/>
        <v>12</v>
      </c>
      <c r="G2239" s="10" t="str">
        <f t="shared" si="103"/>
        <v>Sunday</v>
      </c>
      <c r="H2239" s="9" t="str">
        <f t="shared" si="104"/>
        <v>December</v>
      </c>
      <c r="I2239" t="s">
        <v>95</v>
      </c>
      <c r="J2239" t="s">
        <v>21</v>
      </c>
      <c r="K2239">
        <v>3218</v>
      </c>
      <c r="L2239" s="5" t="str">
        <f>IF(OR(K2239&lt;Answers!$C$16,Orders!K2239&gt;Answers!$C$17),"Yes","No")</f>
        <v>No</v>
      </c>
      <c r="M2239" s="14">
        <f>VLOOKUP(B2239,Customers!$A$1:$E$2501,4,0)</f>
        <v>47</v>
      </c>
    </row>
    <row r="2240" spans="1:13" x14ac:dyDescent="0.3">
      <c r="A2240">
        <v>1508707</v>
      </c>
      <c r="B2240">
        <v>376</v>
      </c>
      <c r="C2240" s="1" t="s">
        <v>112</v>
      </c>
      <c r="D2240" s="7">
        <v>44964</v>
      </c>
      <c r="E2240" s="11">
        <v>0.47361111111111109</v>
      </c>
      <c r="F2240" s="15">
        <f t="shared" si="102"/>
        <v>2</v>
      </c>
      <c r="G2240" s="10" t="str">
        <f t="shared" si="103"/>
        <v>Tuesday</v>
      </c>
      <c r="H2240" s="9" t="str">
        <f t="shared" si="104"/>
        <v>February</v>
      </c>
      <c r="I2240" t="s">
        <v>96</v>
      </c>
      <c r="J2240" t="s">
        <v>3</v>
      </c>
      <c r="K2240">
        <v>8491</v>
      </c>
      <c r="L2240" s="5" t="str">
        <f>IF(OR(K2240&lt;Answers!$C$16,Orders!K2240&gt;Answers!$C$17),"Yes","No")</f>
        <v>No</v>
      </c>
      <c r="M2240" s="14">
        <f>VLOOKUP(B2240,Customers!$A$1:$E$2501,4,0)</f>
        <v>89</v>
      </c>
    </row>
    <row r="2241" spans="1:13" x14ac:dyDescent="0.3">
      <c r="A2241">
        <v>1508738</v>
      </c>
      <c r="B2241">
        <v>1408</v>
      </c>
      <c r="C2241" s="1" t="s">
        <v>98</v>
      </c>
      <c r="D2241" s="7">
        <v>45164</v>
      </c>
      <c r="E2241" s="11">
        <v>0.53472222222222221</v>
      </c>
      <c r="F2241" s="15">
        <f t="shared" si="102"/>
        <v>8</v>
      </c>
      <c r="G2241" s="10" t="str">
        <f t="shared" si="103"/>
        <v>Saturday</v>
      </c>
      <c r="H2241" s="9" t="str">
        <f t="shared" si="104"/>
        <v>August</v>
      </c>
      <c r="I2241" t="s">
        <v>95</v>
      </c>
      <c r="J2241" t="s">
        <v>18</v>
      </c>
      <c r="K2241">
        <v>8503</v>
      </c>
      <c r="L2241" s="5" t="str">
        <f>IF(OR(K2241&lt;Answers!$C$16,Orders!K2241&gt;Answers!$C$17),"Yes","No")</f>
        <v>No</v>
      </c>
      <c r="M2241" s="14">
        <f>VLOOKUP(B2241,Customers!$A$1:$E$2501,4,0)</f>
        <v>68</v>
      </c>
    </row>
    <row r="2242" spans="1:13" x14ac:dyDescent="0.3">
      <c r="A2242">
        <v>1509554</v>
      </c>
      <c r="B2242">
        <v>610</v>
      </c>
      <c r="C2242" s="1" t="s">
        <v>99</v>
      </c>
      <c r="D2242" s="7">
        <v>45032</v>
      </c>
      <c r="E2242" s="11">
        <v>0.52361111111111114</v>
      </c>
      <c r="F2242" s="15">
        <f t="shared" si="102"/>
        <v>4</v>
      </c>
      <c r="G2242" s="10" t="str">
        <f t="shared" si="103"/>
        <v>Sunday</v>
      </c>
      <c r="H2242" s="9" t="str">
        <f t="shared" si="104"/>
        <v>April</v>
      </c>
      <c r="I2242" t="s">
        <v>96</v>
      </c>
      <c r="J2242" t="s">
        <v>34</v>
      </c>
      <c r="K2242">
        <v>4098</v>
      </c>
      <c r="L2242" s="5" t="str">
        <f>IF(OR(K2242&lt;Answers!$C$16,Orders!K2242&gt;Answers!$C$17),"Yes","No")</f>
        <v>No</v>
      </c>
      <c r="M2242" s="14">
        <f>VLOOKUP(B2242,Customers!$A$1:$E$2501,4,0)</f>
        <v>62</v>
      </c>
    </row>
    <row r="2243" spans="1:13" x14ac:dyDescent="0.3">
      <c r="A2243">
        <v>1509587</v>
      </c>
      <c r="B2243">
        <v>822</v>
      </c>
      <c r="C2243" s="1" t="s">
        <v>98</v>
      </c>
      <c r="D2243" s="7">
        <v>45268</v>
      </c>
      <c r="E2243" s="11">
        <v>0.51111111111111107</v>
      </c>
      <c r="F2243" s="15">
        <f t="shared" ref="F2243:F2306" si="105">MONTH(D2243)</f>
        <v>12</v>
      </c>
      <c r="G2243" s="10" t="str">
        <f t="shared" ref="G2243:G2306" si="106">TEXT(D2243,"dddd")</f>
        <v>Friday</v>
      </c>
      <c r="H2243" s="9" t="str">
        <f t="shared" ref="H2243:H2306" si="107">TEXT(D2243,"mmmm")</f>
        <v>December</v>
      </c>
      <c r="I2243" t="s">
        <v>190</v>
      </c>
      <c r="J2243" t="s">
        <v>20</v>
      </c>
      <c r="K2243">
        <v>43</v>
      </c>
      <c r="L2243" s="5" t="str">
        <f>IF(OR(K2243&lt;Answers!$C$16,Orders!K2243&gt;Answers!$C$17),"Yes","No")</f>
        <v>No</v>
      </c>
      <c r="M2243" s="14">
        <f>VLOOKUP(B2243,Customers!$A$1:$E$2501,4,0)</f>
        <v>18</v>
      </c>
    </row>
    <row r="2244" spans="1:13" x14ac:dyDescent="0.3">
      <c r="A2244">
        <v>1509701</v>
      </c>
      <c r="B2244">
        <v>1109</v>
      </c>
      <c r="C2244" s="1" t="s">
        <v>112</v>
      </c>
      <c r="D2244" s="7">
        <v>45226</v>
      </c>
      <c r="E2244" s="11">
        <v>0.52430555555555558</v>
      </c>
      <c r="F2244" s="15">
        <f t="shared" si="105"/>
        <v>10</v>
      </c>
      <c r="G2244" s="10" t="str">
        <f t="shared" si="106"/>
        <v>Friday</v>
      </c>
      <c r="H2244" s="9" t="str">
        <f t="shared" si="107"/>
        <v>October</v>
      </c>
      <c r="I2244" t="s">
        <v>95</v>
      </c>
      <c r="J2244" t="s">
        <v>42</v>
      </c>
      <c r="K2244">
        <v>1460</v>
      </c>
      <c r="L2244" s="5" t="str">
        <f>IF(OR(K2244&lt;Answers!$C$16,Orders!K2244&gt;Answers!$C$17),"Yes","No")</f>
        <v>No</v>
      </c>
      <c r="M2244" s="14">
        <f>VLOOKUP(B2244,Customers!$A$1:$E$2501,4,0)</f>
        <v>86</v>
      </c>
    </row>
    <row r="2245" spans="1:13" x14ac:dyDescent="0.3">
      <c r="A2245">
        <v>1512442</v>
      </c>
      <c r="B2245">
        <v>1243</v>
      </c>
      <c r="C2245" s="1" t="s">
        <v>104</v>
      </c>
      <c r="D2245" s="7">
        <v>45095</v>
      </c>
      <c r="E2245" s="11">
        <v>0.52430555555555558</v>
      </c>
      <c r="F2245" s="15">
        <f t="shared" si="105"/>
        <v>6</v>
      </c>
      <c r="G2245" s="10" t="str">
        <f t="shared" si="106"/>
        <v>Sunday</v>
      </c>
      <c r="H2245" s="9" t="str">
        <f t="shared" si="107"/>
        <v>June</v>
      </c>
      <c r="I2245" t="s">
        <v>96</v>
      </c>
      <c r="J2245" t="s">
        <v>77</v>
      </c>
      <c r="K2245">
        <v>7379</v>
      </c>
      <c r="L2245" s="5" t="str">
        <f>IF(OR(K2245&lt;Answers!$C$16,Orders!K2245&gt;Answers!$C$17),"Yes","No")</f>
        <v>No</v>
      </c>
      <c r="M2245" s="14">
        <f>VLOOKUP(B2245,Customers!$A$1:$E$2501,4,0)</f>
        <v>24</v>
      </c>
    </row>
    <row r="2246" spans="1:13" x14ac:dyDescent="0.3">
      <c r="A2246">
        <v>1512481</v>
      </c>
      <c r="B2246">
        <v>1560</v>
      </c>
      <c r="C2246" s="1" t="s">
        <v>105</v>
      </c>
      <c r="D2246" s="7">
        <v>44963</v>
      </c>
      <c r="E2246" s="11">
        <v>0.53749999999999998</v>
      </c>
      <c r="F2246" s="15">
        <f t="shared" si="105"/>
        <v>2</v>
      </c>
      <c r="G2246" s="10" t="str">
        <f t="shared" si="106"/>
        <v>Monday</v>
      </c>
      <c r="H2246" s="9" t="str">
        <f t="shared" si="107"/>
        <v>February</v>
      </c>
      <c r="I2246" t="s">
        <v>95</v>
      </c>
      <c r="J2246" t="s">
        <v>4</v>
      </c>
      <c r="K2246">
        <v>1363</v>
      </c>
      <c r="L2246" s="5" t="str">
        <f>IF(OR(K2246&lt;Answers!$C$16,Orders!K2246&gt;Answers!$C$17),"Yes","No")</f>
        <v>No</v>
      </c>
      <c r="M2246" s="14">
        <f>VLOOKUP(B2246,Customers!$A$1:$E$2501,4,0)</f>
        <v>36</v>
      </c>
    </row>
    <row r="2247" spans="1:13" x14ac:dyDescent="0.3">
      <c r="A2247">
        <v>1513008</v>
      </c>
      <c r="B2247">
        <v>1980</v>
      </c>
      <c r="C2247" s="1" t="s">
        <v>109</v>
      </c>
      <c r="D2247" s="7">
        <v>45133</v>
      </c>
      <c r="E2247" s="11">
        <v>0.5395833333333333</v>
      </c>
      <c r="F2247" s="15">
        <f t="shared" si="105"/>
        <v>7</v>
      </c>
      <c r="G2247" s="10" t="str">
        <f t="shared" si="106"/>
        <v>Wednesday</v>
      </c>
      <c r="H2247" s="9" t="str">
        <f t="shared" si="107"/>
        <v>July</v>
      </c>
      <c r="I2247" t="s">
        <v>96</v>
      </c>
      <c r="J2247" t="s">
        <v>42</v>
      </c>
      <c r="K2247">
        <v>4837</v>
      </c>
      <c r="L2247" s="5" t="str">
        <f>IF(OR(K2247&lt;Answers!$C$16,Orders!K2247&gt;Answers!$C$17),"Yes","No")</f>
        <v>No</v>
      </c>
      <c r="M2247" s="14">
        <f>VLOOKUP(B2247,Customers!$A$1:$E$2501,4,0)</f>
        <v>57</v>
      </c>
    </row>
    <row r="2248" spans="1:13" x14ac:dyDescent="0.3">
      <c r="A2248">
        <v>1513475</v>
      </c>
      <c r="B2248">
        <v>375</v>
      </c>
      <c r="C2248" s="1" t="s">
        <v>100</v>
      </c>
      <c r="D2248" s="7">
        <v>45079</v>
      </c>
      <c r="E2248" s="11">
        <v>0.53472222222222221</v>
      </c>
      <c r="F2248" s="15">
        <f t="shared" si="105"/>
        <v>6</v>
      </c>
      <c r="G2248" s="10" t="str">
        <f t="shared" si="106"/>
        <v>Friday</v>
      </c>
      <c r="H2248" s="9" t="str">
        <f t="shared" si="107"/>
        <v>June</v>
      </c>
      <c r="I2248" t="s">
        <v>96</v>
      </c>
      <c r="J2248" t="s">
        <v>26</v>
      </c>
      <c r="K2248">
        <v>7352</v>
      </c>
      <c r="L2248" s="5" t="str">
        <f>IF(OR(K2248&lt;Answers!$C$16,Orders!K2248&gt;Answers!$C$17),"Yes","No")</f>
        <v>No</v>
      </c>
      <c r="M2248" s="14">
        <f>VLOOKUP(B2248,Customers!$A$1:$E$2501,4,0)</f>
        <v>45</v>
      </c>
    </row>
    <row r="2249" spans="1:13" x14ac:dyDescent="0.3">
      <c r="A2249">
        <v>1513796</v>
      </c>
      <c r="B2249">
        <v>218</v>
      </c>
      <c r="C2249" s="1" t="s">
        <v>99</v>
      </c>
      <c r="D2249" s="7">
        <v>45100</v>
      </c>
      <c r="E2249" s="11">
        <v>0.49722222222222223</v>
      </c>
      <c r="F2249" s="15">
        <f t="shared" si="105"/>
        <v>6</v>
      </c>
      <c r="G2249" s="10" t="str">
        <f t="shared" si="106"/>
        <v>Friday</v>
      </c>
      <c r="H2249" s="9" t="str">
        <f t="shared" si="107"/>
        <v>June</v>
      </c>
      <c r="I2249" t="s">
        <v>95</v>
      </c>
      <c r="J2249" t="s">
        <v>26</v>
      </c>
      <c r="K2249">
        <v>520</v>
      </c>
      <c r="L2249" s="5" t="str">
        <f>IF(OR(K2249&lt;Answers!$C$16,Orders!K2249&gt;Answers!$C$17),"Yes","No")</f>
        <v>No</v>
      </c>
      <c r="M2249" s="14">
        <f>VLOOKUP(B2249,Customers!$A$1:$E$2501,4,0)</f>
        <v>34</v>
      </c>
    </row>
    <row r="2250" spans="1:13" x14ac:dyDescent="0.3">
      <c r="A2250">
        <v>1513980</v>
      </c>
      <c r="B2250">
        <v>1164</v>
      </c>
      <c r="C2250" s="1" t="s">
        <v>98</v>
      </c>
      <c r="D2250" s="7">
        <v>44971</v>
      </c>
      <c r="E2250" s="11">
        <v>0.48749999999999999</v>
      </c>
      <c r="F2250" s="15">
        <f t="shared" si="105"/>
        <v>2</v>
      </c>
      <c r="G2250" s="10" t="str">
        <f t="shared" si="106"/>
        <v>Tuesday</v>
      </c>
      <c r="H2250" s="9" t="str">
        <f t="shared" si="107"/>
        <v>February</v>
      </c>
      <c r="I2250" t="s">
        <v>97</v>
      </c>
      <c r="J2250" t="s">
        <v>26</v>
      </c>
      <c r="K2250">
        <v>5236</v>
      </c>
      <c r="L2250" s="5" t="str">
        <f>IF(OR(K2250&lt;Answers!$C$16,Orders!K2250&gt;Answers!$C$17),"Yes","No")</f>
        <v>No</v>
      </c>
      <c r="M2250" s="14">
        <f>VLOOKUP(B2250,Customers!$A$1:$E$2501,4,0)</f>
        <v>63</v>
      </c>
    </row>
    <row r="2251" spans="1:13" x14ac:dyDescent="0.3">
      <c r="A2251">
        <v>1514182</v>
      </c>
      <c r="B2251">
        <v>992</v>
      </c>
      <c r="C2251" s="1" t="s">
        <v>98</v>
      </c>
      <c r="D2251" s="7">
        <v>44940</v>
      </c>
      <c r="E2251" s="11">
        <v>0.51249999999999996</v>
      </c>
      <c r="F2251" s="15">
        <f t="shared" si="105"/>
        <v>1</v>
      </c>
      <c r="G2251" s="10" t="str">
        <f t="shared" si="106"/>
        <v>Saturday</v>
      </c>
      <c r="H2251" s="9" t="str">
        <f t="shared" si="107"/>
        <v>January</v>
      </c>
      <c r="I2251" t="s">
        <v>96</v>
      </c>
      <c r="J2251" t="s">
        <v>17</v>
      </c>
      <c r="K2251">
        <v>4187</v>
      </c>
      <c r="L2251" s="5" t="str">
        <f>IF(OR(K2251&lt;Answers!$C$16,Orders!K2251&gt;Answers!$C$17),"Yes","No")</f>
        <v>No</v>
      </c>
      <c r="M2251" s="14">
        <f>VLOOKUP(B2251,Customers!$A$1:$E$2501,4,0)</f>
        <v>51</v>
      </c>
    </row>
    <row r="2252" spans="1:13" x14ac:dyDescent="0.3">
      <c r="A2252">
        <v>1515579</v>
      </c>
      <c r="B2252">
        <v>982</v>
      </c>
      <c r="C2252" s="1" t="s">
        <v>98</v>
      </c>
      <c r="D2252" s="7">
        <v>45052</v>
      </c>
      <c r="E2252" s="11">
        <v>0.53541666666666665</v>
      </c>
      <c r="F2252" s="15">
        <f t="shared" si="105"/>
        <v>5</v>
      </c>
      <c r="G2252" s="10" t="str">
        <f t="shared" si="106"/>
        <v>Saturday</v>
      </c>
      <c r="H2252" s="9" t="str">
        <f t="shared" si="107"/>
        <v>May</v>
      </c>
      <c r="I2252" t="s">
        <v>96</v>
      </c>
      <c r="J2252" t="s">
        <v>26</v>
      </c>
      <c r="K2252">
        <v>811</v>
      </c>
      <c r="L2252" s="5" t="str">
        <f>IF(OR(K2252&lt;Answers!$C$16,Orders!K2252&gt;Answers!$C$17),"Yes","No")</f>
        <v>No</v>
      </c>
      <c r="M2252" s="14">
        <f>VLOOKUP(B2252,Customers!$A$1:$E$2501,4,0)</f>
        <v>35</v>
      </c>
    </row>
    <row r="2253" spans="1:13" x14ac:dyDescent="0.3">
      <c r="A2253">
        <v>1516849</v>
      </c>
      <c r="B2253">
        <v>108</v>
      </c>
      <c r="C2253" s="1" t="s">
        <v>104</v>
      </c>
      <c r="D2253" s="7">
        <v>45080</v>
      </c>
      <c r="E2253" s="11">
        <v>0.51527777777777772</v>
      </c>
      <c r="F2253" s="15">
        <f t="shared" si="105"/>
        <v>6</v>
      </c>
      <c r="G2253" s="10" t="str">
        <f t="shared" si="106"/>
        <v>Saturday</v>
      </c>
      <c r="H2253" s="9" t="str">
        <f t="shared" si="107"/>
        <v>June</v>
      </c>
      <c r="I2253" t="s">
        <v>96</v>
      </c>
      <c r="J2253" t="s">
        <v>93</v>
      </c>
      <c r="K2253">
        <v>5536</v>
      </c>
      <c r="L2253" s="5" t="str">
        <f>IF(OR(K2253&lt;Answers!$C$16,Orders!K2253&gt;Answers!$C$17),"Yes","No")</f>
        <v>No</v>
      </c>
      <c r="M2253" s="14">
        <f>VLOOKUP(B2253,Customers!$A$1:$E$2501,4,0)</f>
        <v>63</v>
      </c>
    </row>
    <row r="2254" spans="1:13" x14ac:dyDescent="0.3">
      <c r="A2254">
        <v>1516974</v>
      </c>
      <c r="B2254">
        <v>136</v>
      </c>
      <c r="C2254" s="1" t="s">
        <v>98</v>
      </c>
      <c r="D2254" s="7">
        <v>45057</v>
      </c>
      <c r="E2254" s="11">
        <v>0.53819444444444442</v>
      </c>
      <c r="F2254" s="15">
        <f t="shared" si="105"/>
        <v>5</v>
      </c>
      <c r="G2254" s="10" t="str">
        <f t="shared" si="106"/>
        <v>Thursday</v>
      </c>
      <c r="H2254" s="9" t="str">
        <f t="shared" si="107"/>
        <v>May</v>
      </c>
      <c r="I2254" t="s">
        <v>95</v>
      </c>
      <c r="J2254" t="s">
        <v>77</v>
      </c>
      <c r="K2254">
        <v>1042</v>
      </c>
      <c r="L2254" s="5" t="str">
        <f>IF(OR(K2254&lt;Answers!$C$16,Orders!K2254&gt;Answers!$C$17),"Yes","No")</f>
        <v>No</v>
      </c>
      <c r="M2254" s="14">
        <f>VLOOKUP(B2254,Customers!$A$1:$E$2501,4,0)</f>
        <v>36</v>
      </c>
    </row>
    <row r="2255" spans="1:13" x14ac:dyDescent="0.3">
      <c r="A2255">
        <v>1519463</v>
      </c>
      <c r="B2255">
        <v>266</v>
      </c>
      <c r="C2255" s="1" t="s">
        <v>98</v>
      </c>
      <c r="D2255" s="7">
        <v>44936</v>
      </c>
      <c r="E2255" s="11">
        <v>0.4777777777777778</v>
      </c>
      <c r="F2255" s="15">
        <f t="shared" si="105"/>
        <v>1</v>
      </c>
      <c r="G2255" s="10" t="str">
        <f t="shared" si="106"/>
        <v>Tuesday</v>
      </c>
      <c r="H2255" s="9" t="str">
        <f t="shared" si="107"/>
        <v>January</v>
      </c>
      <c r="I2255" t="s">
        <v>190</v>
      </c>
      <c r="J2255" t="s">
        <v>42</v>
      </c>
      <c r="K2255">
        <v>5361</v>
      </c>
      <c r="L2255" s="5" t="str">
        <f>IF(OR(K2255&lt;Answers!$C$16,Orders!K2255&gt;Answers!$C$17),"Yes","No")</f>
        <v>No</v>
      </c>
      <c r="M2255" s="14">
        <f>VLOOKUP(B2255,Customers!$A$1:$E$2501,4,0)</f>
        <v>37</v>
      </c>
    </row>
    <row r="2256" spans="1:13" x14ac:dyDescent="0.3">
      <c r="A2256">
        <v>1520253</v>
      </c>
      <c r="B2256">
        <v>1775</v>
      </c>
      <c r="C2256" s="1" t="s">
        <v>98</v>
      </c>
      <c r="D2256" s="7">
        <v>45192</v>
      </c>
      <c r="E2256" s="11">
        <v>0.49444444444444446</v>
      </c>
      <c r="F2256" s="15">
        <f t="shared" si="105"/>
        <v>9</v>
      </c>
      <c r="G2256" s="10" t="str">
        <f t="shared" si="106"/>
        <v>Saturday</v>
      </c>
      <c r="H2256" s="9" t="str">
        <f t="shared" si="107"/>
        <v>September</v>
      </c>
      <c r="I2256" t="s">
        <v>97</v>
      </c>
      <c r="J2256" t="s">
        <v>31</v>
      </c>
      <c r="K2256">
        <v>429</v>
      </c>
      <c r="L2256" s="5" t="str">
        <f>IF(OR(K2256&lt;Answers!$C$16,Orders!K2256&gt;Answers!$C$17),"Yes","No")</f>
        <v>No</v>
      </c>
      <c r="M2256" s="14">
        <f>VLOOKUP(B2256,Customers!$A$1:$E$2501,4,0)</f>
        <v>42</v>
      </c>
    </row>
    <row r="2257" spans="1:13" x14ac:dyDescent="0.3">
      <c r="A2257">
        <v>1521124</v>
      </c>
      <c r="B2257">
        <v>1828</v>
      </c>
      <c r="C2257" s="1" t="s">
        <v>101</v>
      </c>
      <c r="D2257" s="7">
        <v>45013</v>
      </c>
      <c r="E2257" s="11">
        <v>7.8472222222222221E-2</v>
      </c>
      <c r="F2257" s="15">
        <f t="shared" si="105"/>
        <v>3</v>
      </c>
      <c r="G2257" s="10" t="str">
        <f t="shared" si="106"/>
        <v>Tuesday</v>
      </c>
      <c r="H2257" s="9" t="str">
        <f t="shared" si="107"/>
        <v>March</v>
      </c>
      <c r="I2257" t="s">
        <v>190</v>
      </c>
      <c r="J2257" t="s">
        <v>29</v>
      </c>
      <c r="K2257">
        <v>8408</v>
      </c>
      <c r="L2257" s="5" t="str">
        <f>IF(OR(K2257&lt;Answers!$C$16,Orders!K2257&gt;Answers!$C$17),"Yes","No")</f>
        <v>No</v>
      </c>
      <c r="M2257" s="14">
        <f>VLOOKUP(B2257,Customers!$A$1:$E$2501,4,0)</f>
        <v>51</v>
      </c>
    </row>
    <row r="2258" spans="1:13" x14ac:dyDescent="0.3">
      <c r="A2258">
        <v>1521957</v>
      </c>
      <c r="B2258">
        <v>347</v>
      </c>
      <c r="C2258" s="1" t="s">
        <v>107</v>
      </c>
      <c r="D2258" s="7">
        <v>45236</v>
      </c>
      <c r="E2258" s="11">
        <v>0.47083333333333333</v>
      </c>
      <c r="F2258" s="15">
        <f t="shared" si="105"/>
        <v>11</v>
      </c>
      <c r="G2258" s="10" t="str">
        <f t="shared" si="106"/>
        <v>Monday</v>
      </c>
      <c r="H2258" s="9" t="str">
        <f t="shared" si="107"/>
        <v>November</v>
      </c>
      <c r="I2258" t="s">
        <v>95</v>
      </c>
      <c r="J2258" t="s">
        <v>73</v>
      </c>
      <c r="K2258">
        <v>2198</v>
      </c>
      <c r="L2258" s="5" t="str">
        <f>IF(OR(K2258&lt;Answers!$C$16,Orders!K2258&gt;Answers!$C$17),"Yes","No")</f>
        <v>No</v>
      </c>
      <c r="M2258" s="14">
        <f>VLOOKUP(B2258,Customers!$A$1:$E$2501,4,0)</f>
        <v>59</v>
      </c>
    </row>
    <row r="2259" spans="1:13" x14ac:dyDescent="0.3">
      <c r="A2259">
        <v>1522932</v>
      </c>
      <c r="B2259">
        <v>1737</v>
      </c>
      <c r="C2259" s="1" t="s">
        <v>105</v>
      </c>
      <c r="D2259" s="7">
        <v>45238</v>
      </c>
      <c r="E2259" s="11">
        <v>0.53055555555555556</v>
      </c>
      <c r="F2259" s="15">
        <f t="shared" si="105"/>
        <v>11</v>
      </c>
      <c r="G2259" s="10" t="str">
        <f t="shared" si="106"/>
        <v>Wednesday</v>
      </c>
      <c r="H2259" s="9" t="str">
        <f t="shared" si="107"/>
        <v>November</v>
      </c>
      <c r="I2259" t="s">
        <v>96</v>
      </c>
      <c r="J2259" t="s">
        <v>84</v>
      </c>
      <c r="K2259">
        <v>2633</v>
      </c>
      <c r="L2259" s="5" t="str">
        <f>IF(OR(K2259&lt;Answers!$C$16,Orders!K2259&gt;Answers!$C$17),"Yes","No")</f>
        <v>No</v>
      </c>
      <c r="M2259" s="14">
        <f>VLOOKUP(B2259,Customers!$A$1:$E$2501,4,0)</f>
        <v>60</v>
      </c>
    </row>
    <row r="2260" spans="1:13" x14ac:dyDescent="0.3">
      <c r="A2260">
        <v>1524093</v>
      </c>
      <c r="B2260">
        <v>104</v>
      </c>
      <c r="C2260" s="1" t="s">
        <v>100</v>
      </c>
      <c r="D2260" s="7">
        <v>45216</v>
      </c>
      <c r="E2260" s="11">
        <v>0.47222222222222221</v>
      </c>
      <c r="F2260" s="15">
        <f t="shared" si="105"/>
        <v>10</v>
      </c>
      <c r="G2260" s="10" t="str">
        <f t="shared" si="106"/>
        <v>Tuesday</v>
      </c>
      <c r="H2260" s="9" t="str">
        <f t="shared" si="107"/>
        <v>October</v>
      </c>
      <c r="I2260" t="s">
        <v>97</v>
      </c>
      <c r="J2260" t="s">
        <v>50</v>
      </c>
      <c r="K2260">
        <v>6754</v>
      </c>
      <c r="L2260" s="5" t="str">
        <f>IF(OR(K2260&lt;Answers!$C$16,Orders!K2260&gt;Answers!$C$17),"Yes","No")</f>
        <v>No</v>
      </c>
      <c r="M2260" s="14">
        <f>VLOOKUP(B2260,Customers!$A$1:$E$2501,4,0)</f>
        <v>46</v>
      </c>
    </row>
    <row r="2261" spans="1:13" x14ac:dyDescent="0.3">
      <c r="A2261">
        <v>1524999</v>
      </c>
      <c r="B2261">
        <v>333</v>
      </c>
      <c r="C2261" s="1" t="s">
        <v>108</v>
      </c>
      <c r="D2261" s="7">
        <v>44943</v>
      </c>
      <c r="E2261" s="11">
        <v>0.47569444444444442</v>
      </c>
      <c r="F2261" s="15">
        <f t="shared" si="105"/>
        <v>1</v>
      </c>
      <c r="G2261" s="10" t="str">
        <f t="shared" si="106"/>
        <v>Tuesday</v>
      </c>
      <c r="H2261" s="9" t="str">
        <f t="shared" si="107"/>
        <v>January</v>
      </c>
      <c r="I2261" t="s">
        <v>95</v>
      </c>
      <c r="J2261" t="s">
        <v>67</v>
      </c>
      <c r="K2261">
        <v>1766</v>
      </c>
      <c r="L2261" s="5" t="str">
        <f>IF(OR(K2261&lt;Answers!$C$16,Orders!K2261&gt;Answers!$C$17),"Yes","No")</f>
        <v>No</v>
      </c>
      <c r="M2261" s="14">
        <f>VLOOKUP(B2261,Customers!$A$1:$E$2501,4,0)</f>
        <v>43</v>
      </c>
    </row>
    <row r="2262" spans="1:13" x14ac:dyDescent="0.3">
      <c r="A2262">
        <v>1525718</v>
      </c>
      <c r="B2262">
        <v>255</v>
      </c>
      <c r="C2262" s="1" t="s">
        <v>106</v>
      </c>
      <c r="D2262" s="7">
        <v>45161</v>
      </c>
      <c r="E2262" s="11">
        <v>5.6944444444444443E-2</v>
      </c>
      <c r="F2262" s="15">
        <f t="shared" si="105"/>
        <v>8</v>
      </c>
      <c r="G2262" s="10" t="str">
        <f t="shared" si="106"/>
        <v>Wednesday</v>
      </c>
      <c r="H2262" s="9" t="str">
        <f t="shared" si="107"/>
        <v>August</v>
      </c>
      <c r="I2262" t="s">
        <v>190</v>
      </c>
      <c r="J2262" t="s">
        <v>78</v>
      </c>
      <c r="K2262">
        <v>1434</v>
      </c>
      <c r="L2262" s="5" t="str">
        <f>IF(OR(K2262&lt;Answers!$C$16,Orders!K2262&gt;Answers!$C$17),"Yes","No")</f>
        <v>No</v>
      </c>
      <c r="M2262" s="14">
        <f>VLOOKUP(B2262,Customers!$A$1:$E$2501,4,0)</f>
        <v>62</v>
      </c>
    </row>
    <row r="2263" spans="1:13" x14ac:dyDescent="0.3">
      <c r="A2263">
        <v>1526107</v>
      </c>
      <c r="B2263">
        <v>1781</v>
      </c>
      <c r="C2263" s="1" t="s">
        <v>107</v>
      </c>
      <c r="D2263" s="7">
        <v>45051</v>
      </c>
      <c r="E2263" s="11">
        <v>0.44166666666666665</v>
      </c>
      <c r="F2263" s="15">
        <f t="shared" si="105"/>
        <v>5</v>
      </c>
      <c r="G2263" s="10" t="str">
        <f t="shared" si="106"/>
        <v>Friday</v>
      </c>
      <c r="H2263" s="9" t="str">
        <f t="shared" si="107"/>
        <v>May</v>
      </c>
      <c r="I2263" t="s">
        <v>97</v>
      </c>
      <c r="J2263" t="s">
        <v>75</v>
      </c>
      <c r="K2263">
        <v>399</v>
      </c>
      <c r="L2263" s="5" t="str">
        <f>IF(OR(K2263&lt;Answers!$C$16,Orders!K2263&gt;Answers!$C$17),"Yes","No")</f>
        <v>No</v>
      </c>
      <c r="M2263" s="14">
        <f>VLOOKUP(B2263,Customers!$A$1:$E$2501,4,0)</f>
        <v>29</v>
      </c>
    </row>
    <row r="2264" spans="1:13" x14ac:dyDescent="0.3">
      <c r="A2264">
        <v>1526749</v>
      </c>
      <c r="B2264">
        <v>1926</v>
      </c>
      <c r="C2264" s="1" t="s">
        <v>104</v>
      </c>
      <c r="D2264" s="7">
        <v>45151</v>
      </c>
      <c r="E2264" s="11">
        <v>0.52777777777777779</v>
      </c>
      <c r="F2264" s="15">
        <f t="shared" si="105"/>
        <v>8</v>
      </c>
      <c r="G2264" s="10" t="str">
        <f t="shared" si="106"/>
        <v>Sunday</v>
      </c>
      <c r="H2264" s="9" t="str">
        <f t="shared" si="107"/>
        <v>August</v>
      </c>
      <c r="I2264" t="s">
        <v>96</v>
      </c>
      <c r="J2264" t="s">
        <v>76</v>
      </c>
      <c r="K2264">
        <v>7714</v>
      </c>
      <c r="L2264" s="5" t="str">
        <f>IF(OR(K2264&lt;Answers!$C$16,Orders!K2264&gt;Answers!$C$17),"Yes","No")</f>
        <v>No</v>
      </c>
      <c r="M2264" s="14">
        <f>VLOOKUP(B2264,Customers!$A$1:$E$2501,4,0)</f>
        <v>24</v>
      </c>
    </row>
    <row r="2265" spans="1:13" x14ac:dyDescent="0.3">
      <c r="A2265">
        <v>1527612</v>
      </c>
      <c r="B2265">
        <v>1654</v>
      </c>
      <c r="C2265" s="1" t="s">
        <v>98</v>
      </c>
      <c r="D2265" s="7">
        <v>45216</v>
      </c>
      <c r="E2265" s="11">
        <v>0.44097222222222221</v>
      </c>
      <c r="F2265" s="15">
        <f t="shared" si="105"/>
        <v>10</v>
      </c>
      <c r="G2265" s="10" t="str">
        <f t="shared" si="106"/>
        <v>Tuesday</v>
      </c>
      <c r="H2265" s="9" t="str">
        <f t="shared" si="107"/>
        <v>October</v>
      </c>
      <c r="I2265" t="s">
        <v>95</v>
      </c>
      <c r="J2265" t="s">
        <v>21</v>
      </c>
      <c r="K2265">
        <v>1813</v>
      </c>
      <c r="L2265" s="5" t="str">
        <f>IF(OR(K2265&lt;Answers!$C$16,Orders!K2265&gt;Answers!$C$17),"Yes","No")</f>
        <v>No</v>
      </c>
      <c r="M2265" s="14">
        <f>VLOOKUP(B2265,Customers!$A$1:$E$2501,4,0)</f>
        <v>56</v>
      </c>
    </row>
    <row r="2266" spans="1:13" x14ac:dyDescent="0.3">
      <c r="A2266">
        <v>1528079</v>
      </c>
      <c r="B2266">
        <v>150</v>
      </c>
      <c r="C2266" s="1" t="s">
        <v>98</v>
      </c>
      <c r="D2266" s="7">
        <v>45273</v>
      </c>
      <c r="E2266" s="11">
        <v>36658</v>
      </c>
      <c r="F2266" s="15">
        <f t="shared" si="105"/>
        <v>12</v>
      </c>
      <c r="G2266" s="10" t="str">
        <f t="shared" si="106"/>
        <v>Wednesday</v>
      </c>
      <c r="H2266" s="9" t="str">
        <f t="shared" si="107"/>
        <v>December</v>
      </c>
      <c r="I2266" t="s">
        <v>95</v>
      </c>
      <c r="J2266" t="s">
        <v>42</v>
      </c>
      <c r="K2266">
        <v>8608</v>
      </c>
      <c r="L2266" s="5" t="str">
        <f>IF(OR(K2266&lt;Answers!$C$16,Orders!K2266&gt;Answers!$C$17),"Yes","No")</f>
        <v>No</v>
      </c>
      <c r="M2266" s="14">
        <f>VLOOKUP(B2266,Customers!$A$1:$E$2501,4,0)</f>
        <v>31</v>
      </c>
    </row>
    <row r="2267" spans="1:13" x14ac:dyDescent="0.3">
      <c r="A2267">
        <v>1528540</v>
      </c>
      <c r="B2267">
        <v>913</v>
      </c>
      <c r="C2267" s="1" t="s">
        <v>98</v>
      </c>
      <c r="D2267" s="7">
        <v>44960</v>
      </c>
      <c r="E2267" s="11">
        <v>7.9166666666666663E-2</v>
      </c>
      <c r="F2267" s="15">
        <f t="shared" si="105"/>
        <v>2</v>
      </c>
      <c r="G2267" s="10" t="str">
        <f t="shared" si="106"/>
        <v>Friday</v>
      </c>
      <c r="H2267" s="9" t="str">
        <f t="shared" si="107"/>
        <v>February</v>
      </c>
      <c r="I2267" t="s">
        <v>190</v>
      </c>
      <c r="J2267" t="s">
        <v>3</v>
      </c>
      <c r="K2267">
        <v>9004</v>
      </c>
      <c r="L2267" s="5" t="str">
        <f>IF(OR(K2267&lt;Answers!$C$16,Orders!K2267&gt;Answers!$C$17),"Yes","No")</f>
        <v>No</v>
      </c>
      <c r="M2267" s="14">
        <f>VLOOKUP(B2267,Customers!$A$1:$E$2501,4,0)</f>
        <v>28</v>
      </c>
    </row>
    <row r="2268" spans="1:13" x14ac:dyDescent="0.3">
      <c r="A2268">
        <v>1529840</v>
      </c>
      <c r="B2268">
        <v>1794</v>
      </c>
      <c r="C2268" s="1" t="s">
        <v>100</v>
      </c>
      <c r="D2268" s="7">
        <v>44988</v>
      </c>
      <c r="E2268" s="11">
        <v>0.5229166666666667</v>
      </c>
      <c r="F2268" s="15">
        <f t="shared" si="105"/>
        <v>3</v>
      </c>
      <c r="G2268" s="10" t="str">
        <f t="shared" si="106"/>
        <v>Friday</v>
      </c>
      <c r="H2268" s="9" t="str">
        <f t="shared" si="107"/>
        <v>March</v>
      </c>
      <c r="I2268" t="s">
        <v>190</v>
      </c>
      <c r="J2268" t="s">
        <v>80</v>
      </c>
      <c r="K2268">
        <v>1054</v>
      </c>
      <c r="L2268" s="5" t="str">
        <f>IF(OR(K2268&lt;Answers!$C$16,Orders!K2268&gt;Answers!$C$17),"Yes","No")</f>
        <v>No</v>
      </c>
      <c r="M2268" s="14">
        <f>VLOOKUP(B2268,Customers!$A$1:$E$2501,4,0)</f>
        <v>41</v>
      </c>
    </row>
    <row r="2269" spans="1:13" x14ac:dyDescent="0.3">
      <c r="A2269">
        <v>1530454</v>
      </c>
      <c r="B2269">
        <v>499</v>
      </c>
      <c r="C2269" s="1" t="s">
        <v>100</v>
      </c>
      <c r="D2269" s="7">
        <v>45043</v>
      </c>
      <c r="E2269" s="11">
        <v>36536</v>
      </c>
      <c r="F2269" s="15">
        <f t="shared" si="105"/>
        <v>4</v>
      </c>
      <c r="G2269" s="10" t="str">
        <f t="shared" si="106"/>
        <v>Thursday</v>
      </c>
      <c r="H2269" s="9" t="str">
        <f t="shared" si="107"/>
        <v>April</v>
      </c>
      <c r="I2269" t="s">
        <v>97</v>
      </c>
      <c r="J2269" t="s">
        <v>81</v>
      </c>
      <c r="K2269">
        <v>7456</v>
      </c>
      <c r="L2269" s="5" t="str">
        <f>IF(OR(K2269&lt;Answers!$C$16,Orders!K2269&gt;Answers!$C$17),"Yes","No")</f>
        <v>No</v>
      </c>
      <c r="M2269" s="14">
        <f>VLOOKUP(B2269,Customers!$A$1:$E$2501,4,0)</f>
        <v>89</v>
      </c>
    </row>
    <row r="2270" spans="1:13" x14ac:dyDescent="0.3">
      <c r="A2270">
        <v>1532546</v>
      </c>
      <c r="B2270">
        <v>1032</v>
      </c>
      <c r="C2270" s="1" t="s">
        <v>99</v>
      </c>
      <c r="D2270" s="7">
        <v>45245</v>
      </c>
      <c r="E2270" s="11">
        <v>0.52430555555555558</v>
      </c>
      <c r="F2270" s="15">
        <f t="shared" si="105"/>
        <v>11</v>
      </c>
      <c r="G2270" s="10" t="str">
        <f t="shared" si="106"/>
        <v>Wednesday</v>
      </c>
      <c r="H2270" s="9" t="str">
        <f t="shared" si="107"/>
        <v>November</v>
      </c>
      <c r="I2270" t="s">
        <v>96</v>
      </c>
      <c r="J2270" t="s">
        <v>20</v>
      </c>
      <c r="K2270">
        <v>5274</v>
      </c>
      <c r="L2270" s="5" t="str">
        <f>IF(OR(K2270&lt;Answers!$C$16,Orders!K2270&gt;Answers!$C$17),"Yes","No")</f>
        <v>No</v>
      </c>
      <c r="M2270" s="14">
        <f>VLOOKUP(B2270,Customers!$A$1:$E$2501,4,0)</f>
        <v>21</v>
      </c>
    </row>
    <row r="2271" spans="1:13" x14ac:dyDescent="0.3">
      <c r="A2271">
        <v>1532610</v>
      </c>
      <c r="B2271">
        <v>1871</v>
      </c>
      <c r="C2271" s="1" t="s">
        <v>106</v>
      </c>
      <c r="D2271" s="7">
        <v>45159</v>
      </c>
      <c r="E2271" s="11">
        <v>36597</v>
      </c>
      <c r="F2271" s="15">
        <f t="shared" si="105"/>
        <v>8</v>
      </c>
      <c r="G2271" s="10" t="str">
        <f t="shared" si="106"/>
        <v>Monday</v>
      </c>
      <c r="H2271" s="9" t="str">
        <f t="shared" si="107"/>
        <v>August</v>
      </c>
      <c r="I2271" t="s">
        <v>190</v>
      </c>
      <c r="J2271" t="s">
        <v>65</v>
      </c>
      <c r="K2271">
        <v>8644</v>
      </c>
      <c r="L2271" s="5" t="str">
        <f>IF(OR(K2271&lt;Answers!$C$16,Orders!K2271&gt;Answers!$C$17),"Yes","No")</f>
        <v>No</v>
      </c>
      <c r="M2271" s="14">
        <f>VLOOKUP(B2271,Customers!$A$1:$E$2501,4,0)</f>
        <v>49</v>
      </c>
    </row>
    <row r="2272" spans="1:13" x14ac:dyDescent="0.3">
      <c r="A2272">
        <v>1534392</v>
      </c>
      <c r="B2272">
        <v>112</v>
      </c>
      <c r="C2272" s="1" t="s">
        <v>98</v>
      </c>
      <c r="D2272" s="7">
        <v>44952</v>
      </c>
      <c r="E2272" s="11">
        <v>36567</v>
      </c>
      <c r="F2272" s="15">
        <f t="shared" si="105"/>
        <v>1</v>
      </c>
      <c r="G2272" s="10" t="str">
        <f t="shared" si="106"/>
        <v>Thursday</v>
      </c>
      <c r="H2272" s="9" t="str">
        <f t="shared" si="107"/>
        <v>January</v>
      </c>
      <c r="I2272" t="s">
        <v>97</v>
      </c>
      <c r="J2272" t="s">
        <v>26</v>
      </c>
      <c r="K2272">
        <v>2347</v>
      </c>
      <c r="L2272" s="5" t="str">
        <f>IF(OR(K2272&lt;Answers!$C$16,Orders!K2272&gt;Answers!$C$17),"Yes","No")</f>
        <v>No</v>
      </c>
      <c r="M2272" s="14">
        <f>VLOOKUP(B2272,Customers!$A$1:$E$2501,4,0)</f>
        <v>70</v>
      </c>
    </row>
    <row r="2273" spans="1:13" x14ac:dyDescent="0.3">
      <c r="A2273">
        <v>1535140</v>
      </c>
      <c r="B2273">
        <v>548</v>
      </c>
      <c r="C2273" s="1" t="s">
        <v>98</v>
      </c>
      <c r="D2273" s="7">
        <v>45071</v>
      </c>
      <c r="E2273" s="11">
        <v>0.54027777777777775</v>
      </c>
      <c r="F2273" s="15">
        <f t="shared" si="105"/>
        <v>5</v>
      </c>
      <c r="G2273" s="10" t="str">
        <f t="shared" si="106"/>
        <v>Thursday</v>
      </c>
      <c r="H2273" s="9" t="str">
        <f t="shared" si="107"/>
        <v>May</v>
      </c>
      <c r="I2273" t="s">
        <v>95</v>
      </c>
      <c r="J2273" t="s">
        <v>4</v>
      </c>
      <c r="K2273">
        <v>5570</v>
      </c>
      <c r="L2273" s="5" t="str">
        <f>IF(OR(K2273&lt;Answers!$C$16,Orders!K2273&gt;Answers!$C$17),"Yes","No")</f>
        <v>No</v>
      </c>
      <c r="M2273" s="14">
        <f>VLOOKUP(B2273,Customers!$A$1:$E$2501,4,0)</f>
        <v>48</v>
      </c>
    </row>
    <row r="2274" spans="1:13" x14ac:dyDescent="0.3">
      <c r="A2274">
        <v>1536418</v>
      </c>
      <c r="B2274">
        <v>760</v>
      </c>
      <c r="C2274" s="1" t="s">
        <v>112</v>
      </c>
      <c r="D2274" s="7">
        <v>45083</v>
      </c>
      <c r="E2274" s="11">
        <v>0.44444444444444442</v>
      </c>
      <c r="F2274" s="15">
        <f t="shared" si="105"/>
        <v>6</v>
      </c>
      <c r="G2274" s="10" t="str">
        <f t="shared" si="106"/>
        <v>Tuesday</v>
      </c>
      <c r="H2274" s="9" t="str">
        <f t="shared" si="107"/>
        <v>June</v>
      </c>
      <c r="I2274" t="s">
        <v>97</v>
      </c>
      <c r="J2274" t="s">
        <v>42</v>
      </c>
      <c r="K2274">
        <v>5883</v>
      </c>
      <c r="L2274" s="5" t="str">
        <f>IF(OR(K2274&lt;Answers!$C$16,Orders!K2274&gt;Answers!$C$17),"Yes","No")</f>
        <v>No</v>
      </c>
      <c r="M2274" s="14">
        <f>VLOOKUP(B2274,Customers!$A$1:$E$2501,4,0)</f>
        <v>22</v>
      </c>
    </row>
    <row r="2275" spans="1:13" x14ac:dyDescent="0.3">
      <c r="A2275">
        <v>1536698</v>
      </c>
      <c r="B2275">
        <v>127</v>
      </c>
      <c r="C2275" s="1" t="s">
        <v>107</v>
      </c>
      <c r="D2275" s="7">
        <v>45240</v>
      </c>
      <c r="E2275" s="11">
        <v>36709</v>
      </c>
      <c r="F2275" s="15">
        <f t="shared" si="105"/>
        <v>11</v>
      </c>
      <c r="G2275" s="10" t="str">
        <f t="shared" si="106"/>
        <v>Friday</v>
      </c>
      <c r="H2275" s="9" t="str">
        <f t="shared" si="107"/>
        <v>November</v>
      </c>
      <c r="I2275" t="s">
        <v>190</v>
      </c>
      <c r="J2275" t="s">
        <v>26</v>
      </c>
      <c r="K2275">
        <v>2350</v>
      </c>
      <c r="L2275" s="5" t="str">
        <f>IF(OR(K2275&lt;Answers!$C$16,Orders!K2275&gt;Answers!$C$17),"Yes","No")</f>
        <v>No</v>
      </c>
      <c r="M2275" s="14">
        <f>VLOOKUP(B2275,Customers!$A$1:$E$2501,4,0)</f>
        <v>57</v>
      </c>
    </row>
    <row r="2276" spans="1:13" x14ac:dyDescent="0.3">
      <c r="A2276">
        <v>1536890</v>
      </c>
      <c r="B2276">
        <v>1364</v>
      </c>
      <c r="C2276" s="1" t="s">
        <v>99</v>
      </c>
      <c r="D2276" s="7">
        <v>45154</v>
      </c>
      <c r="E2276" s="11">
        <v>5.6944444444444443E-2</v>
      </c>
      <c r="F2276" s="15">
        <f t="shared" si="105"/>
        <v>8</v>
      </c>
      <c r="G2276" s="10" t="str">
        <f t="shared" si="106"/>
        <v>Wednesday</v>
      </c>
      <c r="H2276" s="9" t="str">
        <f t="shared" si="107"/>
        <v>August</v>
      </c>
      <c r="I2276" t="s">
        <v>96</v>
      </c>
      <c r="J2276" t="s">
        <v>26</v>
      </c>
      <c r="K2276">
        <v>7711</v>
      </c>
      <c r="L2276" s="5" t="str">
        <f>IF(OR(K2276&lt;Answers!$C$16,Orders!K2276&gt;Answers!$C$17),"Yes","No")</f>
        <v>No</v>
      </c>
      <c r="M2276" s="14">
        <f>VLOOKUP(B2276,Customers!$A$1:$E$2501,4,0)</f>
        <v>82</v>
      </c>
    </row>
    <row r="2277" spans="1:13" x14ac:dyDescent="0.3">
      <c r="A2277">
        <v>1536982</v>
      </c>
      <c r="B2277">
        <v>742</v>
      </c>
      <c r="C2277" s="1" t="s">
        <v>98</v>
      </c>
      <c r="D2277" s="7">
        <v>45018</v>
      </c>
      <c r="E2277" s="11">
        <v>36872</v>
      </c>
      <c r="F2277" s="15">
        <f t="shared" si="105"/>
        <v>4</v>
      </c>
      <c r="G2277" s="10" t="str">
        <f t="shared" si="106"/>
        <v>Sunday</v>
      </c>
      <c r="H2277" s="9" t="str">
        <f t="shared" si="107"/>
        <v>April</v>
      </c>
      <c r="I2277" t="s">
        <v>95</v>
      </c>
      <c r="J2277" t="s">
        <v>16</v>
      </c>
      <c r="K2277">
        <v>5486</v>
      </c>
      <c r="L2277" s="5" t="str">
        <f>IF(OR(K2277&lt;Answers!$C$16,Orders!K2277&gt;Answers!$C$17),"Yes","No")</f>
        <v>No</v>
      </c>
      <c r="M2277" s="14">
        <f>VLOOKUP(B2277,Customers!$A$1:$E$2501,4,0)</f>
        <v>63</v>
      </c>
    </row>
    <row r="2278" spans="1:13" x14ac:dyDescent="0.3">
      <c r="A2278">
        <v>1538322</v>
      </c>
      <c r="B2278">
        <v>1752</v>
      </c>
      <c r="C2278" s="1" t="s">
        <v>100</v>
      </c>
      <c r="D2278" s="7">
        <v>45219</v>
      </c>
      <c r="E2278" s="11">
        <v>0.48888888888888887</v>
      </c>
      <c r="F2278" s="15">
        <f t="shared" si="105"/>
        <v>10</v>
      </c>
      <c r="G2278" s="10" t="str">
        <f t="shared" si="106"/>
        <v>Friday</v>
      </c>
      <c r="H2278" s="9" t="str">
        <f t="shared" si="107"/>
        <v>October</v>
      </c>
      <c r="I2278" t="s">
        <v>97</v>
      </c>
      <c r="J2278" t="s">
        <v>20</v>
      </c>
      <c r="K2278">
        <v>6645</v>
      </c>
      <c r="L2278" s="5" t="str">
        <f>IF(OR(K2278&lt;Answers!$C$16,Orders!K2278&gt;Answers!$C$17),"Yes","No")</f>
        <v>No</v>
      </c>
      <c r="M2278" s="14">
        <f>VLOOKUP(B2278,Customers!$A$1:$E$2501,4,0)</f>
        <v>50</v>
      </c>
    </row>
    <row r="2279" spans="1:13" x14ac:dyDescent="0.3">
      <c r="A2279">
        <v>1538360</v>
      </c>
      <c r="B2279">
        <v>1824</v>
      </c>
      <c r="C2279" s="1" t="s">
        <v>98</v>
      </c>
      <c r="D2279" s="7">
        <v>44960</v>
      </c>
      <c r="E2279" s="11">
        <v>36536</v>
      </c>
      <c r="F2279" s="15">
        <f t="shared" si="105"/>
        <v>2</v>
      </c>
      <c r="G2279" s="10" t="str">
        <f t="shared" si="106"/>
        <v>Friday</v>
      </c>
      <c r="H2279" s="9" t="str">
        <f t="shared" si="107"/>
        <v>February</v>
      </c>
      <c r="I2279" t="s">
        <v>190</v>
      </c>
      <c r="J2279" t="s">
        <v>42</v>
      </c>
      <c r="K2279">
        <v>4448</v>
      </c>
      <c r="L2279" s="5" t="str">
        <f>IF(OR(K2279&lt;Answers!$C$16,Orders!K2279&gt;Answers!$C$17),"Yes","No")</f>
        <v>No</v>
      </c>
      <c r="M2279" s="14">
        <f>VLOOKUP(B2279,Customers!$A$1:$E$2501,4,0)</f>
        <v>35</v>
      </c>
    </row>
    <row r="2280" spans="1:13" x14ac:dyDescent="0.3">
      <c r="A2280">
        <v>1541893</v>
      </c>
      <c r="B2280">
        <v>1860</v>
      </c>
      <c r="C2280" s="1" t="s">
        <v>104</v>
      </c>
      <c r="D2280" s="7">
        <v>44956</v>
      </c>
      <c r="E2280" s="11">
        <v>0.4861111111111111</v>
      </c>
      <c r="F2280" s="15">
        <f t="shared" si="105"/>
        <v>1</v>
      </c>
      <c r="G2280" s="10" t="str">
        <f t="shared" si="106"/>
        <v>Monday</v>
      </c>
      <c r="H2280" s="9" t="str">
        <f t="shared" si="107"/>
        <v>January</v>
      </c>
      <c r="I2280" t="s">
        <v>97</v>
      </c>
      <c r="J2280" t="s">
        <v>28</v>
      </c>
      <c r="K2280">
        <v>1027</v>
      </c>
      <c r="L2280" s="5" t="str">
        <f>IF(OR(K2280&lt;Answers!$C$16,Orders!K2280&gt;Answers!$C$17),"Yes","No")</f>
        <v>No</v>
      </c>
      <c r="M2280" s="14">
        <f>VLOOKUP(B2280,Customers!$A$1:$E$2501,4,0)</f>
        <v>61</v>
      </c>
    </row>
    <row r="2281" spans="1:13" x14ac:dyDescent="0.3">
      <c r="A2281">
        <v>1542275</v>
      </c>
      <c r="B2281">
        <v>1647</v>
      </c>
      <c r="C2281" s="1" t="s">
        <v>98</v>
      </c>
      <c r="D2281" s="7">
        <v>45165</v>
      </c>
      <c r="E2281" s="11">
        <v>7.1527777777777773E-2</v>
      </c>
      <c r="F2281" s="15">
        <f t="shared" si="105"/>
        <v>8</v>
      </c>
      <c r="G2281" s="10" t="str">
        <f t="shared" si="106"/>
        <v>Sunday</v>
      </c>
      <c r="H2281" s="9" t="str">
        <f t="shared" si="107"/>
        <v>August</v>
      </c>
      <c r="I2281" t="s">
        <v>190</v>
      </c>
      <c r="J2281" t="s">
        <v>8</v>
      </c>
      <c r="K2281">
        <v>8992</v>
      </c>
      <c r="L2281" s="5" t="str">
        <f>IF(OR(K2281&lt;Answers!$C$16,Orders!K2281&gt;Answers!$C$17),"Yes","No")</f>
        <v>No</v>
      </c>
      <c r="M2281" s="14">
        <f>VLOOKUP(B2281,Customers!$A$1:$E$2501,4,0)</f>
        <v>22</v>
      </c>
    </row>
    <row r="2282" spans="1:13" x14ac:dyDescent="0.3">
      <c r="A2282">
        <v>1542373</v>
      </c>
      <c r="B2282">
        <v>1267</v>
      </c>
      <c r="C2282" s="1" t="s">
        <v>106</v>
      </c>
      <c r="D2282" s="7">
        <v>45059</v>
      </c>
      <c r="E2282" s="11">
        <v>0.52777777777777779</v>
      </c>
      <c r="F2282" s="15">
        <f t="shared" si="105"/>
        <v>5</v>
      </c>
      <c r="G2282" s="10" t="str">
        <f t="shared" si="106"/>
        <v>Saturday</v>
      </c>
      <c r="H2282" s="9" t="str">
        <f t="shared" si="107"/>
        <v>May</v>
      </c>
      <c r="I2282" t="s">
        <v>190</v>
      </c>
      <c r="J2282" t="s">
        <v>29</v>
      </c>
      <c r="K2282">
        <v>3468</v>
      </c>
      <c r="L2282" s="5" t="str">
        <f>IF(OR(K2282&lt;Answers!$C$16,Orders!K2282&gt;Answers!$C$17),"Yes","No")</f>
        <v>No</v>
      </c>
      <c r="M2282" s="14">
        <f>VLOOKUP(B2282,Customers!$A$1:$E$2501,4,0)</f>
        <v>62</v>
      </c>
    </row>
    <row r="2283" spans="1:13" x14ac:dyDescent="0.3">
      <c r="A2283">
        <v>1543099</v>
      </c>
      <c r="B2283">
        <v>1489</v>
      </c>
      <c r="C2283" s="1" t="s">
        <v>104</v>
      </c>
      <c r="D2283" s="7">
        <v>44974</v>
      </c>
      <c r="E2283" s="11">
        <v>0.44722222222222224</v>
      </c>
      <c r="F2283" s="15">
        <f t="shared" si="105"/>
        <v>2</v>
      </c>
      <c r="G2283" s="10" t="str">
        <f t="shared" si="106"/>
        <v>Friday</v>
      </c>
      <c r="H2283" s="9" t="str">
        <f t="shared" si="107"/>
        <v>February</v>
      </c>
      <c r="I2283" t="s">
        <v>190</v>
      </c>
      <c r="J2283" t="s">
        <v>66</v>
      </c>
      <c r="K2283">
        <v>5530</v>
      </c>
      <c r="L2283" s="5" t="str">
        <f>IF(OR(K2283&lt;Answers!$C$16,Orders!K2283&gt;Answers!$C$17),"Yes","No")</f>
        <v>No</v>
      </c>
      <c r="M2283" s="14">
        <f>VLOOKUP(B2283,Customers!$A$1:$E$2501,4,0)</f>
        <v>46</v>
      </c>
    </row>
    <row r="2284" spans="1:13" x14ac:dyDescent="0.3">
      <c r="A2284">
        <v>1543135</v>
      </c>
      <c r="B2284">
        <v>647</v>
      </c>
      <c r="C2284" s="1" t="s">
        <v>100</v>
      </c>
      <c r="D2284" s="7">
        <v>45084</v>
      </c>
      <c r="E2284" s="11">
        <v>36617</v>
      </c>
      <c r="F2284" s="15">
        <f t="shared" si="105"/>
        <v>6</v>
      </c>
      <c r="G2284" s="10" t="str">
        <f t="shared" si="106"/>
        <v>Wednesday</v>
      </c>
      <c r="H2284" s="9" t="str">
        <f t="shared" si="107"/>
        <v>June</v>
      </c>
      <c r="I2284" t="s">
        <v>96</v>
      </c>
      <c r="J2284" t="s">
        <v>52</v>
      </c>
      <c r="K2284">
        <v>9026</v>
      </c>
      <c r="L2284" s="5" t="str">
        <f>IF(OR(K2284&lt;Answers!$C$16,Orders!K2284&gt;Answers!$C$17),"Yes","No")</f>
        <v>No</v>
      </c>
      <c r="M2284" s="14">
        <f>VLOOKUP(B2284,Customers!$A$1:$E$2501,4,0)</f>
        <v>76</v>
      </c>
    </row>
    <row r="2285" spans="1:13" x14ac:dyDescent="0.3">
      <c r="A2285">
        <v>1543232</v>
      </c>
      <c r="B2285">
        <v>871</v>
      </c>
      <c r="C2285" s="1" t="s">
        <v>106</v>
      </c>
      <c r="D2285" s="7">
        <v>45103</v>
      </c>
      <c r="E2285" s="11">
        <v>0.51736111111111116</v>
      </c>
      <c r="F2285" s="15">
        <f t="shared" si="105"/>
        <v>6</v>
      </c>
      <c r="G2285" s="10" t="str">
        <f t="shared" si="106"/>
        <v>Monday</v>
      </c>
      <c r="H2285" s="9" t="str">
        <f t="shared" si="107"/>
        <v>June</v>
      </c>
      <c r="I2285" t="s">
        <v>97</v>
      </c>
      <c r="J2285" t="s">
        <v>32</v>
      </c>
      <c r="K2285">
        <v>2237</v>
      </c>
      <c r="L2285" s="5" t="str">
        <f>IF(OR(K2285&lt;Answers!$C$16,Orders!K2285&gt;Answers!$C$17),"Yes","No")</f>
        <v>No</v>
      </c>
      <c r="M2285" s="14">
        <f>VLOOKUP(B2285,Customers!$A$1:$E$2501,4,0)</f>
        <v>76</v>
      </c>
    </row>
    <row r="2286" spans="1:13" x14ac:dyDescent="0.3">
      <c r="A2286">
        <v>1543526</v>
      </c>
      <c r="B2286">
        <v>1554</v>
      </c>
      <c r="C2286" s="1" t="s">
        <v>108</v>
      </c>
      <c r="D2286" s="7">
        <v>45101</v>
      </c>
      <c r="E2286" s="11">
        <v>36750</v>
      </c>
      <c r="F2286" s="15">
        <f t="shared" si="105"/>
        <v>6</v>
      </c>
      <c r="G2286" s="10" t="str">
        <f t="shared" si="106"/>
        <v>Saturday</v>
      </c>
      <c r="H2286" s="9" t="str">
        <f t="shared" si="107"/>
        <v>June</v>
      </c>
      <c r="I2286" t="s">
        <v>97</v>
      </c>
      <c r="J2286" t="s">
        <v>33</v>
      </c>
      <c r="K2286">
        <v>9175</v>
      </c>
      <c r="L2286" s="5" t="str">
        <f>IF(OR(K2286&lt;Answers!$C$16,Orders!K2286&gt;Answers!$C$17),"Yes","No")</f>
        <v>No</v>
      </c>
      <c r="M2286" s="14">
        <f>VLOOKUP(B2286,Customers!$A$1:$E$2501,4,0)</f>
        <v>52</v>
      </c>
    </row>
    <row r="2287" spans="1:13" x14ac:dyDescent="0.3">
      <c r="A2287">
        <v>1544633</v>
      </c>
      <c r="B2287">
        <v>714</v>
      </c>
      <c r="C2287" s="1" t="s">
        <v>98</v>
      </c>
      <c r="D2287" s="7">
        <v>45157</v>
      </c>
      <c r="E2287" s="11">
        <v>36770</v>
      </c>
      <c r="F2287" s="15">
        <f t="shared" si="105"/>
        <v>8</v>
      </c>
      <c r="G2287" s="10" t="str">
        <f t="shared" si="106"/>
        <v>Saturday</v>
      </c>
      <c r="H2287" s="9" t="str">
        <f t="shared" si="107"/>
        <v>August</v>
      </c>
      <c r="I2287" t="s">
        <v>95</v>
      </c>
      <c r="J2287" t="s">
        <v>34</v>
      </c>
      <c r="K2287">
        <v>347</v>
      </c>
      <c r="L2287" s="5" t="str">
        <f>IF(OR(K2287&lt;Answers!$C$16,Orders!K2287&gt;Answers!$C$17),"Yes","No")</f>
        <v>No</v>
      </c>
      <c r="M2287" s="14">
        <f>VLOOKUP(B2287,Customers!$A$1:$E$2501,4,0)</f>
        <v>25</v>
      </c>
    </row>
    <row r="2288" spans="1:13" x14ac:dyDescent="0.3">
      <c r="A2288">
        <v>1545246</v>
      </c>
      <c r="B2288">
        <v>1069</v>
      </c>
      <c r="C2288" s="1" t="s">
        <v>100</v>
      </c>
      <c r="D2288" s="7">
        <v>44984</v>
      </c>
      <c r="E2288" s="11">
        <v>5.0694444444444445E-2</v>
      </c>
      <c r="F2288" s="15">
        <f t="shared" si="105"/>
        <v>2</v>
      </c>
      <c r="G2288" s="10" t="str">
        <f t="shared" si="106"/>
        <v>Monday</v>
      </c>
      <c r="H2288" s="9" t="str">
        <f t="shared" si="107"/>
        <v>February</v>
      </c>
      <c r="I2288" t="s">
        <v>97</v>
      </c>
      <c r="J2288" t="s">
        <v>68</v>
      </c>
      <c r="K2288">
        <v>5132</v>
      </c>
      <c r="L2288" s="5" t="str">
        <f>IF(OR(K2288&lt;Answers!$C$16,Orders!K2288&gt;Answers!$C$17),"Yes","No")</f>
        <v>No</v>
      </c>
      <c r="M2288" s="14">
        <f>VLOOKUP(B2288,Customers!$A$1:$E$2501,4,0)</f>
        <v>80</v>
      </c>
    </row>
    <row r="2289" spans="1:13" x14ac:dyDescent="0.3">
      <c r="A2289">
        <v>1546512</v>
      </c>
      <c r="B2289">
        <v>33</v>
      </c>
      <c r="C2289" s="1" t="s">
        <v>104</v>
      </c>
      <c r="D2289" s="7">
        <v>45284</v>
      </c>
      <c r="E2289" s="11">
        <v>0.53888888888888886</v>
      </c>
      <c r="F2289" s="15">
        <f t="shared" si="105"/>
        <v>12</v>
      </c>
      <c r="G2289" s="10" t="str">
        <f t="shared" si="106"/>
        <v>Sunday</v>
      </c>
      <c r="H2289" s="9" t="str">
        <f t="shared" si="107"/>
        <v>December</v>
      </c>
      <c r="I2289" t="s">
        <v>95</v>
      </c>
      <c r="J2289" t="s">
        <v>42</v>
      </c>
      <c r="K2289">
        <v>9521</v>
      </c>
      <c r="L2289" s="5" t="str">
        <f>IF(OR(K2289&lt;Answers!$C$16,Orders!K2289&gt;Answers!$C$17),"Yes","No")</f>
        <v>No</v>
      </c>
      <c r="M2289" s="14">
        <f>VLOOKUP(B2289,Customers!$A$1:$E$2501,4,0)</f>
        <v>53</v>
      </c>
    </row>
    <row r="2290" spans="1:13" x14ac:dyDescent="0.3">
      <c r="A2290">
        <v>1546802</v>
      </c>
      <c r="B2290">
        <v>1394</v>
      </c>
      <c r="C2290" s="1" t="s">
        <v>98</v>
      </c>
      <c r="D2290" s="7">
        <v>45170</v>
      </c>
      <c r="E2290" s="11">
        <v>0.5180555555555556</v>
      </c>
      <c r="F2290" s="15">
        <f t="shared" si="105"/>
        <v>9</v>
      </c>
      <c r="G2290" s="10" t="str">
        <f t="shared" si="106"/>
        <v>Friday</v>
      </c>
      <c r="H2290" s="9" t="str">
        <f t="shared" si="107"/>
        <v>September</v>
      </c>
      <c r="I2290" t="s">
        <v>97</v>
      </c>
      <c r="J2290" t="s">
        <v>37</v>
      </c>
      <c r="K2290">
        <v>8149</v>
      </c>
      <c r="L2290" s="5" t="str">
        <f>IF(OR(K2290&lt;Answers!$C$16,Orders!K2290&gt;Answers!$C$17),"Yes","No")</f>
        <v>No</v>
      </c>
      <c r="M2290" s="14">
        <f>VLOOKUP(B2290,Customers!$A$1:$E$2501,4,0)</f>
        <v>58</v>
      </c>
    </row>
    <row r="2291" spans="1:13" x14ac:dyDescent="0.3">
      <c r="A2291">
        <v>1547057</v>
      </c>
      <c r="B2291">
        <v>18</v>
      </c>
      <c r="C2291" s="1" t="s">
        <v>98</v>
      </c>
      <c r="D2291" s="7">
        <v>45060</v>
      </c>
      <c r="E2291" s="11">
        <v>0.53055555555555556</v>
      </c>
      <c r="F2291" s="15">
        <f t="shared" si="105"/>
        <v>5</v>
      </c>
      <c r="G2291" s="10" t="str">
        <f t="shared" si="106"/>
        <v>Sunday</v>
      </c>
      <c r="H2291" s="9" t="str">
        <f t="shared" si="107"/>
        <v>May</v>
      </c>
      <c r="I2291" t="s">
        <v>95</v>
      </c>
      <c r="J2291" t="s">
        <v>38</v>
      </c>
      <c r="K2291">
        <v>9727</v>
      </c>
      <c r="L2291" s="5" t="str">
        <f>IF(OR(K2291&lt;Answers!$C$16,Orders!K2291&gt;Answers!$C$17),"Yes","No")</f>
        <v>No</v>
      </c>
      <c r="M2291" s="14">
        <f>VLOOKUP(B2291,Customers!$A$1:$E$2501,4,0)</f>
        <v>85</v>
      </c>
    </row>
    <row r="2292" spans="1:13" x14ac:dyDescent="0.3">
      <c r="A2292">
        <v>1548032</v>
      </c>
      <c r="B2292">
        <v>1733</v>
      </c>
      <c r="C2292" s="1" t="s">
        <v>106</v>
      </c>
      <c r="D2292" s="7">
        <v>45216</v>
      </c>
      <c r="E2292" s="11">
        <v>5.7638888888888892E-2</v>
      </c>
      <c r="F2292" s="15">
        <f t="shared" si="105"/>
        <v>10</v>
      </c>
      <c r="G2292" s="10" t="str">
        <f t="shared" si="106"/>
        <v>Tuesday</v>
      </c>
      <c r="H2292" s="9" t="str">
        <f t="shared" si="107"/>
        <v>October</v>
      </c>
      <c r="I2292" t="s">
        <v>190</v>
      </c>
      <c r="J2292" t="s">
        <v>23</v>
      </c>
      <c r="K2292">
        <v>3053</v>
      </c>
      <c r="L2292" s="5" t="str">
        <f>IF(OR(K2292&lt;Answers!$C$16,Orders!K2292&gt;Answers!$C$17),"Yes","No")</f>
        <v>No</v>
      </c>
      <c r="M2292" s="14">
        <f>VLOOKUP(B2292,Customers!$A$1:$E$2501,4,0)</f>
        <v>32</v>
      </c>
    </row>
    <row r="2293" spans="1:13" x14ac:dyDescent="0.3">
      <c r="A2293">
        <v>1548655</v>
      </c>
      <c r="B2293">
        <v>327</v>
      </c>
      <c r="C2293" s="1" t="s">
        <v>112</v>
      </c>
      <c r="D2293" s="7">
        <v>45159</v>
      </c>
      <c r="E2293" s="11">
        <v>0.53194444444444444</v>
      </c>
      <c r="F2293" s="15">
        <f t="shared" si="105"/>
        <v>8</v>
      </c>
      <c r="G2293" s="10" t="str">
        <f t="shared" si="106"/>
        <v>Monday</v>
      </c>
      <c r="H2293" s="9" t="str">
        <f t="shared" si="107"/>
        <v>August</v>
      </c>
      <c r="I2293" t="s">
        <v>97</v>
      </c>
      <c r="J2293" t="s">
        <v>21</v>
      </c>
      <c r="K2293">
        <v>8582</v>
      </c>
      <c r="L2293" s="5" t="str">
        <f>IF(OR(K2293&lt;Answers!$C$16,Orders!K2293&gt;Answers!$C$17),"Yes","No")</f>
        <v>No</v>
      </c>
      <c r="M2293" s="14">
        <f>VLOOKUP(B2293,Customers!$A$1:$E$2501,4,0)</f>
        <v>32</v>
      </c>
    </row>
    <row r="2294" spans="1:13" x14ac:dyDescent="0.3">
      <c r="A2294">
        <v>1548735</v>
      </c>
      <c r="B2294">
        <v>90</v>
      </c>
      <c r="C2294" s="1" t="s">
        <v>98</v>
      </c>
      <c r="D2294" s="7">
        <v>45140</v>
      </c>
      <c r="E2294" s="11">
        <v>0.47222222222222221</v>
      </c>
      <c r="F2294" s="15">
        <f t="shared" si="105"/>
        <v>8</v>
      </c>
      <c r="G2294" s="10" t="str">
        <f t="shared" si="106"/>
        <v>Wednesday</v>
      </c>
      <c r="H2294" s="9" t="str">
        <f t="shared" si="107"/>
        <v>August</v>
      </c>
      <c r="I2294" t="s">
        <v>190</v>
      </c>
      <c r="J2294" t="s">
        <v>40</v>
      </c>
      <c r="K2294">
        <v>1069</v>
      </c>
      <c r="L2294" s="5" t="str">
        <f>IF(OR(K2294&lt;Answers!$C$16,Orders!K2294&gt;Answers!$C$17),"Yes","No")</f>
        <v>No</v>
      </c>
      <c r="M2294" s="14">
        <f>VLOOKUP(B2294,Customers!$A$1:$E$2501,4,0)</f>
        <v>48</v>
      </c>
    </row>
    <row r="2295" spans="1:13" x14ac:dyDescent="0.3">
      <c r="A2295">
        <v>1549353</v>
      </c>
      <c r="B2295">
        <v>1603</v>
      </c>
      <c r="C2295" s="1" t="s">
        <v>98</v>
      </c>
      <c r="D2295" s="7">
        <v>45182</v>
      </c>
      <c r="E2295" s="11">
        <v>5.8333333333333334E-2</v>
      </c>
      <c r="F2295" s="15">
        <f t="shared" si="105"/>
        <v>9</v>
      </c>
      <c r="G2295" s="10" t="str">
        <f t="shared" si="106"/>
        <v>Wednesday</v>
      </c>
      <c r="H2295" s="9" t="str">
        <f t="shared" si="107"/>
        <v>September</v>
      </c>
      <c r="I2295" t="s">
        <v>97</v>
      </c>
      <c r="J2295" t="s">
        <v>41</v>
      </c>
      <c r="K2295">
        <v>2101</v>
      </c>
      <c r="L2295" s="5" t="str">
        <f>IF(OR(K2295&lt;Answers!$C$16,Orders!K2295&gt;Answers!$C$17),"Yes","No")</f>
        <v>No</v>
      </c>
      <c r="M2295" s="14">
        <f>VLOOKUP(B2295,Customers!$A$1:$E$2501,4,0)</f>
        <v>73</v>
      </c>
    </row>
    <row r="2296" spans="1:13" x14ac:dyDescent="0.3">
      <c r="A2296">
        <v>1550005</v>
      </c>
      <c r="B2296">
        <v>1984</v>
      </c>
      <c r="C2296" s="1" t="s">
        <v>100</v>
      </c>
      <c r="D2296" s="7">
        <v>45002</v>
      </c>
      <c r="E2296" s="11">
        <v>0.53819444444444442</v>
      </c>
      <c r="F2296" s="15">
        <f t="shared" si="105"/>
        <v>3</v>
      </c>
      <c r="G2296" s="10" t="str">
        <f t="shared" si="106"/>
        <v>Friday</v>
      </c>
      <c r="H2296" s="9" t="str">
        <f t="shared" si="107"/>
        <v>March</v>
      </c>
      <c r="I2296" t="s">
        <v>97</v>
      </c>
      <c r="J2296" t="s">
        <v>34</v>
      </c>
      <c r="K2296">
        <v>2075</v>
      </c>
      <c r="L2296" s="5" t="str">
        <f>IF(OR(K2296&lt;Answers!$C$16,Orders!K2296&gt;Answers!$C$17),"Yes","No")</f>
        <v>No</v>
      </c>
      <c r="M2296" s="14">
        <f>VLOOKUP(B2296,Customers!$A$1:$E$2501,4,0)</f>
        <v>45</v>
      </c>
    </row>
    <row r="2297" spans="1:13" x14ac:dyDescent="0.3">
      <c r="A2297">
        <v>1550154</v>
      </c>
      <c r="B2297">
        <v>1589</v>
      </c>
      <c r="C2297" s="1" t="s">
        <v>98</v>
      </c>
      <c r="D2297" s="7">
        <v>45060</v>
      </c>
      <c r="E2297" s="11">
        <v>7.2916666666666671E-2</v>
      </c>
      <c r="F2297" s="15">
        <f t="shared" si="105"/>
        <v>5</v>
      </c>
      <c r="G2297" s="10" t="str">
        <f t="shared" si="106"/>
        <v>Sunday</v>
      </c>
      <c r="H2297" s="9" t="str">
        <f t="shared" si="107"/>
        <v>May</v>
      </c>
      <c r="I2297" t="s">
        <v>97</v>
      </c>
      <c r="J2297" t="s">
        <v>14</v>
      </c>
      <c r="K2297">
        <v>3729</v>
      </c>
      <c r="L2297" s="5" t="str">
        <f>IF(OR(K2297&lt;Answers!$C$16,Orders!K2297&gt;Answers!$C$17),"Yes","No")</f>
        <v>No</v>
      </c>
      <c r="M2297" s="14">
        <f>VLOOKUP(B2297,Customers!$A$1:$E$2501,4,0)</f>
        <v>20</v>
      </c>
    </row>
    <row r="2298" spans="1:13" x14ac:dyDescent="0.3">
      <c r="A2298">
        <v>1550175</v>
      </c>
      <c r="B2298">
        <v>308</v>
      </c>
      <c r="C2298" s="1" t="s">
        <v>104</v>
      </c>
      <c r="D2298" s="7">
        <v>44988</v>
      </c>
      <c r="E2298" s="11">
        <v>0.48541666666666666</v>
      </c>
      <c r="F2298" s="15">
        <f t="shared" si="105"/>
        <v>3</v>
      </c>
      <c r="G2298" s="10" t="str">
        <f t="shared" si="106"/>
        <v>Friday</v>
      </c>
      <c r="H2298" s="9" t="str">
        <f t="shared" si="107"/>
        <v>March</v>
      </c>
      <c r="I2298" t="s">
        <v>97</v>
      </c>
      <c r="J2298" t="s">
        <v>11</v>
      </c>
      <c r="K2298">
        <v>6486</v>
      </c>
      <c r="L2298" s="5" t="str">
        <f>IF(OR(K2298&lt;Answers!$C$16,Orders!K2298&gt;Answers!$C$17),"Yes","No")</f>
        <v>No</v>
      </c>
      <c r="M2298" s="14">
        <f>VLOOKUP(B2298,Customers!$A$1:$E$2501,4,0)</f>
        <v>40</v>
      </c>
    </row>
    <row r="2299" spans="1:13" x14ac:dyDescent="0.3">
      <c r="A2299">
        <v>1551349</v>
      </c>
      <c r="B2299">
        <v>694</v>
      </c>
      <c r="C2299" s="1" t="s">
        <v>101</v>
      </c>
      <c r="D2299" s="7">
        <v>45227</v>
      </c>
      <c r="E2299" s="11">
        <v>5.0694444444444445E-2</v>
      </c>
      <c r="F2299" s="15">
        <f t="shared" si="105"/>
        <v>10</v>
      </c>
      <c r="G2299" s="10" t="str">
        <f t="shared" si="106"/>
        <v>Saturday</v>
      </c>
      <c r="H2299" s="9" t="str">
        <f t="shared" si="107"/>
        <v>October</v>
      </c>
      <c r="I2299" t="s">
        <v>96</v>
      </c>
      <c r="J2299" t="s">
        <v>28</v>
      </c>
      <c r="K2299">
        <v>9059</v>
      </c>
      <c r="L2299" s="5" t="str">
        <f>IF(OR(K2299&lt;Answers!$C$16,Orders!K2299&gt;Answers!$C$17),"Yes","No")</f>
        <v>No</v>
      </c>
      <c r="M2299" s="14">
        <f>VLOOKUP(B2299,Customers!$A$1:$E$2501,4,0)</f>
        <v>36</v>
      </c>
    </row>
    <row r="2300" spans="1:13" x14ac:dyDescent="0.3">
      <c r="A2300">
        <v>1551563</v>
      </c>
      <c r="B2300">
        <v>394</v>
      </c>
      <c r="C2300" s="1" t="s">
        <v>112</v>
      </c>
      <c r="D2300" s="7">
        <v>45267</v>
      </c>
      <c r="E2300" s="11">
        <v>6.8750000000000006E-2</v>
      </c>
      <c r="F2300" s="15">
        <f t="shared" si="105"/>
        <v>12</v>
      </c>
      <c r="G2300" s="10" t="str">
        <f t="shared" si="106"/>
        <v>Thursday</v>
      </c>
      <c r="H2300" s="9" t="str">
        <f t="shared" si="107"/>
        <v>December</v>
      </c>
      <c r="I2300" t="s">
        <v>190</v>
      </c>
      <c r="J2300" t="s">
        <v>26</v>
      </c>
      <c r="K2300">
        <v>932</v>
      </c>
      <c r="L2300" s="5" t="str">
        <f>IF(OR(K2300&lt;Answers!$C$16,Orders!K2300&gt;Answers!$C$17),"Yes","No")</f>
        <v>No</v>
      </c>
      <c r="M2300" s="14">
        <f>VLOOKUP(B2300,Customers!$A$1:$E$2501,4,0)</f>
        <v>65</v>
      </c>
    </row>
    <row r="2301" spans="1:13" x14ac:dyDescent="0.3">
      <c r="A2301">
        <v>1552540</v>
      </c>
      <c r="B2301">
        <v>1457</v>
      </c>
      <c r="C2301" s="1" t="s">
        <v>100</v>
      </c>
      <c r="D2301" s="7">
        <v>45161</v>
      </c>
      <c r="E2301" s="11">
        <v>0.49166666666666664</v>
      </c>
      <c r="F2301" s="15">
        <f t="shared" si="105"/>
        <v>8</v>
      </c>
      <c r="G2301" s="10" t="str">
        <f t="shared" si="106"/>
        <v>Wednesday</v>
      </c>
      <c r="H2301" s="9" t="str">
        <f t="shared" si="107"/>
        <v>August</v>
      </c>
      <c r="I2301" t="s">
        <v>95</v>
      </c>
      <c r="J2301" t="s">
        <v>45</v>
      </c>
      <c r="K2301">
        <v>9266</v>
      </c>
      <c r="L2301" s="5" t="str">
        <f>IF(OR(K2301&lt;Answers!$C$16,Orders!K2301&gt;Answers!$C$17),"Yes","No")</f>
        <v>No</v>
      </c>
      <c r="M2301" s="14">
        <f>VLOOKUP(B2301,Customers!$A$1:$E$2501,4,0)</f>
        <v>49</v>
      </c>
    </row>
    <row r="2302" spans="1:13" x14ac:dyDescent="0.3">
      <c r="A2302">
        <v>1553612</v>
      </c>
      <c r="B2302">
        <v>1628</v>
      </c>
      <c r="C2302" s="1" t="s">
        <v>98</v>
      </c>
      <c r="D2302" s="7">
        <v>45055</v>
      </c>
      <c r="E2302" s="11">
        <v>0.51111111111111107</v>
      </c>
      <c r="F2302" s="15">
        <f t="shared" si="105"/>
        <v>5</v>
      </c>
      <c r="G2302" s="10" t="str">
        <f t="shared" si="106"/>
        <v>Tuesday</v>
      </c>
      <c r="H2302" s="9" t="str">
        <f t="shared" si="107"/>
        <v>May</v>
      </c>
      <c r="I2302" t="s">
        <v>97</v>
      </c>
      <c r="J2302" t="s">
        <v>42</v>
      </c>
      <c r="K2302">
        <v>6089</v>
      </c>
      <c r="L2302" s="5" t="str">
        <f>IF(OR(K2302&lt;Answers!$C$16,Orders!K2302&gt;Answers!$C$17),"Yes","No")</f>
        <v>No</v>
      </c>
      <c r="M2302" s="14">
        <f>VLOOKUP(B2302,Customers!$A$1:$E$2501,4,0)</f>
        <v>79</v>
      </c>
    </row>
    <row r="2303" spans="1:13" x14ac:dyDescent="0.3">
      <c r="A2303">
        <v>1553858</v>
      </c>
      <c r="B2303">
        <v>699</v>
      </c>
      <c r="C2303" s="1" t="s">
        <v>98</v>
      </c>
      <c r="D2303" s="7">
        <v>45169</v>
      </c>
      <c r="E2303" s="11">
        <v>5.2777777777777778E-2</v>
      </c>
      <c r="F2303" s="15">
        <f t="shared" si="105"/>
        <v>8</v>
      </c>
      <c r="G2303" s="10" t="str">
        <f t="shared" si="106"/>
        <v>Thursday</v>
      </c>
      <c r="H2303" s="9" t="str">
        <f t="shared" si="107"/>
        <v>August</v>
      </c>
      <c r="I2303" t="s">
        <v>96</v>
      </c>
      <c r="J2303" t="s">
        <v>46</v>
      </c>
      <c r="K2303">
        <v>7598</v>
      </c>
      <c r="L2303" s="5" t="str">
        <f>IF(OR(K2303&lt;Answers!$C$16,Orders!K2303&gt;Answers!$C$17),"Yes","No")</f>
        <v>No</v>
      </c>
      <c r="M2303" s="14">
        <f>VLOOKUP(B2303,Customers!$A$1:$E$2501,4,0)</f>
        <v>68</v>
      </c>
    </row>
    <row r="2304" spans="1:13" x14ac:dyDescent="0.3">
      <c r="A2304">
        <v>1555572</v>
      </c>
      <c r="B2304">
        <v>1665</v>
      </c>
      <c r="C2304" s="1" t="s">
        <v>109</v>
      </c>
      <c r="D2304" s="7">
        <v>45006</v>
      </c>
      <c r="E2304" s="11">
        <v>36586</v>
      </c>
      <c r="F2304" s="15">
        <f t="shared" si="105"/>
        <v>3</v>
      </c>
      <c r="G2304" s="10" t="str">
        <f t="shared" si="106"/>
        <v>Tuesday</v>
      </c>
      <c r="H2304" s="9" t="str">
        <f t="shared" si="107"/>
        <v>March</v>
      </c>
      <c r="I2304" t="s">
        <v>96</v>
      </c>
      <c r="J2304" t="s">
        <v>26</v>
      </c>
      <c r="K2304">
        <v>1259</v>
      </c>
      <c r="L2304" s="5" t="str">
        <f>IF(OR(K2304&lt;Answers!$C$16,Orders!K2304&gt;Answers!$C$17),"Yes","No")</f>
        <v>No</v>
      </c>
      <c r="M2304" s="14">
        <f>VLOOKUP(B2304,Customers!$A$1:$E$2501,4,0)</f>
        <v>19</v>
      </c>
    </row>
    <row r="2305" spans="1:13" x14ac:dyDescent="0.3">
      <c r="A2305">
        <v>1556551</v>
      </c>
      <c r="B2305">
        <v>556</v>
      </c>
      <c r="C2305" s="1" t="s">
        <v>99</v>
      </c>
      <c r="D2305" s="7">
        <v>45027</v>
      </c>
      <c r="E2305" s="11">
        <v>0.52430555555555558</v>
      </c>
      <c r="F2305" s="15">
        <f t="shared" si="105"/>
        <v>4</v>
      </c>
      <c r="G2305" s="10" t="str">
        <f t="shared" si="106"/>
        <v>Tuesday</v>
      </c>
      <c r="H2305" s="9" t="str">
        <f t="shared" si="107"/>
        <v>April</v>
      </c>
      <c r="I2305" t="s">
        <v>96</v>
      </c>
      <c r="J2305" t="s">
        <v>89</v>
      </c>
      <c r="K2305">
        <v>4482</v>
      </c>
      <c r="L2305" s="5" t="str">
        <f>IF(OR(K2305&lt;Answers!$C$16,Orders!K2305&gt;Answers!$C$17),"Yes","No")</f>
        <v>No</v>
      </c>
      <c r="M2305" s="14">
        <f>VLOOKUP(B2305,Customers!$A$1:$E$2501,4,0)</f>
        <v>72</v>
      </c>
    </row>
    <row r="2306" spans="1:13" x14ac:dyDescent="0.3">
      <c r="A2306">
        <v>1557337</v>
      </c>
      <c r="B2306">
        <v>508</v>
      </c>
      <c r="C2306" s="1" t="s">
        <v>109</v>
      </c>
      <c r="D2306" s="7">
        <v>44957</v>
      </c>
      <c r="E2306" s="11">
        <v>0.53402777777777777</v>
      </c>
      <c r="F2306" s="15">
        <f t="shared" si="105"/>
        <v>1</v>
      </c>
      <c r="G2306" s="10" t="str">
        <f t="shared" si="106"/>
        <v>Tuesday</v>
      </c>
      <c r="H2306" s="9" t="str">
        <f t="shared" si="107"/>
        <v>January</v>
      </c>
      <c r="I2306" t="s">
        <v>96</v>
      </c>
      <c r="J2306" t="s">
        <v>13</v>
      </c>
      <c r="K2306">
        <v>4679</v>
      </c>
      <c r="L2306" s="5" t="str">
        <f>IF(OR(K2306&lt;Answers!$C$16,Orders!K2306&gt;Answers!$C$17),"Yes","No")</f>
        <v>No</v>
      </c>
      <c r="M2306" s="14">
        <f>VLOOKUP(B2306,Customers!$A$1:$E$2501,4,0)</f>
        <v>65</v>
      </c>
    </row>
    <row r="2307" spans="1:13" x14ac:dyDescent="0.3">
      <c r="A2307">
        <v>1558722</v>
      </c>
      <c r="B2307">
        <v>623</v>
      </c>
      <c r="C2307" s="1" t="s">
        <v>112</v>
      </c>
      <c r="D2307" s="7">
        <v>45134</v>
      </c>
      <c r="E2307" s="11">
        <v>6.7361111111111108E-2</v>
      </c>
      <c r="F2307" s="15">
        <f t="shared" ref="F2307:F2370" si="108">MONTH(D2307)</f>
        <v>7</v>
      </c>
      <c r="G2307" s="10" t="str">
        <f t="shared" ref="G2307:G2370" si="109">TEXT(D2307,"dddd")</f>
        <v>Thursday</v>
      </c>
      <c r="H2307" s="9" t="str">
        <f t="shared" ref="H2307:H2370" si="110">TEXT(D2307,"mmmm")</f>
        <v>July</v>
      </c>
      <c r="I2307" t="s">
        <v>97</v>
      </c>
      <c r="J2307" t="s">
        <v>26</v>
      </c>
      <c r="K2307">
        <v>1232</v>
      </c>
      <c r="L2307" s="5" t="str">
        <f>IF(OR(K2307&lt;Answers!$C$16,Orders!K2307&gt;Answers!$C$17),"Yes","No")</f>
        <v>No</v>
      </c>
      <c r="M2307" s="14">
        <f>VLOOKUP(B2307,Customers!$A$1:$E$2501,4,0)</f>
        <v>80</v>
      </c>
    </row>
    <row r="2308" spans="1:13" x14ac:dyDescent="0.3">
      <c r="A2308">
        <v>1558773</v>
      </c>
      <c r="B2308">
        <v>1230</v>
      </c>
      <c r="C2308" s="1" t="s">
        <v>104</v>
      </c>
      <c r="D2308" s="7">
        <v>45143</v>
      </c>
      <c r="E2308" s="11">
        <v>0.5395833333333333</v>
      </c>
      <c r="F2308" s="15">
        <f t="shared" si="108"/>
        <v>8</v>
      </c>
      <c r="G2308" s="10" t="str">
        <f t="shared" si="109"/>
        <v>Saturday</v>
      </c>
      <c r="H2308" s="9" t="str">
        <f t="shared" si="110"/>
        <v>August</v>
      </c>
      <c r="I2308" t="s">
        <v>97</v>
      </c>
      <c r="J2308" t="s">
        <v>93</v>
      </c>
      <c r="K2308">
        <v>5890</v>
      </c>
      <c r="L2308" s="5" t="str">
        <f>IF(OR(K2308&lt;Answers!$C$16,Orders!K2308&gt;Answers!$C$17),"Yes","No")</f>
        <v>No</v>
      </c>
      <c r="M2308" s="14">
        <f>VLOOKUP(B2308,Customers!$A$1:$E$2501,4,0)</f>
        <v>80</v>
      </c>
    </row>
    <row r="2309" spans="1:13" x14ac:dyDescent="0.3">
      <c r="A2309">
        <v>1558851</v>
      </c>
      <c r="B2309">
        <v>431</v>
      </c>
      <c r="C2309" s="1" t="s">
        <v>112</v>
      </c>
      <c r="D2309" s="7">
        <v>45288</v>
      </c>
      <c r="E2309" s="11">
        <v>0.47430555555555554</v>
      </c>
      <c r="F2309" s="15">
        <f t="shared" si="108"/>
        <v>12</v>
      </c>
      <c r="G2309" s="10" t="str">
        <f t="shared" si="109"/>
        <v>Thursday</v>
      </c>
      <c r="H2309" s="9" t="str">
        <f t="shared" si="110"/>
        <v>December</v>
      </c>
      <c r="I2309" t="s">
        <v>97</v>
      </c>
      <c r="J2309" t="s">
        <v>8</v>
      </c>
      <c r="K2309">
        <v>3075</v>
      </c>
      <c r="L2309" s="5" t="str">
        <f>IF(OR(K2309&lt;Answers!$C$16,Orders!K2309&gt;Answers!$C$17),"Yes","No")</f>
        <v>No</v>
      </c>
      <c r="M2309" s="14">
        <f>VLOOKUP(B2309,Customers!$A$1:$E$2501,4,0)</f>
        <v>34</v>
      </c>
    </row>
    <row r="2310" spans="1:13" x14ac:dyDescent="0.3">
      <c r="A2310">
        <v>1558891</v>
      </c>
      <c r="B2310">
        <v>1358</v>
      </c>
      <c r="C2310" s="1" t="s">
        <v>100</v>
      </c>
      <c r="D2310" s="7">
        <v>44948</v>
      </c>
      <c r="E2310" s="11">
        <v>0.51944444444444449</v>
      </c>
      <c r="F2310" s="15">
        <f t="shared" si="108"/>
        <v>1</v>
      </c>
      <c r="G2310" s="10" t="str">
        <f t="shared" si="109"/>
        <v>Sunday</v>
      </c>
      <c r="H2310" s="9" t="str">
        <f t="shared" si="110"/>
        <v>January</v>
      </c>
      <c r="I2310" t="s">
        <v>95</v>
      </c>
      <c r="J2310" t="s">
        <v>47</v>
      </c>
      <c r="K2310">
        <v>9227</v>
      </c>
      <c r="L2310" s="5" t="str">
        <f>IF(OR(K2310&lt;Answers!$C$16,Orders!K2310&gt;Answers!$C$17),"Yes","No")</f>
        <v>No</v>
      </c>
      <c r="M2310" s="14">
        <f>VLOOKUP(B2310,Customers!$A$1:$E$2501,4,0)</f>
        <v>60</v>
      </c>
    </row>
    <row r="2311" spans="1:13" x14ac:dyDescent="0.3">
      <c r="A2311">
        <v>1560730</v>
      </c>
      <c r="B2311">
        <v>1689</v>
      </c>
      <c r="C2311" s="1" t="s">
        <v>100</v>
      </c>
      <c r="D2311" s="7">
        <v>45106</v>
      </c>
      <c r="E2311" s="11">
        <v>0.52361111111111114</v>
      </c>
      <c r="F2311" s="15">
        <f t="shared" si="108"/>
        <v>6</v>
      </c>
      <c r="G2311" s="10" t="str">
        <f t="shared" si="109"/>
        <v>Thursday</v>
      </c>
      <c r="H2311" s="9" t="str">
        <f t="shared" si="110"/>
        <v>June</v>
      </c>
      <c r="I2311" t="s">
        <v>190</v>
      </c>
      <c r="J2311" t="s">
        <v>13</v>
      </c>
      <c r="K2311">
        <v>9570</v>
      </c>
      <c r="L2311" s="5" t="str">
        <f>IF(OR(K2311&lt;Answers!$C$16,Orders!K2311&gt;Answers!$C$17),"Yes","No")</f>
        <v>No</v>
      </c>
      <c r="M2311" s="14">
        <f>VLOOKUP(B2311,Customers!$A$1:$E$2501,4,0)</f>
        <v>50</v>
      </c>
    </row>
    <row r="2312" spans="1:13" x14ac:dyDescent="0.3">
      <c r="A2312">
        <v>1561328</v>
      </c>
      <c r="B2312">
        <v>1031</v>
      </c>
      <c r="C2312" s="1" t="s">
        <v>100</v>
      </c>
      <c r="D2312" s="7">
        <v>45229</v>
      </c>
      <c r="E2312" s="11">
        <v>0.49236111111111114</v>
      </c>
      <c r="F2312" s="15">
        <f t="shared" si="108"/>
        <v>10</v>
      </c>
      <c r="G2312" s="10" t="str">
        <f t="shared" si="109"/>
        <v>Monday</v>
      </c>
      <c r="H2312" s="9" t="str">
        <f t="shared" si="110"/>
        <v>October</v>
      </c>
      <c r="I2312" t="s">
        <v>190</v>
      </c>
      <c r="J2312" t="s">
        <v>60</v>
      </c>
      <c r="K2312">
        <v>2619</v>
      </c>
      <c r="L2312" s="5" t="str">
        <f>IF(OR(K2312&lt;Answers!$C$16,Orders!K2312&gt;Answers!$C$17),"Yes","No")</f>
        <v>No</v>
      </c>
      <c r="M2312" s="14">
        <f>VLOOKUP(B2312,Customers!$A$1:$E$2501,4,0)</f>
        <v>40</v>
      </c>
    </row>
    <row r="2313" spans="1:13" x14ac:dyDescent="0.3">
      <c r="A2313">
        <v>1561588</v>
      </c>
      <c r="B2313">
        <v>237</v>
      </c>
      <c r="C2313" s="1" t="s">
        <v>99</v>
      </c>
      <c r="D2313" s="7">
        <v>45162</v>
      </c>
      <c r="E2313" s="11">
        <v>0.47083333333333333</v>
      </c>
      <c r="F2313" s="15">
        <f t="shared" si="108"/>
        <v>8</v>
      </c>
      <c r="G2313" s="10" t="str">
        <f t="shared" si="109"/>
        <v>Thursday</v>
      </c>
      <c r="H2313" s="9" t="str">
        <f t="shared" si="110"/>
        <v>August</v>
      </c>
      <c r="I2313" t="s">
        <v>95</v>
      </c>
      <c r="J2313" t="s">
        <v>64</v>
      </c>
      <c r="K2313">
        <v>7424</v>
      </c>
      <c r="L2313" s="5" t="str">
        <f>IF(OR(K2313&lt;Answers!$C$16,Orders!K2313&gt;Answers!$C$17),"Yes","No")</f>
        <v>No</v>
      </c>
      <c r="M2313" s="14">
        <f>VLOOKUP(B2313,Customers!$A$1:$E$2501,4,0)</f>
        <v>57</v>
      </c>
    </row>
    <row r="2314" spans="1:13" x14ac:dyDescent="0.3">
      <c r="A2314">
        <v>1562667</v>
      </c>
      <c r="B2314">
        <v>984</v>
      </c>
      <c r="C2314" s="1" t="s">
        <v>99</v>
      </c>
      <c r="D2314" s="7">
        <v>45113</v>
      </c>
      <c r="E2314" s="11">
        <v>0.48680555555555555</v>
      </c>
      <c r="F2314" s="15">
        <f t="shared" si="108"/>
        <v>7</v>
      </c>
      <c r="G2314" s="10" t="str">
        <f t="shared" si="109"/>
        <v>Thursday</v>
      </c>
      <c r="H2314" s="9" t="str">
        <f t="shared" si="110"/>
        <v>July</v>
      </c>
      <c r="I2314" t="s">
        <v>95</v>
      </c>
      <c r="J2314" t="s">
        <v>26</v>
      </c>
      <c r="K2314">
        <v>424</v>
      </c>
      <c r="L2314" s="5" t="str">
        <f>IF(OR(K2314&lt;Answers!$C$16,Orders!K2314&gt;Answers!$C$17),"Yes","No")</f>
        <v>No</v>
      </c>
      <c r="M2314" s="14">
        <f>VLOOKUP(B2314,Customers!$A$1:$E$2501,4,0)</f>
        <v>33</v>
      </c>
    </row>
    <row r="2315" spans="1:13" x14ac:dyDescent="0.3">
      <c r="A2315">
        <v>1562703</v>
      </c>
      <c r="B2315">
        <v>347</v>
      </c>
      <c r="C2315" s="1" t="s">
        <v>107</v>
      </c>
      <c r="D2315" s="7">
        <v>45183</v>
      </c>
      <c r="E2315" s="11">
        <v>0.51736111111111116</v>
      </c>
      <c r="F2315" s="15">
        <f t="shared" si="108"/>
        <v>9</v>
      </c>
      <c r="G2315" s="10" t="str">
        <f t="shared" si="109"/>
        <v>Thursday</v>
      </c>
      <c r="H2315" s="9" t="str">
        <f t="shared" si="110"/>
        <v>September</v>
      </c>
      <c r="I2315" t="s">
        <v>190</v>
      </c>
      <c r="J2315" t="s">
        <v>17</v>
      </c>
      <c r="K2315">
        <v>1845</v>
      </c>
      <c r="L2315" s="5" t="str">
        <f>IF(OR(K2315&lt;Answers!$C$16,Orders!K2315&gt;Answers!$C$17),"Yes","No")</f>
        <v>No</v>
      </c>
      <c r="M2315" s="14">
        <f>VLOOKUP(B2315,Customers!$A$1:$E$2501,4,0)</f>
        <v>59</v>
      </c>
    </row>
    <row r="2316" spans="1:13" x14ac:dyDescent="0.3">
      <c r="A2316">
        <v>1562821</v>
      </c>
      <c r="B2316">
        <v>917</v>
      </c>
      <c r="C2316" s="1" t="s">
        <v>102</v>
      </c>
      <c r="D2316" s="7">
        <v>45090</v>
      </c>
      <c r="E2316" s="11">
        <v>36842</v>
      </c>
      <c r="F2316" s="15">
        <f t="shared" si="108"/>
        <v>6</v>
      </c>
      <c r="G2316" s="10" t="str">
        <f t="shared" si="109"/>
        <v>Tuesday</v>
      </c>
      <c r="H2316" s="9" t="str">
        <f t="shared" si="110"/>
        <v>June</v>
      </c>
      <c r="I2316" t="s">
        <v>190</v>
      </c>
      <c r="J2316" t="s">
        <v>88</v>
      </c>
      <c r="K2316">
        <v>5545</v>
      </c>
      <c r="L2316" s="5" t="str">
        <f>IF(OR(K2316&lt;Answers!$C$16,Orders!K2316&gt;Answers!$C$17),"Yes","No")</f>
        <v>No</v>
      </c>
      <c r="M2316" s="14">
        <f>VLOOKUP(B2316,Customers!$A$1:$E$2501,4,0)</f>
        <v>41</v>
      </c>
    </row>
    <row r="2317" spans="1:13" x14ac:dyDescent="0.3">
      <c r="A2317">
        <v>1563544</v>
      </c>
      <c r="B2317">
        <v>1905</v>
      </c>
      <c r="C2317" s="1" t="s">
        <v>104</v>
      </c>
      <c r="D2317" s="7">
        <v>45242</v>
      </c>
      <c r="E2317" s="11">
        <v>5.1388888888888887E-2</v>
      </c>
      <c r="F2317" s="15">
        <f t="shared" si="108"/>
        <v>11</v>
      </c>
      <c r="G2317" s="10" t="str">
        <f t="shared" si="109"/>
        <v>Sunday</v>
      </c>
      <c r="H2317" s="9" t="str">
        <f t="shared" si="110"/>
        <v>November</v>
      </c>
      <c r="I2317" t="s">
        <v>97</v>
      </c>
      <c r="J2317" t="s">
        <v>78</v>
      </c>
      <c r="K2317">
        <v>4596</v>
      </c>
      <c r="L2317" s="5" t="str">
        <f>IF(OR(K2317&lt;Answers!$C$16,Orders!K2317&gt;Answers!$C$17),"Yes","No")</f>
        <v>No</v>
      </c>
      <c r="M2317" s="14">
        <f>VLOOKUP(B2317,Customers!$A$1:$E$2501,4,0)</f>
        <v>48</v>
      </c>
    </row>
    <row r="2318" spans="1:13" x14ac:dyDescent="0.3">
      <c r="A2318">
        <v>1563696</v>
      </c>
      <c r="B2318">
        <v>1079</v>
      </c>
      <c r="C2318" s="1" t="s">
        <v>112</v>
      </c>
      <c r="D2318" s="7">
        <v>45033</v>
      </c>
      <c r="E2318" s="11">
        <v>0.48541666666666666</v>
      </c>
      <c r="F2318" s="15">
        <f t="shared" si="108"/>
        <v>4</v>
      </c>
      <c r="G2318" s="10" t="str">
        <f t="shared" si="109"/>
        <v>Monday</v>
      </c>
      <c r="H2318" s="9" t="str">
        <f t="shared" si="110"/>
        <v>April</v>
      </c>
      <c r="I2318" t="s">
        <v>97</v>
      </c>
      <c r="J2318" t="s">
        <v>50</v>
      </c>
      <c r="K2318">
        <v>2297</v>
      </c>
      <c r="L2318" s="5" t="str">
        <f>IF(OR(K2318&lt;Answers!$C$16,Orders!K2318&gt;Answers!$C$17),"Yes","No")</f>
        <v>No</v>
      </c>
      <c r="M2318" s="14">
        <f>VLOOKUP(B2318,Customers!$A$1:$E$2501,4,0)</f>
        <v>29</v>
      </c>
    </row>
    <row r="2319" spans="1:13" x14ac:dyDescent="0.3">
      <c r="A2319">
        <v>1564030</v>
      </c>
      <c r="B2319">
        <v>1844</v>
      </c>
      <c r="C2319" s="1" t="s">
        <v>105</v>
      </c>
      <c r="D2319" s="7">
        <v>45290</v>
      </c>
      <c r="E2319" s="11">
        <v>0.5</v>
      </c>
      <c r="F2319" s="15">
        <f t="shared" si="108"/>
        <v>12</v>
      </c>
      <c r="G2319" s="10" t="str">
        <f t="shared" si="109"/>
        <v>Saturday</v>
      </c>
      <c r="H2319" s="9" t="str">
        <f t="shared" si="110"/>
        <v>December</v>
      </c>
      <c r="I2319" t="s">
        <v>95</v>
      </c>
      <c r="J2319" t="s">
        <v>62</v>
      </c>
      <c r="K2319">
        <v>9452</v>
      </c>
      <c r="L2319" s="5" t="str">
        <f>IF(OR(K2319&lt;Answers!$C$16,Orders!K2319&gt;Answers!$C$17),"Yes","No")</f>
        <v>No</v>
      </c>
      <c r="M2319" s="14">
        <f>VLOOKUP(B2319,Customers!$A$1:$E$2501,4,0)</f>
        <v>88</v>
      </c>
    </row>
    <row r="2320" spans="1:13" x14ac:dyDescent="0.3">
      <c r="A2320">
        <v>1564843</v>
      </c>
      <c r="B2320">
        <v>1271</v>
      </c>
      <c r="C2320" s="1" t="s">
        <v>99</v>
      </c>
      <c r="D2320" s="7">
        <v>44973</v>
      </c>
      <c r="E2320" s="11">
        <v>7.8472222222222221E-2</v>
      </c>
      <c r="F2320" s="15">
        <f t="shared" si="108"/>
        <v>2</v>
      </c>
      <c r="G2320" s="10" t="str">
        <f t="shared" si="109"/>
        <v>Thursday</v>
      </c>
      <c r="H2320" s="9" t="str">
        <f t="shared" si="110"/>
        <v>February</v>
      </c>
      <c r="I2320" t="s">
        <v>95</v>
      </c>
      <c r="J2320" t="s">
        <v>89</v>
      </c>
      <c r="K2320">
        <v>2114</v>
      </c>
      <c r="L2320" s="5" t="str">
        <f>IF(OR(K2320&lt;Answers!$C$16,Orders!K2320&gt;Answers!$C$17),"Yes","No")</f>
        <v>No</v>
      </c>
      <c r="M2320" s="14">
        <f>VLOOKUP(B2320,Customers!$A$1:$E$2501,4,0)</f>
        <v>43</v>
      </c>
    </row>
    <row r="2321" spans="1:13" x14ac:dyDescent="0.3">
      <c r="A2321">
        <v>1564926</v>
      </c>
      <c r="B2321">
        <v>1519</v>
      </c>
      <c r="C2321" s="1" t="s">
        <v>104</v>
      </c>
      <c r="D2321" s="7">
        <v>45039</v>
      </c>
      <c r="E2321" s="11">
        <v>0.4513888888888889</v>
      </c>
      <c r="F2321" s="15">
        <f t="shared" si="108"/>
        <v>4</v>
      </c>
      <c r="G2321" s="10" t="str">
        <f t="shared" si="109"/>
        <v>Sunday</v>
      </c>
      <c r="H2321" s="9" t="str">
        <f t="shared" si="110"/>
        <v>April</v>
      </c>
      <c r="I2321" t="s">
        <v>96</v>
      </c>
      <c r="J2321" t="s">
        <v>56</v>
      </c>
      <c r="K2321">
        <v>6988</v>
      </c>
      <c r="L2321" s="5" t="str">
        <f>IF(OR(K2321&lt;Answers!$C$16,Orders!K2321&gt;Answers!$C$17),"Yes","No")</f>
        <v>No</v>
      </c>
      <c r="M2321" s="14">
        <f>VLOOKUP(B2321,Customers!$A$1:$E$2501,4,0)</f>
        <v>20</v>
      </c>
    </row>
    <row r="2322" spans="1:13" x14ac:dyDescent="0.3">
      <c r="A2322">
        <v>1565544</v>
      </c>
      <c r="B2322">
        <v>1432</v>
      </c>
      <c r="C2322" s="1" t="s">
        <v>98</v>
      </c>
      <c r="D2322" s="7">
        <v>44936</v>
      </c>
      <c r="E2322" s="11">
        <v>0.53680555555555554</v>
      </c>
      <c r="F2322" s="15">
        <f t="shared" si="108"/>
        <v>1</v>
      </c>
      <c r="G2322" s="10" t="str">
        <f t="shared" si="109"/>
        <v>Tuesday</v>
      </c>
      <c r="H2322" s="9" t="str">
        <f t="shared" si="110"/>
        <v>January</v>
      </c>
      <c r="I2322" t="s">
        <v>190</v>
      </c>
      <c r="J2322" t="s">
        <v>91</v>
      </c>
      <c r="K2322">
        <v>1232</v>
      </c>
      <c r="L2322" s="5" t="str">
        <f>IF(OR(K2322&lt;Answers!$C$16,Orders!K2322&gt;Answers!$C$17),"Yes","No")</f>
        <v>No</v>
      </c>
      <c r="M2322" s="14">
        <f>VLOOKUP(B2322,Customers!$A$1:$E$2501,4,0)</f>
        <v>30</v>
      </c>
    </row>
    <row r="2323" spans="1:13" x14ac:dyDescent="0.3">
      <c r="A2323">
        <v>1566865</v>
      </c>
      <c r="B2323">
        <v>1937</v>
      </c>
      <c r="C2323" s="1" t="s">
        <v>103</v>
      </c>
      <c r="D2323" s="7">
        <v>45257</v>
      </c>
      <c r="E2323" s="11">
        <v>6.1111111111111109E-2</v>
      </c>
      <c r="F2323" s="15">
        <f t="shared" si="108"/>
        <v>11</v>
      </c>
      <c r="G2323" s="10" t="str">
        <f t="shared" si="109"/>
        <v>Monday</v>
      </c>
      <c r="H2323" s="9" t="str">
        <f t="shared" si="110"/>
        <v>November</v>
      </c>
      <c r="I2323" t="s">
        <v>95</v>
      </c>
      <c r="J2323" t="s">
        <v>23</v>
      </c>
      <c r="K2323">
        <v>1543</v>
      </c>
      <c r="L2323" s="5" t="str">
        <f>IF(OR(K2323&lt;Answers!$C$16,Orders!K2323&gt;Answers!$C$17),"Yes","No")</f>
        <v>No</v>
      </c>
      <c r="M2323" s="14">
        <f>VLOOKUP(B2323,Customers!$A$1:$E$2501,4,0)</f>
        <v>27</v>
      </c>
    </row>
    <row r="2324" spans="1:13" x14ac:dyDescent="0.3">
      <c r="A2324">
        <v>1567251</v>
      </c>
      <c r="B2324">
        <v>1808</v>
      </c>
      <c r="C2324" s="1" t="s">
        <v>106</v>
      </c>
      <c r="D2324" s="7">
        <v>45135</v>
      </c>
      <c r="E2324" s="11">
        <v>8.1944444444444445E-2</v>
      </c>
      <c r="F2324" s="15">
        <f t="shared" si="108"/>
        <v>7</v>
      </c>
      <c r="G2324" s="10" t="str">
        <f t="shared" si="109"/>
        <v>Friday</v>
      </c>
      <c r="H2324" s="9" t="str">
        <f t="shared" si="110"/>
        <v>July</v>
      </c>
      <c r="I2324" t="s">
        <v>190</v>
      </c>
      <c r="J2324" t="s">
        <v>17</v>
      </c>
      <c r="K2324">
        <v>5439</v>
      </c>
      <c r="L2324" s="5" t="str">
        <f>IF(OR(K2324&lt;Answers!$C$16,Orders!K2324&gt;Answers!$C$17),"Yes","No")</f>
        <v>No</v>
      </c>
      <c r="M2324" s="14">
        <f>VLOOKUP(B2324,Customers!$A$1:$E$2501,4,0)</f>
        <v>28</v>
      </c>
    </row>
    <row r="2325" spans="1:13" x14ac:dyDescent="0.3">
      <c r="A2325">
        <v>1567280</v>
      </c>
      <c r="B2325">
        <v>634</v>
      </c>
      <c r="C2325" s="1" t="s">
        <v>98</v>
      </c>
      <c r="D2325" s="7">
        <v>45253</v>
      </c>
      <c r="E2325" s="11">
        <v>0.45694444444444443</v>
      </c>
      <c r="F2325" s="15">
        <f t="shared" si="108"/>
        <v>11</v>
      </c>
      <c r="G2325" s="10" t="str">
        <f t="shared" si="109"/>
        <v>Thursday</v>
      </c>
      <c r="H2325" s="9" t="str">
        <f t="shared" si="110"/>
        <v>November</v>
      </c>
      <c r="I2325" t="s">
        <v>96</v>
      </c>
      <c r="J2325" t="s">
        <v>24</v>
      </c>
      <c r="K2325">
        <v>9698</v>
      </c>
      <c r="L2325" s="5" t="str">
        <f>IF(OR(K2325&lt;Answers!$C$16,Orders!K2325&gt;Answers!$C$17),"Yes","No")</f>
        <v>No</v>
      </c>
      <c r="M2325" s="14">
        <f>VLOOKUP(B2325,Customers!$A$1:$E$2501,4,0)</f>
        <v>62</v>
      </c>
    </row>
    <row r="2326" spans="1:13" x14ac:dyDescent="0.3">
      <c r="A2326">
        <v>1568848</v>
      </c>
      <c r="B2326">
        <v>1783</v>
      </c>
      <c r="C2326" s="1" t="s">
        <v>98</v>
      </c>
      <c r="D2326" s="7">
        <v>45123</v>
      </c>
      <c r="E2326" s="11">
        <v>0.53541666666666665</v>
      </c>
      <c r="F2326" s="15">
        <f t="shared" si="108"/>
        <v>7</v>
      </c>
      <c r="G2326" s="10" t="str">
        <f t="shared" si="109"/>
        <v>Sunday</v>
      </c>
      <c r="H2326" s="9" t="str">
        <f t="shared" si="110"/>
        <v>July</v>
      </c>
      <c r="I2326" t="s">
        <v>96</v>
      </c>
      <c r="J2326" t="s">
        <v>4</v>
      </c>
      <c r="K2326">
        <v>8771</v>
      </c>
      <c r="L2326" s="5" t="str">
        <f>IF(OR(K2326&lt;Answers!$C$16,Orders!K2326&gt;Answers!$C$17),"Yes","No")</f>
        <v>No</v>
      </c>
      <c r="M2326" s="14">
        <f>VLOOKUP(B2326,Customers!$A$1:$E$2501,4,0)</f>
        <v>27</v>
      </c>
    </row>
    <row r="2327" spans="1:13" x14ac:dyDescent="0.3">
      <c r="A2327">
        <v>1569922</v>
      </c>
      <c r="B2327">
        <v>1948</v>
      </c>
      <c r="C2327" s="1" t="s">
        <v>98</v>
      </c>
      <c r="D2327" s="7">
        <v>44992</v>
      </c>
      <c r="E2327" s="11">
        <v>0.4861111111111111</v>
      </c>
      <c r="F2327" s="15">
        <f t="shared" si="108"/>
        <v>3</v>
      </c>
      <c r="G2327" s="10" t="str">
        <f t="shared" si="109"/>
        <v>Tuesday</v>
      </c>
      <c r="H2327" s="9" t="str">
        <f t="shared" si="110"/>
        <v>March</v>
      </c>
      <c r="I2327" t="s">
        <v>97</v>
      </c>
      <c r="J2327" t="s">
        <v>15</v>
      </c>
      <c r="K2327">
        <v>3425</v>
      </c>
      <c r="L2327" s="5" t="str">
        <f>IF(OR(K2327&lt;Answers!$C$16,Orders!K2327&gt;Answers!$C$17),"Yes","No")</f>
        <v>No</v>
      </c>
      <c r="M2327" s="14">
        <f>VLOOKUP(B2327,Customers!$A$1:$E$2501,4,0)</f>
        <v>79</v>
      </c>
    </row>
    <row r="2328" spans="1:13" x14ac:dyDescent="0.3">
      <c r="A2328">
        <v>1570720</v>
      </c>
      <c r="B2328">
        <v>1593</v>
      </c>
      <c r="C2328" s="1" t="s">
        <v>99</v>
      </c>
      <c r="D2328" s="7">
        <v>45220</v>
      </c>
      <c r="E2328" s="11">
        <v>0.44097222222222221</v>
      </c>
      <c r="F2328" s="15">
        <f t="shared" si="108"/>
        <v>10</v>
      </c>
      <c r="G2328" s="10" t="str">
        <f t="shared" si="109"/>
        <v>Saturday</v>
      </c>
      <c r="H2328" s="9" t="str">
        <f t="shared" si="110"/>
        <v>October</v>
      </c>
      <c r="I2328" t="s">
        <v>97</v>
      </c>
      <c r="J2328" t="s">
        <v>73</v>
      </c>
      <c r="K2328">
        <v>414</v>
      </c>
      <c r="L2328" s="5" t="str">
        <f>IF(OR(K2328&lt;Answers!$C$16,Orders!K2328&gt;Answers!$C$17),"Yes","No")</f>
        <v>No</v>
      </c>
      <c r="M2328" s="14">
        <f>VLOOKUP(B2328,Customers!$A$1:$E$2501,4,0)</f>
        <v>34</v>
      </c>
    </row>
    <row r="2329" spans="1:13" x14ac:dyDescent="0.3">
      <c r="A2329">
        <v>1571075</v>
      </c>
      <c r="B2329">
        <v>660</v>
      </c>
      <c r="C2329" s="1" t="s">
        <v>98</v>
      </c>
      <c r="D2329" s="7">
        <v>45071</v>
      </c>
      <c r="E2329" s="11">
        <v>5.8333333333333334E-2</v>
      </c>
      <c r="F2329" s="15">
        <f t="shared" si="108"/>
        <v>5</v>
      </c>
      <c r="G2329" s="10" t="str">
        <f t="shared" si="109"/>
        <v>Thursday</v>
      </c>
      <c r="H2329" s="9" t="str">
        <f t="shared" si="110"/>
        <v>May</v>
      </c>
      <c r="I2329" t="s">
        <v>95</v>
      </c>
      <c r="J2329" t="s">
        <v>69</v>
      </c>
      <c r="K2329">
        <v>4346</v>
      </c>
      <c r="L2329" s="5" t="str">
        <f>IF(OR(K2329&lt;Answers!$C$16,Orders!K2329&gt;Answers!$C$17),"Yes","No")</f>
        <v>No</v>
      </c>
      <c r="M2329" s="14">
        <f>VLOOKUP(B2329,Customers!$A$1:$E$2501,4,0)</f>
        <v>23</v>
      </c>
    </row>
    <row r="2330" spans="1:13" x14ac:dyDescent="0.3">
      <c r="A2330">
        <v>1576077</v>
      </c>
      <c r="B2330">
        <v>1385</v>
      </c>
      <c r="C2330" s="1" t="s">
        <v>98</v>
      </c>
      <c r="D2330" s="7">
        <v>45240</v>
      </c>
      <c r="E2330" s="11">
        <v>36657</v>
      </c>
      <c r="F2330" s="15">
        <f t="shared" si="108"/>
        <v>11</v>
      </c>
      <c r="G2330" s="10" t="str">
        <f t="shared" si="109"/>
        <v>Friday</v>
      </c>
      <c r="H2330" s="9" t="str">
        <f t="shared" si="110"/>
        <v>November</v>
      </c>
      <c r="I2330" t="s">
        <v>97</v>
      </c>
      <c r="J2330" t="s">
        <v>4</v>
      </c>
      <c r="K2330">
        <v>9058</v>
      </c>
      <c r="L2330" s="5" t="str">
        <f>IF(OR(K2330&lt;Answers!$C$16,Orders!K2330&gt;Answers!$C$17),"Yes","No")</f>
        <v>No</v>
      </c>
      <c r="M2330" s="14">
        <f>VLOOKUP(B2330,Customers!$A$1:$E$2501,4,0)</f>
        <v>32</v>
      </c>
    </row>
    <row r="2331" spans="1:13" x14ac:dyDescent="0.3">
      <c r="A2331">
        <v>1576972</v>
      </c>
      <c r="B2331">
        <v>1702</v>
      </c>
      <c r="C2331" s="1" t="s">
        <v>106</v>
      </c>
      <c r="D2331" s="7">
        <v>45224</v>
      </c>
      <c r="E2331" s="11">
        <v>0.54027777777777775</v>
      </c>
      <c r="F2331" s="15">
        <f t="shared" si="108"/>
        <v>10</v>
      </c>
      <c r="G2331" s="10" t="str">
        <f t="shared" si="109"/>
        <v>Wednesday</v>
      </c>
      <c r="H2331" s="9" t="str">
        <f t="shared" si="110"/>
        <v>October</v>
      </c>
      <c r="I2331" t="s">
        <v>95</v>
      </c>
      <c r="J2331" t="s">
        <v>42</v>
      </c>
      <c r="K2331">
        <v>8340</v>
      </c>
      <c r="L2331" s="5" t="str">
        <f>IF(OR(K2331&lt;Answers!$C$16,Orders!K2331&gt;Answers!$C$17),"Yes","No")</f>
        <v>No</v>
      </c>
      <c r="M2331" s="14">
        <f>VLOOKUP(B2331,Customers!$A$1:$E$2501,4,0)</f>
        <v>26</v>
      </c>
    </row>
    <row r="2332" spans="1:13" x14ac:dyDescent="0.3">
      <c r="A2332">
        <v>1578400</v>
      </c>
      <c r="B2332">
        <v>1795</v>
      </c>
      <c r="C2332" s="1" t="s">
        <v>99</v>
      </c>
      <c r="D2332" s="7">
        <v>44938</v>
      </c>
      <c r="E2332" s="11">
        <v>36537</v>
      </c>
      <c r="F2332" s="15">
        <f t="shared" si="108"/>
        <v>1</v>
      </c>
      <c r="G2332" s="10" t="str">
        <f t="shared" si="109"/>
        <v>Thursday</v>
      </c>
      <c r="H2332" s="9" t="str">
        <f t="shared" si="110"/>
        <v>January</v>
      </c>
      <c r="I2332" t="s">
        <v>95</v>
      </c>
      <c r="J2332" t="s">
        <v>6</v>
      </c>
      <c r="K2332">
        <v>5568</v>
      </c>
      <c r="L2332" s="5" t="str">
        <f>IF(OR(K2332&lt;Answers!$C$16,Orders!K2332&gt;Answers!$C$17),"Yes","No")</f>
        <v>No</v>
      </c>
      <c r="M2332" s="14">
        <f>VLOOKUP(B2332,Customers!$A$1:$E$2501,4,0)</f>
        <v>53</v>
      </c>
    </row>
    <row r="2333" spans="1:13" x14ac:dyDescent="0.3">
      <c r="A2333">
        <v>1579155</v>
      </c>
      <c r="B2333">
        <v>796</v>
      </c>
      <c r="C2333" s="1" t="s">
        <v>101</v>
      </c>
      <c r="D2333" s="7">
        <v>44973</v>
      </c>
      <c r="E2333" s="11">
        <v>0.53749999999999998</v>
      </c>
      <c r="F2333" s="15">
        <f t="shared" si="108"/>
        <v>2</v>
      </c>
      <c r="G2333" s="10" t="str">
        <f t="shared" si="109"/>
        <v>Thursday</v>
      </c>
      <c r="H2333" s="9" t="str">
        <f t="shared" si="110"/>
        <v>February</v>
      </c>
      <c r="I2333" t="s">
        <v>96</v>
      </c>
      <c r="J2333" t="s">
        <v>7</v>
      </c>
      <c r="K2333">
        <v>799</v>
      </c>
      <c r="L2333" s="5" t="str">
        <f>IF(OR(K2333&lt;Answers!$C$16,Orders!K2333&gt;Answers!$C$17),"Yes","No")</f>
        <v>No</v>
      </c>
      <c r="M2333" s="14">
        <f>VLOOKUP(B2333,Customers!$A$1:$E$2501,4,0)</f>
        <v>27</v>
      </c>
    </row>
    <row r="2334" spans="1:13" x14ac:dyDescent="0.3">
      <c r="A2334">
        <v>1580103</v>
      </c>
      <c r="B2334">
        <v>689</v>
      </c>
      <c r="C2334" s="1" t="s">
        <v>99</v>
      </c>
      <c r="D2334" s="7">
        <v>44992</v>
      </c>
      <c r="E2334" s="11">
        <v>0.5395833333333333</v>
      </c>
      <c r="F2334" s="15">
        <f t="shared" si="108"/>
        <v>3</v>
      </c>
      <c r="G2334" s="10" t="str">
        <f t="shared" si="109"/>
        <v>Tuesday</v>
      </c>
      <c r="H2334" s="9" t="str">
        <f t="shared" si="110"/>
        <v>March</v>
      </c>
      <c r="I2334" t="s">
        <v>95</v>
      </c>
      <c r="J2334" t="s">
        <v>45</v>
      </c>
      <c r="K2334">
        <v>5667</v>
      </c>
      <c r="L2334" s="5" t="str">
        <f>IF(OR(K2334&lt;Answers!$C$16,Orders!K2334&gt;Answers!$C$17),"Yes","No")</f>
        <v>No</v>
      </c>
      <c r="M2334" s="14">
        <f>VLOOKUP(B2334,Customers!$A$1:$E$2501,4,0)</f>
        <v>41</v>
      </c>
    </row>
    <row r="2335" spans="1:13" x14ac:dyDescent="0.3">
      <c r="A2335">
        <v>1580615</v>
      </c>
      <c r="B2335">
        <v>932</v>
      </c>
      <c r="C2335" s="1" t="s">
        <v>109</v>
      </c>
      <c r="D2335" s="7">
        <v>45245</v>
      </c>
      <c r="E2335" s="11">
        <v>0.51597222222222228</v>
      </c>
      <c r="F2335" s="15">
        <f t="shared" si="108"/>
        <v>11</v>
      </c>
      <c r="G2335" s="10" t="str">
        <f t="shared" si="109"/>
        <v>Wednesday</v>
      </c>
      <c r="H2335" s="9" t="str">
        <f t="shared" si="110"/>
        <v>November</v>
      </c>
      <c r="I2335" t="s">
        <v>97</v>
      </c>
      <c r="J2335" t="s">
        <v>9</v>
      </c>
      <c r="K2335">
        <v>1629</v>
      </c>
      <c r="L2335" s="5" t="str">
        <f>IF(OR(K2335&lt;Answers!$C$16,Orders!K2335&gt;Answers!$C$17),"Yes","No")</f>
        <v>No</v>
      </c>
      <c r="M2335" s="14">
        <f>VLOOKUP(B2335,Customers!$A$1:$E$2501,4,0)</f>
        <v>61</v>
      </c>
    </row>
    <row r="2336" spans="1:13" x14ac:dyDescent="0.3">
      <c r="A2336">
        <v>1580632</v>
      </c>
      <c r="B2336">
        <v>1084</v>
      </c>
      <c r="C2336" s="1" t="s">
        <v>112</v>
      </c>
      <c r="D2336" s="7">
        <v>45216</v>
      </c>
      <c r="E2336" s="11">
        <v>36861</v>
      </c>
      <c r="F2336" s="15">
        <f t="shared" si="108"/>
        <v>10</v>
      </c>
      <c r="G2336" s="10" t="str">
        <f t="shared" si="109"/>
        <v>Tuesday</v>
      </c>
      <c r="H2336" s="9" t="str">
        <f t="shared" si="110"/>
        <v>October</v>
      </c>
      <c r="I2336" t="s">
        <v>95</v>
      </c>
      <c r="J2336" t="s">
        <v>26</v>
      </c>
      <c r="K2336">
        <v>9219</v>
      </c>
      <c r="L2336" s="5" t="str">
        <f>IF(OR(K2336&lt;Answers!$C$16,Orders!K2336&gt;Answers!$C$17),"Yes","No")</f>
        <v>No</v>
      </c>
      <c r="M2336" s="14">
        <f>VLOOKUP(B2336,Customers!$A$1:$E$2501,4,0)</f>
        <v>75</v>
      </c>
    </row>
    <row r="2337" spans="1:13" x14ac:dyDescent="0.3">
      <c r="A2337">
        <v>1580986</v>
      </c>
      <c r="B2337">
        <v>523</v>
      </c>
      <c r="C2337" s="1" t="s">
        <v>98</v>
      </c>
      <c r="D2337" s="7">
        <v>45175</v>
      </c>
      <c r="E2337" s="11">
        <v>36648</v>
      </c>
      <c r="F2337" s="15">
        <f t="shared" si="108"/>
        <v>9</v>
      </c>
      <c r="G2337" s="10" t="str">
        <f t="shared" si="109"/>
        <v>Wednesday</v>
      </c>
      <c r="H2337" s="9" t="str">
        <f t="shared" si="110"/>
        <v>September</v>
      </c>
      <c r="I2337" t="s">
        <v>97</v>
      </c>
      <c r="J2337" t="s">
        <v>12</v>
      </c>
      <c r="K2337">
        <v>438</v>
      </c>
      <c r="L2337" s="5" t="str">
        <f>IF(OR(K2337&lt;Answers!$C$16,Orders!K2337&gt;Answers!$C$17),"Yes","No")</f>
        <v>No</v>
      </c>
      <c r="M2337" s="14">
        <f>VLOOKUP(B2337,Customers!$A$1:$E$2501,4,0)</f>
        <v>26</v>
      </c>
    </row>
    <row r="2338" spans="1:13" x14ac:dyDescent="0.3">
      <c r="A2338">
        <v>1582168</v>
      </c>
      <c r="B2338">
        <v>1048</v>
      </c>
      <c r="C2338" s="1" t="s">
        <v>112</v>
      </c>
      <c r="D2338" s="7">
        <v>45254</v>
      </c>
      <c r="E2338" s="11">
        <v>0.53611111111111109</v>
      </c>
      <c r="F2338" s="15">
        <f t="shared" si="108"/>
        <v>11</v>
      </c>
      <c r="G2338" s="10" t="str">
        <f t="shared" si="109"/>
        <v>Friday</v>
      </c>
      <c r="H2338" s="9" t="str">
        <f t="shared" si="110"/>
        <v>November</v>
      </c>
      <c r="I2338" t="s">
        <v>97</v>
      </c>
      <c r="J2338" t="s">
        <v>9</v>
      </c>
      <c r="K2338">
        <v>9234</v>
      </c>
      <c r="L2338" s="5" t="str">
        <f>IF(OR(K2338&lt;Answers!$C$16,Orders!K2338&gt;Answers!$C$17),"Yes","No")</f>
        <v>No</v>
      </c>
      <c r="M2338" s="14">
        <f>VLOOKUP(B2338,Customers!$A$1:$E$2501,4,0)</f>
        <v>26</v>
      </c>
    </row>
    <row r="2339" spans="1:13" x14ac:dyDescent="0.3">
      <c r="A2339">
        <v>1582591</v>
      </c>
      <c r="B2339">
        <v>618</v>
      </c>
      <c r="C2339" s="1" t="s">
        <v>101</v>
      </c>
      <c r="D2339" s="7">
        <v>45204</v>
      </c>
      <c r="E2339" s="11">
        <v>6.5277777777777782E-2</v>
      </c>
      <c r="F2339" s="15">
        <f t="shared" si="108"/>
        <v>10</v>
      </c>
      <c r="G2339" s="10" t="str">
        <f t="shared" si="109"/>
        <v>Thursday</v>
      </c>
      <c r="H2339" s="9" t="str">
        <f t="shared" si="110"/>
        <v>October</v>
      </c>
      <c r="I2339" t="s">
        <v>96</v>
      </c>
      <c r="J2339" t="s">
        <v>14</v>
      </c>
      <c r="K2339">
        <v>6609</v>
      </c>
      <c r="L2339" s="5" t="str">
        <f>IF(OR(K2339&lt;Answers!$C$16,Orders!K2339&gt;Answers!$C$17),"Yes","No")</f>
        <v>No</v>
      </c>
      <c r="M2339" s="14">
        <f>VLOOKUP(B2339,Customers!$A$1:$E$2501,4,0)</f>
        <v>58</v>
      </c>
    </row>
    <row r="2340" spans="1:13" x14ac:dyDescent="0.3">
      <c r="A2340">
        <v>1583961</v>
      </c>
      <c r="B2340">
        <v>729</v>
      </c>
      <c r="C2340" s="1" t="s">
        <v>106</v>
      </c>
      <c r="D2340" s="7">
        <v>45052</v>
      </c>
      <c r="E2340" s="11">
        <v>0.52708333333333335</v>
      </c>
      <c r="F2340" s="15">
        <f t="shared" si="108"/>
        <v>5</v>
      </c>
      <c r="G2340" s="10" t="str">
        <f t="shared" si="109"/>
        <v>Saturday</v>
      </c>
      <c r="H2340" s="9" t="str">
        <f t="shared" si="110"/>
        <v>May</v>
      </c>
      <c r="I2340" t="s">
        <v>190</v>
      </c>
      <c r="J2340" t="s">
        <v>12</v>
      </c>
      <c r="K2340">
        <v>6820</v>
      </c>
      <c r="L2340" s="5" t="str">
        <f>IF(OR(K2340&lt;Answers!$C$16,Orders!K2340&gt;Answers!$C$17),"Yes","No")</f>
        <v>No</v>
      </c>
      <c r="M2340" s="14">
        <f>VLOOKUP(B2340,Customers!$A$1:$E$2501,4,0)</f>
        <v>66</v>
      </c>
    </row>
    <row r="2341" spans="1:13" x14ac:dyDescent="0.3">
      <c r="A2341">
        <v>1584433</v>
      </c>
      <c r="B2341">
        <v>1648</v>
      </c>
      <c r="C2341" s="1" t="s">
        <v>108</v>
      </c>
      <c r="D2341" s="7">
        <v>44930</v>
      </c>
      <c r="E2341" s="11">
        <v>7.7083333333333337E-2</v>
      </c>
      <c r="F2341" s="15">
        <f t="shared" si="108"/>
        <v>1</v>
      </c>
      <c r="G2341" s="10" t="str">
        <f t="shared" si="109"/>
        <v>Wednesday</v>
      </c>
      <c r="H2341" s="9" t="str">
        <f t="shared" si="110"/>
        <v>January</v>
      </c>
      <c r="I2341" t="s">
        <v>97</v>
      </c>
      <c r="J2341" t="s">
        <v>61</v>
      </c>
      <c r="K2341">
        <v>1991</v>
      </c>
      <c r="L2341" s="5" t="str">
        <f>IF(OR(K2341&lt;Answers!$C$16,Orders!K2341&gt;Answers!$C$17),"Yes","No")</f>
        <v>No</v>
      </c>
      <c r="M2341" s="14">
        <f>VLOOKUP(B2341,Customers!$A$1:$E$2501,4,0)</f>
        <v>78</v>
      </c>
    </row>
    <row r="2342" spans="1:13" x14ac:dyDescent="0.3">
      <c r="A2342">
        <v>1584769</v>
      </c>
      <c r="B2342">
        <v>1176</v>
      </c>
      <c r="C2342" s="1" t="s">
        <v>98</v>
      </c>
      <c r="D2342" s="7">
        <v>45207</v>
      </c>
      <c r="E2342" s="11">
        <v>0.47361111111111109</v>
      </c>
      <c r="F2342" s="15">
        <f t="shared" si="108"/>
        <v>10</v>
      </c>
      <c r="G2342" s="10" t="str">
        <f t="shared" si="109"/>
        <v>Sunday</v>
      </c>
      <c r="H2342" s="9" t="str">
        <f t="shared" si="110"/>
        <v>October</v>
      </c>
      <c r="I2342" t="s">
        <v>190</v>
      </c>
      <c r="J2342" t="s">
        <v>74</v>
      </c>
      <c r="K2342">
        <v>1945</v>
      </c>
      <c r="L2342" s="5" t="str">
        <f>IF(OR(K2342&lt;Answers!$C$16,Orders!K2342&gt;Answers!$C$17),"Yes","No")</f>
        <v>No</v>
      </c>
      <c r="M2342" s="14">
        <f>VLOOKUP(B2342,Customers!$A$1:$E$2501,4,0)</f>
        <v>89</v>
      </c>
    </row>
    <row r="2343" spans="1:13" x14ac:dyDescent="0.3">
      <c r="A2343">
        <v>1585229</v>
      </c>
      <c r="B2343">
        <v>187</v>
      </c>
      <c r="C2343" s="1" t="s">
        <v>99</v>
      </c>
      <c r="D2343" s="7">
        <v>44963</v>
      </c>
      <c r="E2343" s="11">
        <v>0.51111111111111107</v>
      </c>
      <c r="F2343" s="15">
        <f t="shared" si="108"/>
        <v>2</v>
      </c>
      <c r="G2343" s="10" t="str">
        <f t="shared" si="109"/>
        <v>Monday</v>
      </c>
      <c r="H2343" s="9" t="str">
        <f t="shared" si="110"/>
        <v>February</v>
      </c>
      <c r="I2343" t="s">
        <v>96</v>
      </c>
      <c r="J2343" t="s">
        <v>18</v>
      </c>
      <c r="K2343">
        <v>7994</v>
      </c>
      <c r="L2343" s="5" t="str">
        <f>IF(OR(K2343&lt;Answers!$C$16,Orders!K2343&gt;Answers!$C$17),"Yes","No")</f>
        <v>No</v>
      </c>
      <c r="M2343" s="14">
        <f>VLOOKUP(B2343,Customers!$A$1:$E$2501,4,0)</f>
        <v>68</v>
      </c>
    </row>
    <row r="2344" spans="1:13" x14ac:dyDescent="0.3">
      <c r="A2344">
        <v>1585349</v>
      </c>
      <c r="B2344">
        <v>716</v>
      </c>
      <c r="C2344" s="1" t="s">
        <v>112</v>
      </c>
      <c r="D2344" s="7">
        <v>44982</v>
      </c>
      <c r="E2344" s="11">
        <v>0.46736111111111112</v>
      </c>
      <c r="F2344" s="15">
        <f t="shared" si="108"/>
        <v>2</v>
      </c>
      <c r="G2344" s="10" t="str">
        <f t="shared" si="109"/>
        <v>Saturday</v>
      </c>
      <c r="H2344" s="9" t="str">
        <f t="shared" si="110"/>
        <v>February</v>
      </c>
      <c r="I2344" t="s">
        <v>96</v>
      </c>
      <c r="J2344" t="s">
        <v>19</v>
      </c>
      <c r="K2344">
        <v>9212</v>
      </c>
      <c r="L2344" s="5" t="str">
        <f>IF(OR(K2344&lt;Answers!$C$16,Orders!K2344&gt;Answers!$C$17),"Yes","No")</f>
        <v>No</v>
      </c>
      <c r="M2344" s="14">
        <f>VLOOKUP(B2344,Customers!$A$1:$E$2501,4,0)</f>
        <v>86</v>
      </c>
    </row>
    <row r="2345" spans="1:13" x14ac:dyDescent="0.3">
      <c r="A2345">
        <v>1585425</v>
      </c>
      <c r="B2345">
        <v>1009</v>
      </c>
      <c r="C2345" s="1" t="s">
        <v>98</v>
      </c>
      <c r="D2345" s="7">
        <v>45007</v>
      </c>
      <c r="E2345" s="11">
        <v>0.48125000000000001</v>
      </c>
      <c r="F2345" s="15">
        <f t="shared" si="108"/>
        <v>3</v>
      </c>
      <c r="G2345" s="10" t="str">
        <f t="shared" si="109"/>
        <v>Wednesday</v>
      </c>
      <c r="H2345" s="9" t="str">
        <f t="shared" si="110"/>
        <v>March</v>
      </c>
      <c r="I2345" t="s">
        <v>95</v>
      </c>
      <c r="J2345" t="s">
        <v>20</v>
      </c>
      <c r="K2345">
        <v>3322</v>
      </c>
      <c r="L2345" s="5" t="str">
        <f>IF(OR(K2345&lt;Answers!$C$16,Orders!K2345&gt;Answers!$C$17),"Yes","No")</f>
        <v>No</v>
      </c>
      <c r="M2345" s="14">
        <f>VLOOKUP(B2345,Customers!$A$1:$E$2501,4,0)</f>
        <v>44</v>
      </c>
    </row>
    <row r="2346" spans="1:13" x14ac:dyDescent="0.3">
      <c r="A2346">
        <v>1585483</v>
      </c>
      <c r="B2346">
        <v>1389</v>
      </c>
      <c r="C2346" s="1" t="s">
        <v>98</v>
      </c>
      <c r="D2346" s="7">
        <v>45242</v>
      </c>
      <c r="E2346" s="11">
        <v>0.52361111111111114</v>
      </c>
      <c r="F2346" s="15">
        <f t="shared" si="108"/>
        <v>11</v>
      </c>
      <c r="G2346" s="10" t="str">
        <f t="shared" si="109"/>
        <v>Sunday</v>
      </c>
      <c r="H2346" s="9" t="str">
        <f t="shared" si="110"/>
        <v>November</v>
      </c>
      <c r="I2346" t="s">
        <v>96</v>
      </c>
      <c r="J2346" t="s">
        <v>82</v>
      </c>
      <c r="K2346">
        <v>521</v>
      </c>
      <c r="L2346" s="5" t="str">
        <f>IF(OR(K2346&lt;Answers!$C$16,Orders!K2346&gt;Answers!$C$17),"Yes","No")</f>
        <v>No</v>
      </c>
      <c r="M2346" s="14">
        <f>VLOOKUP(B2346,Customers!$A$1:$E$2501,4,0)</f>
        <v>29</v>
      </c>
    </row>
    <row r="2347" spans="1:13" x14ac:dyDescent="0.3">
      <c r="A2347">
        <v>1586073</v>
      </c>
      <c r="B2347">
        <v>1330</v>
      </c>
      <c r="C2347" s="1" t="s">
        <v>100</v>
      </c>
      <c r="D2347" s="7">
        <v>45179</v>
      </c>
      <c r="E2347" s="11">
        <v>0.52777777777777779</v>
      </c>
      <c r="F2347" s="15">
        <f t="shared" si="108"/>
        <v>9</v>
      </c>
      <c r="G2347" s="10" t="str">
        <f t="shared" si="109"/>
        <v>Sunday</v>
      </c>
      <c r="H2347" s="9" t="str">
        <f t="shared" si="110"/>
        <v>September</v>
      </c>
      <c r="I2347" t="s">
        <v>96</v>
      </c>
      <c r="J2347" t="s">
        <v>48</v>
      </c>
      <c r="K2347">
        <v>9985</v>
      </c>
      <c r="L2347" s="5" t="str">
        <f>IF(OR(K2347&lt;Answers!$C$16,Orders!K2347&gt;Answers!$C$17),"Yes","No")</f>
        <v>No</v>
      </c>
      <c r="M2347" s="14">
        <f>VLOOKUP(B2347,Customers!$A$1:$E$2501,4,0)</f>
        <v>59</v>
      </c>
    </row>
    <row r="2348" spans="1:13" x14ac:dyDescent="0.3">
      <c r="A2348">
        <v>1586149</v>
      </c>
      <c r="B2348">
        <v>1596</v>
      </c>
      <c r="C2348" s="1" t="s">
        <v>98</v>
      </c>
      <c r="D2348" s="7">
        <v>45010</v>
      </c>
      <c r="E2348" s="11">
        <v>0.47847222222222224</v>
      </c>
      <c r="F2348" s="15">
        <f t="shared" si="108"/>
        <v>3</v>
      </c>
      <c r="G2348" s="10" t="str">
        <f t="shared" si="109"/>
        <v>Saturday</v>
      </c>
      <c r="H2348" s="9" t="str">
        <f t="shared" si="110"/>
        <v>March</v>
      </c>
      <c r="I2348" t="s">
        <v>96</v>
      </c>
      <c r="J2348" t="s">
        <v>22</v>
      </c>
      <c r="K2348">
        <v>5945</v>
      </c>
      <c r="L2348" s="5" t="str">
        <f>IF(OR(K2348&lt;Answers!$C$16,Orders!K2348&gt;Answers!$C$17),"Yes","No")</f>
        <v>No</v>
      </c>
      <c r="M2348" s="14">
        <f>VLOOKUP(B2348,Customers!$A$1:$E$2501,4,0)</f>
        <v>44</v>
      </c>
    </row>
    <row r="2349" spans="1:13" x14ac:dyDescent="0.3">
      <c r="A2349">
        <v>1586243</v>
      </c>
      <c r="B2349">
        <v>1472</v>
      </c>
      <c r="C2349" s="1" t="s">
        <v>98</v>
      </c>
      <c r="D2349" s="7">
        <v>45115</v>
      </c>
      <c r="E2349" s="11">
        <v>7.0833333333333331E-2</v>
      </c>
      <c r="F2349" s="15">
        <f t="shared" si="108"/>
        <v>7</v>
      </c>
      <c r="G2349" s="10" t="str">
        <f t="shared" si="109"/>
        <v>Saturday</v>
      </c>
      <c r="H2349" s="9" t="str">
        <f t="shared" si="110"/>
        <v>July</v>
      </c>
      <c r="I2349" t="s">
        <v>97</v>
      </c>
      <c r="J2349" t="s">
        <v>26</v>
      </c>
      <c r="K2349">
        <v>2468</v>
      </c>
      <c r="L2349" s="5" t="str">
        <f>IF(OR(K2349&lt;Answers!$C$16,Orders!K2349&gt;Answers!$C$17),"Yes","No")</f>
        <v>No</v>
      </c>
      <c r="M2349" s="14">
        <f>VLOOKUP(B2349,Customers!$A$1:$E$2501,4,0)</f>
        <v>83</v>
      </c>
    </row>
    <row r="2350" spans="1:13" x14ac:dyDescent="0.3">
      <c r="A2350">
        <v>1587760</v>
      </c>
      <c r="B2350">
        <v>1290</v>
      </c>
      <c r="C2350" s="1" t="s">
        <v>98</v>
      </c>
      <c r="D2350" s="7">
        <v>45262</v>
      </c>
      <c r="E2350" s="11">
        <v>0.52638888888888891</v>
      </c>
      <c r="F2350" s="15">
        <f t="shared" si="108"/>
        <v>12</v>
      </c>
      <c r="G2350" s="10" t="str">
        <f t="shared" si="109"/>
        <v>Saturday</v>
      </c>
      <c r="H2350" s="9" t="str">
        <f t="shared" si="110"/>
        <v>December</v>
      </c>
      <c r="I2350" t="s">
        <v>96</v>
      </c>
      <c r="J2350" t="s">
        <v>53</v>
      </c>
      <c r="K2350">
        <v>9238</v>
      </c>
      <c r="L2350" s="5" t="str">
        <f>IF(OR(K2350&lt;Answers!$C$16,Orders!K2350&gt;Answers!$C$17),"Yes","No")</f>
        <v>No</v>
      </c>
      <c r="M2350" s="14">
        <f>VLOOKUP(B2350,Customers!$A$1:$E$2501,4,0)</f>
        <v>31</v>
      </c>
    </row>
    <row r="2351" spans="1:13" x14ac:dyDescent="0.3">
      <c r="A2351">
        <v>1587777</v>
      </c>
      <c r="B2351">
        <v>1962</v>
      </c>
      <c r="C2351" s="1" t="s">
        <v>98</v>
      </c>
      <c r="D2351" s="7">
        <v>45271</v>
      </c>
      <c r="E2351" s="11">
        <v>36872</v>
      </c>
      <c r="F2351" s="15">
        <f t="shared" si="108"/>
        <v>12</v>
      </c>
      <c r="G2351" s="10" t="str">
        <f t="shared" si="109"/>
        <v>Monday</v>
      </c>
      <c r="H2351" s="9" t="str">
        <f t="shared" si="110"/>
        <v>December</v>
      </c>
      <c r="I2351" t="s">
        <v>96</v>
      </c>
      <c r="J2351" t="s">
        <v>17</v>
      </c>
      <c r="K2351">
        <v>9310</v>
      </c>
      <c r="L2351" s="5" t="str">
        <f>IF(OR(K2351&lt;Answers!$C$16,Orders!K2351&gt;Answers!$C$17),"Yes","No")</f>
        <v>No</v>
      </c>
      <c r="M2351" s="14">
        <f>VLOOKUP(B2351,Customers!$A$1:$E$2501,4,0)</f>
        <v>23</v>
      </c>
    </row>
    <row r="2352" spans="1:13" x14ac:dyDescent="0.3">
      <c r="A2352">
        <v>1587832</v>
      </c>
      <c r="B2352">
        <v>1483</v>
      </c>
      <c r="C2352" s="1" t="s">
        <v>98</v>
      </c>
      <c r="D2352" s="7">
        <v>45239</v>
      </c>
      <c r="E2352" s="11">
        <v>36657</v>
      </c>
      <c r="F2352" s="15">
        <f t="shared" si="108"/>
        <v>11</v>
      </c>
      <c r="G2352" s="10" t="str">
        <f t="shared" si="109"/>
        <v>Thursday</v>
      </c>
      <c r="H2352" s="9" t="str">
        <f t="shared" si="110"/>
        <v>November</v>
      </c>
      <c r="I2352" t="s">
        <v>97</v>
      </c>
      <c r="J2352" t="s">
        <v>42</v>
      </c>
      <c r="K2352">
        <v>3831</v>
      </c>
      <c r="L2352" s="5" t="str">
        <f>IF(OR(K2352&lt;Answers!$C$16,Orders!K2352&gt;Answers!$C$17),"Yes","No")</f>
        <v>No</v>
      </c>
      <c r="M2352" s="14">
        <f>VLOOKUP(B2352,Customers!$A$1:$E$2501,4,0)</f>
        <v>82</v>
      </c>
    </row>
    <row r="2353" spans="1:13" x14ac:dyDescent="0.3">
      <c r="A2353">
        <v>1587870</v>
      </c>
      <c r="B2353">
        <v>1515</v>
      </c>
      <c r="C2353" s="1" t="s">
        <v>98</v>
      </c>
      <c r="D2353" s="7">
        <v>45078</v>
      </c>
      <c r="E2353" s="11">
        <v>36688</v>
      </c>
      <c r="F2353" s="15">
        <f t="shared" si="108"/>
        <v>6</v>
      </c>
      <c r="G2353" s="10" t="str">
        <f t="shared" si="109"/>
        <v>Thursday</v>
      </c>
      <c r="H2353" s="9" t="str">
        <f t="shared" si="110"/>
        <v>June</v>
      </c>
      <c r="I2353" t="s">
        <v>97</v>
      </c>
      <c r="J2353" t="s">
        <v>25</v>
      </c>
      <c r="K2353">
        <v>3277</v>
      </c>
      <c r="L2353" s="5" t="str">
        <f>IF(OR(K2353&lt;Answers!$C$16,Orders!K2353&gt;Answers!$C$17),"Yes","No")</f>
        <v>No</v>
      </c>
      <c r="M2353" s="14">
        <f>VLOOKUP(B2353,Customers!$A$1:$E$2501,4,0)</f>
        <v>54</v>
      </c>
    </row>
    <row r="2354" spans="1:13" x14ac:dyDescent="0.3">
      <c r="A2354">
        <v>1587900</v>
      </c>
      <c r="B2354">
        <v>1466</v>
      </c>
      <c r="C2354" s="1" t="s">
        <v>110</v>
      </c>
      <c r="D2354" s="7">
        <v>45072</v>
      </c>
      <c r="E2354" s="11">
        <v>0.51249999999999996</v>
      </c>
      <c r="F2354" s="15">
        <f t="shared" si="108"/>
        <v>5</v>
      </c>
      <c r="G2354" s="10" t="str">
        <f t="shared" si="109"/>
        <v>Friday</v>
      </c>
      <c r="H2354" s="9" t="str">
        <f t="shared" si="110"/>
        <v>May</v>
      </c>
      <c r="I2354" t="s">
        <v>190</v>
      </c>
      <c r="J2354" t="s">
        <v>89</v>
      </c>
      <c r="K2354">
        <v>465</v>
      </c>
      <c r="L2354" s="5" t="str">
        <f>IF(OR(K2354&lt;Answers!$C$16,Orders!K2354&gt;Answers!$C$17),"Yes","No")</f>
        <v>No</v>
      </c>
      <c r="M2354" s="14">
        <f>VLOOKUP(B2354,Customers!$A$1:$E$2501,4,0)</f>
        <v>39</v>
      </c>
    </row>
    <row r="2355" spans="1:13" x14ac:dyDescent="0.3">
      <c r="A2355">
        <v>1589059</v>
      </c>
      <c r="B2355">
        <v>1381</v>
      </c>
      <c r="C2355" s="1" t="s">
        <v>98</v>
      </c>
      <c r="D2355" s="7">
        <v>45029</v>
      </c>
      <c r="E2355" s="11">
        <v>0.53333333333333333</v>
      </c>
      <c r="F2355" s="15">
        <f t="shared" si="108"/>
        <v>4</v>
      </c>
      <c r="G2355" s="10" t="str">
        <f t="shared" si="109"/>
        <v>Thursday</v>
      </c>
      <c r="H2355" s="9" t="str">
        <f t="shared" si="110"/>
        <v>April</v>
      </c>
      <c r="I2355" t="s">
        <v>97</v>
      </c>
      <c r="J2355" t="s">
        <v>13</v>
      </c>
      <c r="K2355">
        <v>8578</v>
      </c>
      <c r="L2355" s="5" t="str">
        <f>IF(OR(K2355&lt;Answers!$C$16,Orders!K2355&gt;Answers!$C$17),"Yes","No")</f>
        <v>No</v>
      </c>
      <c r="M2355" s="14">
        <f>VLOOKUP(B2355,Customers!$A$1:$E$2501,4,0)</f>
        <v>28</v>
      </c>
    </row>
    <row r="2356" spans="1:13" x14ac:dyDescent="0.3">
      <c r="A2356">
        <v>1589657</v>
      </c>
      <c r="B2356">
        <v>880</v>
      </c>
      <c r="C2356" s="1" t="s">
        <v>112</v>
      </c>
      <c r="D2356" s="7">
        <v>45028</v>
      </c>
      <c r="E2356" s="11">
        <v>0.48958333333333331</v>
      </c>
      <c r="F2356" s="15">
        <f t="shared" si="108"/>
        <v>4</v>
      </c>
      <c r="G2356" s="10" t="str">
        <f t="shared" si="109"/>
        <v>Wednesday</v>
      </c>
      <c r="H2356" s="9" t="str">
        <f t="shared" si="110"/>
        <v>April</v>
      </c>
      <c r="I2356" t="s">
        <v>95</v>
      </c>
      <c r="J2356" t="s">
        <v>26</v>
      </c>
      <c r="K2356">
        <v>3223</v>
      </c>
      <c r="L2356" s="5" t="str">
        <f>IF(OR(K2356&lt;Answers!$C$16,Orders!K2356&gt;Answers!$C$17),"Yes","No")</f>
        <v>No</v>
      </c>
      <c r="M2356" s="14">
        <f>VLOOKUP(B2356,Customers!$A$1:$E$2501,4,0)</f>
        <v>44</v>
      </c>
    </row>
    <row r="2357" spans="1:13" x14ac:dyDescent="0.3">
      <c r="A2357">
        <v>1589664</v>
      </c>
      <c r="B2357">
        <v>98</v>
      </c>
      <c r="C2357" s="1" t="s">
        <v>107</v>
      </c>
      <c r="D2357" s="7">
        <v>45217</v>
      </c>
      <c r="E2357" s="11">
        <v>6.8750000000000006E-2</v>
      </c>
      <c r="F2357" s="15">
        <f t="shared" si="108"/>
        <v>10</v>
      </c>
      <c r="G2357" s="10" t="str">
        <f t="shared" si="109"/>
        <v>Wednesday</v>
      </c>
      <c r="H2357" s="9" t="str">
        <f t="shared" si="110"/>
        <v>October</v>
      </c>
      <c r="I2357" t="s">
        <v>97</v>
      </c>
      <c r="J2357" t="s">
        <v>53</v>
      </c>
      <c r="K2357">
        <v>9044</v>
      </c>
      <c r="L2357" s="5" t="str">
        <f>IF(OR(K2357&lt;Answers!$C$16,Orders!K2357&gt;Answers!$C$17),"Yes","No")</f>
        <v>No</v>
      </c>
      <c r="M2357" s="14">
        <f>VLOOKUP(B2357,Customers!$A$1:$E$2501,4,0)</f>
        <v>35</v>
      </c>
    </row>
    <row r="2358" spans="1:13" x14ac:dyDescent="0.3">
      <c r="A2358">
        <v>1590156</v>
      </c>
      <c r="B2358">
        <v>131</v>
      </c>
      <c r="C2358" s="1" t="s">
        <v>106</v>
      </c>
      <c r="D2358" s="7">
        <v>45015</v>
      </c>
      <c r="E2358" s="11">
        <v>0.49027777777777776</v>
      </c>
      <c r="F2358" s="15">
        <f t="shared" si="108"/>
        <v>3</v>
      </c>
      <c r="G2358" s="10" t="str">
        <f t="shared" si="109"/>
        <v>Thursday</v>
      </c>
      <c r="H2358" s="9" t="str">
        <f t="shared" si="110"/>
        <v>March</v>
      </c>
      <c r="I2358" t="s">
        <v>96</v>
      </c>
      <c r="J2358" t="s">
        <v>26</v>
      </c>
      <c r="K2358">
        <v>8404</v>
      </c>
      <c r="L2358" s="5" t="str">
        <f>IF(OR(K2358&lt;Answers!$C$16,Orders!K2358&gt;Answers!$C$17),"Yes","No")</f>
        <v>No</v>
      </c>
      <c r="M2358" s="14">
        <f>VLOOKUP(B2358,Customers!$A$1:$E$2501,4,0)</f>
        <v>90</v>
      </c>
    </row>
    <row r="2359" spans="1:13" x14ac:dyDescent="0.3">
      <c r="A2359">
        <v>1592825</v>
      </c>
      <c r="B2359">
        <v>1447</v>
      </c>
      <c r="C2359" s="1" t="s">
        <v>105</v>
      </c>
      <c r="D2359" s="7">
        <v>45113</v>
      </c>
      <c r="E2359" s="11">
        <v>5.7638888888888892E-2</v>
      </c>
      <c r="F2359" s="15">
        <f t="shared" si="108"/>
        <v>7</v>
      </c>
      <c r="G2359" s="10" t="str">
        <f t="shared" si="109"/>
        <v>Thursday</v>
      </c>
      <c r="H2359" s="9" t="str">
        <f t="shared" si="110"/>
        <v>July</v>
      </c>
      <c r="I2359" t="s">
        <v>96</v>
      </c>
      <c r="J2359" t="s">
        <v>8</v>
      </c>
      <c r="K2359">
        <v>7216</v>
      </c>
      <c r="L2359" s="5" t="str">
        <f>IF(OR(K2359&lt;Answers!$C$16,Orders!K2359&gt;Answers!$C$17),"Yes","No")</f>
        <v>No</v>
      </c>
      <c r="M2359" s="14">
        <f>VLOOKUP(B2359,Customers!$A$1:$E$2501,4,0)</f>
        <v>20</v>
      </c>
    </row>
    <row r="2360" spans="1:13" x14ac:dyDescent="0.3">
      <c r="A2360">
        <v>1594427</v>
      </c>
      <c r="B2360">
        <v>822</v>
      </c>
      <c r="C2360" s="1" t="s">
        <v>98</v>
      </c>
      <c r="D2360" s="7">
        <v>45272</v>
      </c>
      <c r="E2360" s="11">
        <v>0.44930555555555557</v>
      </c>
      <c r="F2360" s="15">
        <f t="shared" si="108"/>
        <v>12</v>
      </c>
      <c r="G2360" s="10" t="str">
        <f t="shared" si="109"/>
        <v>Tuesday</v>
      </c>
      <c r="H2360" s="9" t="str">
        <f t="shared" si="110"/>
        <v>December</v>
      </c>
      <c r="I2360" t="s">
        <v>96</v>
      </c>
      <c r="J2360" t="s">
        <v>35</v>
      </c>
      <c r="K2360">
        <v>4417</v>
      </c>
      <c r="L2360" s="5" t="str">
        <f>IF(OR(K2360&lt;Answers!$C$16,Orders!K2360&gt;Answers!$C$17),"Yes","No")</f>
        <v>No</v>
      </c>
      <c r="M2360" s="14">
        <f>VLOOKUP(B2360,Customers!$A$1:$E$2501,4,0)</f>
        <v>18</v>
      </c>
    </row>
    <row r="2361" spans="1:13" x14ac:dyDescent="0.3">
      <c r="A2361">
        <v>1594617</v>
      </c>
      <c r="B2361">
        <v>1747</v>
      </c>
      <c r="C2361" s="1" t="s">
        <v>98</v>
      </c>
      <c r="D2361" s="7">
        <v>45062</v>
      </c>
      <c r="E2361" s="11">
        <v>0.53263888888888888</v>
      </c>
      <c r="F2361" s="15">
        <f t="shared" si="108"/>
        <v>5</v>
      </c>
      <c r="G2361" s="10" t="str">
        <f t="shared" si="109"/>
        <v>Tuesday</v>
      </c>
      <c r="H2361" s="9" t="str">
        <f t="shared" si="110"/>
        <v>May</v>
      </c>
      <c r="I2361" t="s">
        <v>96</v>
      </c>
      <c r="J2361" t="s">
        <v>47</v>
      </c>
      <c r="K2361">
        <v>4361</v>
      </c>
      <c r="L2361" s="5" t="str">
        <f>IF(OR(K2361&lt;Answers!$C$16,Orders!K2361&gt;Answers!$C$17),"Yes","No")</f>
        <v>No</v>
      </c>
      <c r="M2361" s="14">
        <f>VLOOKUP(B2361,Customers!$A$1:$E$2501,4,0)</f>
        <v>61</v>
      </c>
    </row>
    <row r="2362" spans="1:13" x14ac:dyDescent="0.3">
      <c r="A2362">
        <v>1594721</v>
      </c>
      <c r="B2362">
        <v>1894</v>
      </c>
      <c r="C2362" s="1" t="s">
        <v>104</v>
      </c>
      <c r="D2362" s="7">
        <v>45123</v>
      </c>
      <c r="E2362" s="11">
        <v>0.49652777777777779</v>
      </c>
      <c r="F2362" s="15">
        <f t="shared" si="108"/>
        <v>7</v>
      </c>
      <c r="G2362" s="10" t="str">
        <f t="shared" si="109"/>
        <v>Sunday</v>
      </c>
      <c r="H2362" s="9" t="str">
        <f t="shared" si="110"/>
        <v>July</v>
      </c>
      <c r="I2362" t="s">
        <v>95</v>
      </c>
      <c r="J2362" t="s">
        <v>13</v>
      </c>
      <c r="K2362">
        <v>5493</v>
      </c>
      <c r="L2362" s="5" t="str">
        <f>IF(OR(K2362&lt;Answers!$C$16,Orders!K2362&gt;Answers!$C$17),"Yes","No")</f>
        <v>No</v>
      </c>
      <c r="M2362" s="14">
        <f>VLOOKUP(B2362,Customers!$A$1:$E$2501,4,0)</f>
        <v>69</v>
      </c>
    </row>
    <row r="2363" spans="1:13" x14ac:dyDescent="0.3">
      <c r="A2363">
        <v>1594992</v>
      </c>
      <c r="B2363">
        <v>114</v>
      </c>
      <c r="C2363" s="1" t="s">
        <v>98</v>
      </c>
      <c r="D2363" s="7">
        <v>45270</v>
      </c>
      <c r="E2363" s="11">
        <v>0.47083333333333333</v>
      </c>
      <c r="F2363" s="15">
        <f t="shared" si="108"/>
        <v>12</v>
      </c>
      <c r="G2363" s="10" t="str">
        <f t="shared" si="109"/>
        <v>Sunday</v>
      </c>
      <c r="H2363" s="9" t="str">
        <f t="shared" si="110"/>
        <v>December</v>
      </c>
      <c r="I2363" t="s">
        <v>96</v>
      </c>
      <c r="J2363" t="s">
        <v>60</v>
      </c>
      <c r="K2363">
        <v>1650</v>
      </c>
      <c r="L2363" s="5" t="str">
        <f>IF(OR(K2363&lt;Answers!$C$16,Orders!K2363&gt;Answers!$C$17),"Yes","No")</f>
        <v>No</v>
      </c>
      <c r="M2363" s="14">
        <f>VLOOKUP(B2363,Customers!$A$1:$E$2501,4,0)</f>
        <v>38</v>
      </c>
    </row>
    <row r="2364" spans="1:13" x14ac:dyDescent="0.3">
      <c r="A2364">
        <v>1595227</v>
      </c>
      <c r="B2364">
        <v>441</v>
      </c>
      <c r="C2364" s="1" t="s">
        <v>98</v>
      </c>
      <c r="D2364" s="7">
        <v>45121</v>
      </c>
      <c r="E2364" s="11">
        <v>0.53333333333333333</v>
      </c>
      <c r="F2364" s="15">
        <f t="shared" si="108"/>
        <v>7</v>
      </c>
      <c r="G2364" s="10" t="str">
        <f t="shared" si="109"/>
        <v>Friday</v>
      </c>
      <c r="H2364" s="9" t="str">
        <f t="shared" si="110"/>
        <v>July</v>
      </c>
      <c r="I2364" t="s">
        <v>190</v>
      </c>
      <c r="J2364" t="s">
        <v>64</v>
      </c>
      <c r="K2364">
        <v>4974</v>
      </c>
      <c r="L2364" s="5" t="str">
        <f>IF(OR(K2364&lt;Answers!$C$16,Orders!K2364&gt;Answers!$C$17),"Yes","No")</f>
        <v>No</v>
      </c>
      <c r="M2364" s="14">
        <f>VLOOKUP(B2364,Customers!$A$1:$E$2501,4,0)</f>
        <v>77</v>
      </c>
    </row>
    <row r="2365" spans="1:13" x14ac:dyDescent="0.3">
      <c r="A2365">
        <v>1595262</v>
      </c>
      <c r="B2365">
        <v>1837</v>
      </c>
      <c r="C2365" s="1" t="s">
        <v>109</v>
      </c>
      <c r="D2365" s="7">
        <v>45189</v>
      </c>
      <c r="E2365" s="11">
        <v>0.47986111111111113</v>
      </c>
      <c r="F2365" s="15">
        <f t="shared" si="108"/>
        <v>9</v>
      </c>
      <c r="G2365" s="10" t="str">
        <f t="shared" si="109"/>
        <v>Wednesday</v>
      </c>
      <c r="H2365" s="9" t="str">
        <f t="shared" si="110"/>
        <v>September</v>
      </c>
      <c r="I2365" t="s">
        <v>95</v>
      </c>
      <c r="J2365" t="s">
        <v>26</v>
      </c>
      <c r="K2365">
        <v>8118</v>
      </c>
      <c r="L2365" s="5" t="str">
        <f>IF(OR(K2365&lt;Answers!$C$16,Orders!K2365&gt;Answers!$C$17),"Yes","No")</f>
        <v>No</v>
      </c>
      <c r="M2365" s="14">
        <f>VLOOKUP(B2365,Customers!$A$1:$E$2501,4,0)</f>
        <v>87</v>
      </c>
    </row>
    <row r="2366" spans="1:13" x14ac:dyDescent="0.3">
      <c r="A2366">
        <v>1597150</v>
      </c>
      <c r="B2366">
        <v>1599</v>
      </c>
      <c r="C2366" s="1" t="s">
        <v>98</v>
      </c>
      <c r="D2366" s="7">
        <v>45242</v>
      </c>
      <c r="E2366" s="11">
        <v>0.5131944444444444</v>
      </c>
      <c r="F2366" s="15">
        <f t="shared" si="108"/>
        <v>11</v>
      </c>
      <c r="G2366" s="10" t="str">
        <f t="shared" si="109"/>
        <v>Sunday</v>
      </c>
      <c r="H2366" s="9" t="str">
        <f t="shared" si="110"/>
        <v>November</v>
      </c>
      <c r="I2366" t="s">
        <v>190</v>
      </c>
      <c r="J2366" t="s">
        <v>17</v>
      </c>
      <c r="K2366">
        <v>3756</v>
      </c>
      <c r="L2366" s="5" t="str">
        <f>IF(OR(K2366&lt;Answers!$C$16,Orders!K2366&gt;Answers!$C$17),"Yes","No")</f>
        <v>No</v>
      </c>
      <c r="M2366" s="14">
        <f>VLOOKUP(B2366,Customers!$A$1:$E$2501,4,0)</f>
        <v>81</v>
      </c>
    </row>
    <row r="2367" spans="1:13" x14ac:dyDescent="0.3">
      <c r="A2367">
        <v>1598652</v>
      </c>
      <c r="B2367">
        <v>191</v>
      </c>
      <c r="C2367" s="1" t="s">
        <v>108</v>
      </c>
      <c r="D2367" s="7">
        <v>45225</v>
      </c>
      <c r="E2367" s="11">
        <v>0.48055555555555557</v>
      </c>
      <c r="F2367" s="15">
        <f t="shared" si="108"/>
        <v>10</v>
      </c>
      <c r="G2367" s="10" t="str">
        <f t="shared" si="109"/>
        <v>Thursday</v>
      </c>
      <c r="H2367" s="9" t="str">
        <f t="shared" si="110"/>
        <v>October</v>
      </c>
      <c r="I2367" t="s">
        <v>96</v>
      </c>
      <c r="J2367" t="s">
        <v>88</v>
      </c>
      <c r="K2367">
        <v>2084</v>
      </c>
      <c r="L2367" s="5" t="str">
        <f>IF(OR(K2367&lt;Answers!$C$16,Orders!K2367&gt;Answers!$C$17),"Yes","No")</f>
        <v>No</v>
      </c>
      <c r="M2367" s="14">
        <f>VLOOKUP(B2367,Customers!$A$1:$E$2501,4,0)</f>
        <v>23</v>
      </c>
    </row>
    <row r="2368" spans="1:13" x14ac:dyDescent="0.3">
      <c r="A2368">
        <v>1599039</v>
      </c>
      <c r="B2368">
        <v>1483</v>
      </c>
      <c r="C2368" s="1" t="s">
        <v>98</v>
      </c>
      <c r="D2368" s="7">
        <v>44949</v>
      </c>
      <c r="E2368" s="11">
        <v>0.45416666666666666</v>
      </c>
      <c r="F2368" s="15">
        <f t="shared" si="108"/>
        <v>1</v>
      </c>
      <c r="G2368" s="10" t="str">
        <f t="shared" si="109"/>
        <v>Monday</v>
      </c>
      <c r="H2368" s="9" t="str">
        <f t="shared" si="110"/>
        <v>January</v>
      </c>
      <c r="I2368" t="s">
        <v>190</v>
      </c>
      <c r="J2368" t="s">
        <v>92</v>
      </c>
      <c r="K2368">
        <v>9658</v>
      </c>
      <c r="L2368" s="5" t="str">
        <f>IF(OR(K2368&lt;Answers!$C$16,Orders!K2368&gt;Answers!$C$17),"Yes","No")</f>
        <v>No</v>
      </c>
      <c r="M2368" s="14">
        <f>VLOOKUP(B2368,Customers!$A$1:$E$2501,4,0)</f>
        <v>82</v>
      </c>
    </row>
    <row r="2369" spans="1:13" x14ac:dyDescent="0.3">
      <c r="A2369">
        <v>1599499</v>
      </c>
      <c r="B2369">
        <v>427</v>
      </c>
      <c r="C2369" s="1" t="s">
        <v>112</v>
      </c>
      <c r="D2369" s="7">
        <v>44998</v>
      </c>
      <c r="E2369" s="11">
        <v>0.49375000000000002</v>
      </c>
      <c r="F2369" s="15">
        <f t="shared" si="108"/>
        <v>3</v>
      </c>
      <c r="G2369" s="10" t="str">
        <f t="shared" si="109"/>
        <v>Monday</v>
      </c>
      <c r="H2369" s="9" t="str">
        <f t="shared" si="110"/>
        <v>March</v>
      </c>
      <c r="I2369" t="s">
        <v>97</v>
      </c>
      <c r="J2369" t="s">
        <v>50</v>
      </c>
      <c r="K2369">
        <v>3608</v>
      </c>
      <c r="L2369" s="5" t="str">
        <f>IF(OR(K2369&lt;Answers!$C$16,Orders!K2369&gt;Answers!$C$17),"Yes","No")</f>
        <v>No</v>
      </c>
      <c r="M2369" s="14">
        <f>VLOOKUP(B2369,Customers!$A$1:$E$2501,4,0)</f>
        <v>59</v>
      </c>
    </row>
    <row r="2370" spans="1:13" x14ac:dyDescent="0.3">
      <c r="A2370">
        <v>1599786</v>
      </c>
      <c r="B2370">
        <v>821</v>
      </c>
      <c r="C2370" s="1" t="s">
        <v>106</v>
      </c>
      <c r="D2370" s="7">
        <v>44945</v>
      </c>
      <c r="E2370" s="11">
        <v>0.47569444444444442</v>
      </c>
      <c r="F2370" s="15">
        <f t="shared" si="108"/>
        <v>1</v>
      </c>
      <c r="G2370" s="10" t="str">
        <f t="shared" si="109"/>
        <v>Thursday</v>
      </c>
      <c r="H2370" s="9" t="str">
        <f t="shared" si="110"/>
        <v>January</v>
      </c>
      <c r="I2370" t="s">
        <v>96</v>
      </c>
      <c r="J2370" t="s">
        <v>62</v>
      </c>
      <c r="K2370">
        <v>480</v>
      </c>
      <c r="L2370" s="5" t="str">
        <f>IF(OR(K2370&lt;Answers!$C$16,Orders!K2370&gt;Answers!$C$17),"Yes","No")</f>
        <v>No</v>
      </c>
      <c r="M2370" s="14">
        <f>VLOOKUP(B2370,Customers!$A$1:$E$2501,4,0)</f>
        <v>53</v>
      </c>
    </row>
    <row r="2371" spans="1:13" x14ac:dyDescent="0.3">
      <c r="A2371">
        <v>1600216</v>
      </c>
      <c r="B2371">
        <v>314</v>
      </c>
      <c r="C2371" s="1" t="s">
        <v>104</v>
      </c>
      <c r="D2371" s="7">
        <v>45249</v>
      </c>
      <c r="E2371" s="11">
        <v>0.51041666666666663</v>
      </c>
      <c r="F2371" s="15">
        <f t="shared" ref="F2371:F2434" si="111">MONTH(D2371)</f>
        <v>11</v>
      </c>
      <c r="G2371" s="10" t="str">
        <f t="shared" ref="G2371:G2434" si="112">TEXT(D2371,"dddd")</f>
        <v>Sunday</v>
      </c>
      <c r="H2371" s="9" t="str">
        <f t="shared" ref="H2371:H2434" si="113">TEXT(D2371,"mmmm")</f>
        <v>November</v>
      </c>
      <c r="I2371" t="s">
        <v>96</v>
      </c>
      <c r="J2371" t="s">
        <v>89</v>
      </c>
      <c r="K2371">
        <v>8607</v>
      </c>
      <c r="L2371" s="5" t="str">
        <f>IF(OR(K2371&lt;Answers!$C$16,Orders!K2371&gt;Answers!$C$17),"Yes","No")</f>
        <v>No</v>
      </c>
      <c r="M2371" s="14">
        <f>VLOOKUP(B2371,Customers!$A$1:$E$2501,4,0)</f>
        <v>38</v>
      </c>
    </row>
    <row r="2372" spans="1:13" x14ac:dyDescent="0.3">
      <c r="A2372">
        <v>1602189</v>
      </c>
      <c r="B2372">
        <v>676</v>
      </c>
      <c r="C2372" s="1" t="s">
        <v>112</v>
      </c>
      <c r="D2372" s="7">
        <v>45116</v>
      </c>
      <c r="E2372" s="11">
        <v>0.53611111111111109</v>
      </c>
      <c r="F2372" s="15">
        <f t="shared" si="111"/>
        <v>7</v>
      </c>
      <c r="G2372" s="10" t="str">
        <f t="shared" si="112"/>
        <v>Sunday</v>
      </c>
      <c r="H2372" s="9" t="str">
        <f t="shared" si="113"/>
        <v>July</v>
      </c>
      <c r="I2372" t="s">
        <v>96</v>
      </c>
      <c r="J2372" t="s">
        <v>56</v>
      </c>
      <c r="K2372">
        <v>179</v>
      </c>
      <c r="L2372" s="5" t="str">
        <f>IF(OR(K2372&lt;Answers!$C$16,Orders!K2372&gt;Answers!$C$17),"Yes","No")</f>
        <v>No</v>
      </c>
      <c r="M2372" s="14">
        <f>VLOOKUP(B2372,Customers!$A$1:$E$2501,4,0)</f>
        <v>74</v>
      </c>
    </row>
    <row r="2373" spans="1:13" x14ac:dyDescent="0.3">
      <c r="A2373">
        <v>1604175</v>
      </c>
      <c r="B2373">
        <v>265</v>
      </c>
      <c r="C2373" s="1" t="s">
        <v>100</v>
      </c>
      <c r="D2373" s="7">
        <v>45046</v>
      </c>
      <c r="E2373" s="11">
        <v>0.51180555555555551</v>
      </c>
      <c r="F2373" s="15">
        <f t="shared" si="111"/>
        <v>4</v>
      </c>
      <c r="G2373" s="10" t="str">
        <f t="shared" si="112"/>
        <v>Sunday</v>
      </c>
      <c r="H2373" s="9" t="str">
        <f t="shared" si="113"/>
        <v>April</v>
      </c>
      <c r="I2373" t="s">
        <v>97</v>
      </c>
      <c r="J2373" t="s">
        <v>91</v>
      </c>
      <c r="K2373">
        <v>5731</v>
      </c>
      <c r="L2373" s="5" t="str">
        <f>IF(OR(K2373&lt;Answers!$C$16,Orders!K2373&gt;Answers!$C$17),"Yes","No")</f>
        <v>No</v>
      </c>
      <c r="M2373" s="14">
        <f>VLOOKUP(B2373,Customers!$A$1:$E$2501,4,0)</f>
        <v>66</v>
      </c>
    </row>
    <row r="2374" spans="1:13" x14ac:dyDescent="0.3">
      <c r="A2374">
        <v>1604289</v>
      </c>
      <c r="B2374">
        <v>214</v>
      </c>
      <c r="C2374" s="1" t="s">
        <v>98</v>
      </c>
      <c r="D2374" s="7">
        <v>45031</v>
      </c>
      <c r="E2374" s="11">
        <v>8.1944444444444445E-2</v>
      </c>
      <c r="F2374" s="15">
        <f t="shared" si="111"/>
        <v>4</v>
      </c>
      <c r="G2374" s="10" t="str">
        <f t="shared" si="112"/>
        <v>Saturday</v>
      </c>
      <c r="H2374" s="9" t="str">
        <f t="shared" si="113"/>
        <v>April</v>
      </c>
      <c r="I2374" t="s">
        <v>97</v>
      </c>
      <c r="J2374" t="s">
        <v>23</v>
      </c>
      <c r="K2374">
        <v>9600</v>
      </c>
      <c r="L2374" s="5" t="str">
        <f>IF(OR(K2374&lt;Answers!$C$16,Orders!K2374&gt;Answers!$C$17),"Yes","No")</f>
        <v>No</v>
      </c>
      <c r="M2374" s="14">
        <f>VLOOKUP(B2374,Customers!$A$1:$E$2501,4,0)</f>
        <v>18</v>
      </c>
    </row>
    <row r="2375" spans="1:13" x14ac:dyDescent="0.3">
      <c r="A2375">
        <v>1604334</v>
      </c>
      <c r="B2375">
        <v>1237</v>
      </c>
      <c r="C2375" s="1" t="s">
        <v>98</v>
      </c>
      <c r="D2375" s="7">
        <v>45277</v>
      </c>
      <c r="E2375" s="11">
        <v>0.48055555555555557</v>
      </c>
      <c r="F2375" s="15">
        <f t="shared" si="111"/>
        <v>12</v>
      </c>
      <c r="G2375" s="10" t="str">
        <f t="shared" si="112"/>
        <v>Sunday</v>
      </c>
      <c r="H2375" s="9" t="str">
        <f t="shared" si="113"/>
        <v>December</v>
      </c>
      <c r="I2375" t="s">
        <v>190</v>
      </c>
      <c r="J2375" t="s">
        <v>17</v>
      </c>
      <c r="K2375">
        <v>4433</v>
      </c>
      <c r="L2375" s="5" t="str">
        <f>IF(OR(K2375&lt;Answers!$C$16,Orders!K2375&gt;Answers!$C$17),"Yes","No")</f>
        <v>No</v>
      </c>
      <c r="M2375" s="14">
        <f>VLOOKUP(B2375,Customers!$A$1:$E$2501,4,0)</f>
        <v>87</v>
      </c>
    </row>
    <row r="2376" spans="1:13" x14ac:dyDescent="0.3">
      <c r="A2376">
        <v>1605621</v>
      </c>
      <c r="B2376">
        <v>98</v>
      </c>
      <c r="C2376" s="1" t="s">
        <v>107</v>
      </c>
      <c r="D2376" s="7">
        <v>45174</v>
      </c>
      <c r="E2376" s="11">
        <v>6.458333333333334E-2</v>
      </c>
      <c r="F2376" s="15">
        <f t="shared" si="111"/>
        <v>9</v>
      </c>
      <c r="G2376" s="10" t="str">
        <f t="shared" si="112"/>
        <v>Tuesday</v>
      </c>
      <c r="H2376" s="9" t="str">
        <f t="shared" si="113"/>
        <v>September</v>
      </c>
      <c r="I2376" t="s">
        <v>96</v>
      </c>
      <c r="J2376" t="s">
        <v>24</v>
      </c>
      <c r="K2376">
        <v>4118</v>
      </c>
      <c r="L2376" s="5" t="str">
        <f>IF(OR(K2376&lt;Answers!$C$16,Orders!K2376&gt;Answers!$C$17),"Yes","No")</f>
        <v>No</v>
      </c>
      <c r="M2376" s="14">
        <f>VLOOKUP(B2376,Customers!$A$1:$E$2501,4,0)</f>
        <v>35</v>
      </c>
    </row>
    <row r="2377" spans="1:13" x14ac:dyDescent="0.3">
      <c r="A2377">
        <v>1605700</v>
      </c>
      <c r="B2377">
        <v>1574</v>
      </c>
      <c r="C2377" s="1" t="s">
        <v>103</v>
      </c>
      <c r="D2377" s="7">
        <v>44966</v>
      </c>
      <c r="E2377" s="11">
        <v>4.1666666666666664E-2</v>
      </c>
      <c r="F2377" s="15">
        <f t="shared" si="111"/>
        <v>2</v>
      </c>
      <c r="G2377" s="10" t="str">
        <f t="shared" si="112"/>
        <v>Thursday</v>
      </c>
      <c r="H2377" s="9" t="str">
        <f t="shared" si="113"/>
        <v>February</v>
      </c>
      <c r="I2377" t="s">
        <v>95</v>
      </c>
      <c r="J2377" t="s">
        <v>4</v>
      </c>
      <c r="K2377">
        <v>2305</v>
      </c>
      <c r="L2377" s="5" t="str">
        <f>IF(OR(K2377&lt;Answers!$C$16,Orders!K2377&gt;Answers!$C$17),"Yes","No")</f>
        <v>No</v>
      </c>
      <c r="M2377" s="14">
        <f>VLOOKUP(B2377,Customers!$A$1:$E$2501,4,0)</f>
        <v>36</v>
      </c>
    </row>
    <row r="2378" spans="1:13" x14ac:dyDescent="0.3">
      <c r="A2378">
        <v>1605731</v>
      </c>
      <c r="B2378">
        <v>564</v>
      </c>
      <c r="C2378" s="1" t="s">
        <v>98</v>
      </c>
      <c r="D2378" s="7">
        <v>45101</v>
      </c>
      <c r="E2378" s="11">
        <v>36568</v>
      </c>
      <c r="F2378" s="15">
        <f t="shared" si="111"/>
        <v>6</v>
      </c>
      <c r="G2378" s="10" t="str">
        <f t="shared" si="112"/>
        <v>Saturday</v>
      </c>
      <c r="H2378" s="9" t="str">
        <f t="shared" si="113"/>
        <v>June</v>
      </c>
      <c r="I2378" t="s">
        <v>190</v>
      </c>
      <c r="J2378" t="s">
        <v>15</v>
      </c>
      <c r="K2378">
        <v>6271</v>
      </c>
      <c r="L2378" s="5" t="str">
        <f>IF(OR(K2378&lt;Answers!$C$16,Orders!K2378&gt;Answers!$C$17),"Yes","No")</f>
        <v>No</v>
      </c>
      <c r="M2378" s="14">
        <f>VLOOKUP(B2378,Customers!$A$1:$E$2501,4,0)</f>
        <v>83</v>
      </c>
    </row>
    <row r="2379" spans="1:13" x14ac:dyDescent="0.3">
      <c r="A2379">
        <v>1605754</v>
      </c>
      <c r="B2379">
        <v>1734</v>
      </c>
      <c r="C2379" s="1" t="s">
        <v>98</v>
      </c>
      <c r="D2379" s="7">
        <v>45086</v>
      </c>
      <c r="E2379" s="11">
        <v>5.2777777777777778E-2</v>
      </c>
      <c r="F2379" s="15">
        <f t="shared" si="111"/>
        <v>6</v>
      </c>
      <c r="G2379" s="10" t="str">
        <f t="shared" si="112"/>
        <v>Friday</v>
      </c>
      <c r="H2379" s="9" t="str">
        <f t="shared" si="113"/>
        <v>June</v>
      </c>
      <c r="I2379" t="s">
        <v>190</v>
      </c>
      <c r="J2379" t="s">
        <v>73</v>
      </c>
      <c r="K2379">
        <v>504</v>
      </c>
      <c r="L2379" s="5" t="str">
        <f>IF(OR(K2379&lt;Answers!$C$16,Orders!K2379&gt;Answers!$C$17),"Yes","No")</f>
        <v>No</v>
      </c>
      <c r="M2379" s="14">
        <f>VLOOKUP(B2379,Customers!$A$1:$E$2501,4,0)</f>
        <v>62</v>
      </c>
    </row>
    <row r="2380" spans="1:13" x14ac:dyDescent="0.3">
      <c r="A2380">
        <v>1607015</v>
      </c>
      <c r="B2380">
        <v>1741</v>
      </c>
      <c r="C2380" s="1" t="s">
        <v>98</v>
      </c>
      <c r="D2380" s="7">
        <v>45286</v>
      </c>
      <c r="E2380" s="11">
        <v>36739</v>
      </c>
      <c r="F2380" s="15">
        <f t="shared" si="111"/>
        <v>12</v>
      </c>
      <c r="G2380" s="10" t="str">
        <f t="shared" si="112"/>
        <v>Tuesday</v>
      </c>
      <c r="H2380" s="9" t="str">
        <f t="shared" si="113"/>
        <v>December</v>
      </c>
      <c r="I2380" t="s">
        <v>190</v>
      </c>
      <c r="J2380" t="s">
        <v>26</v>
      </c>
      <c r="K2380">
        <v>4369</v>
      </c>
      <c r="L2380" s="5" t="str">
        <f>IF(OR(K2380&lt;Answers!$C$16,Orders!K2380&gt;Answers!$C$17),"Yes","No")</f>
        <v>No</v>
      </c>
      <c r="M2380" s="14">
        <f>VLOOKUP(B2380,Customers!$A$1:$E$2501,4,0)</f>
        <v>71</v>
      </c>
    </row>
    <row r="2381" spans="1:13" x14ac:dyDescent="0.3">
      <c r="A2381">
        <v>1607569</v>
      </c>
      <c r="B2381">
        <v>1930</v>
      </c>
      <c r="C2381" s="1" t="s">
        <v>98</v>
      </c>
      <c r="D2381" s="7">
        <v>45176</v>
      </c>
      <c r="E2381" s="11">
        <v>0.4909722222222222</v>
      </c>
      <c r="F2381" s="15">
        <f t="shared" si="111"/>
        <v>9</v>
      </c>
      <c r="G2381" s="10" t="str">
        <f t="shared" si="112"/>
        <v>Thursday</v>
      </c>
      <c r="H2381" s="9" t="str">
        <f t="shared" si="113"/>
        <v>September</v>
      </c>
      <c r="I2381" t="s">
        <v>97</v>
      </c>
      <c r="J2381" t="s">
        <v>30</v>
      </c>
      <c r="K2381">
        <v>1307</v>
      </c>
      <c r="L2381" s="5" t="str">
        <f>IF(OR(K2381&lt;Answers!$C$16,Orders!K2381&gt;Answers!$C$17),"Yes","No")</f>
        <v>No</v>
      </c>
      <c r="M2381" s="14">
        <f>VLOOKUP(B2381,Customers!$A$1:$E$2501,4,0)</f>
        <v>40</v>
      </c>
    </row>
    <row r="2382" spans="1:13" x14ac:dyDescent="0.3">
      <c r="A2382">
        <v>1608036</v>
      </c>
      <c r="B2382">
        <v>1794</v>
      </c>
      <c r="C2382" s="1" t="s">
        <v>100</v>
      </c>
      <c r="D2382" s="7">
        <v>45160</v>
      </c>
      <c r="E2382" s="11">
        <v>0.48819444444444443</v>
      </c>
      <c r="F2382" s="15">
        <f t="shared" si="111"/>
        <v>8</v>
      </c>
      <c r="G2382" s="10" t="str">
        <f t="shared" si="112"/>
        <v>Tuesday</v>
      </c>
      <c r="H2382" s="9" t="str">
        <f t="shared" si="113"/>
        <v>August</v>
      </c>
      <c r="I2382" t="s">
        <v>95</v>
      </c>
      <c r="J2382" t="s">
        <v>77</v>
      </c>
      <c r="K2382">
        <v>3016</v>
      </c>
      <c r="L2382" s="5" t="str">
        <f>IF(OR(K2382&lt;Answers!$C$16,Orders!K2382&gt;Answers!$C$17),"Yes","No")</f>
        <v>No</v>
      </c>
      <c r="M2382" s="14">
        <f>VLOOKUP(B2382,Customers!$A$1:$E$2501,4,0)</f>
        <v>41</v>
      </c>
    </row>
    <row r="2383" spans="1:13" x14ac:dyDescent="0.3">
      <c r="A2383">
        <v>1609306</v>
      </c>
      <c r="B2383">
        <v>529</v>
      </c>
      <c r="C2383" s="1" t="s">
        <v>112</v>
      </c>
      <c r="D2383" s="7">
        <v>45261</v>
      </c>
      <c r="E2383" s="11">
        <v>5.6250000000000001E-2</v>
      </c>
      <c r="F2383" s="15">
        <f t="shared" si="111"/>
        <v>12</v>
      </c>
      <c r="G2383" s="10" t="str">
        <f t="shared" si="112"/>
        <v>Friday</v>
      </c>
      <c r="H2383" s="9" t="str">
        <f t="shared" si="113"/>
        <v>December</v>
      </c>
      <c r="I2383" t="s">
        <v>96</v>
      </c>
      <c r="J2383" t="s">
        <v>76</v>
      </c>
      <c r="K2383">
        <v>847</v>
      </c>
      <c r="L2383" s="5" t="str">
        <f>IF(OR(K2383&lt;Answers!$C$16,Orders!K2383&gt;Answers!$C$17),"Yes","No")</f>
        <v>No</v>
      </c>
      <c r="M2383" s="14">
        <f>VLOOKUP(B2383,Customers!$A$1:$E$2501,4,0)</f>
        <v>44</v>
      </c>
    </row>
    <row r="2384" spans="1:13" x14ac:dyDescent="0.3">
      <c r="A2384">
        <v>1609928</v>
      </c>
      <c r="B2384">
        <v>1237</v>
      </c>
      <c r="C2384" s="1" t="s">
        <v>98</v>
      </c>
      <c r="D2384" s="7">
        <v>45082</v>
      </c>
      <c r="E2384" s="11">
        <v>0.54027777777777775</v>
      </c>
      <c r="F2384" s="15">
        <f t="shared" si="111"/>
        <v>6</v>
      </c>
      <c r="G2384" s="10" t="str">
        <f t="shared" si="112"/>
        <v>Monday</v>
      </c>
      <c r="H2384" s="9" t="str">
        <f t="shared" si="113"/>
        <v>June</v>
      </c>
      <c r="I2384" t="s">
        <v>96</v>
      </c>
      <c r="J2384" t="s">
        <v>63</v>
      </c>
      <c r="K2384">
        <v>373</v>
      </c>
      <c r="L2384" s="5" t="str">
        <f>IF(OR(K2384&lt;Answers!$C$16,Orders!K2384&gt;Answers!$C$17),"Yes","No")</f>
        <v>No</v>
      </c>
      <c r="M2384" s="14">
        <f>VLOOKUP(B2384,Customers!$A$1:$E$2501,4,0)</f>
        <v>87</v>
      </c>
    </row>
    <row r="2385" spans="1:13" x14ac:dyDescent="0.3">
      <c r="A2385">
        <v>1610660</v>
      </c>
      <c r="B2385">
        <v>1126</v>
      </c>
      <c r="C2385" s="1" t="s">
        <v>99</v>
      </c>
      <c r="D2385" s="7">
        <v>45000</v>
      </c>
      <c r="E2385" s="11">
        <v>0.49375000000000002</v>
      </c>
      <c r="F2385" s="15">
        <f t="shared" si="111"/>
        <v>3</v>
      </c>
      <c r="G2385" s="10" t="str">
        <f t="shared" si="112"/>
        <v>Wednesday</v>
      </c>
      <c r="H2385" s="9" t="str">
        <f t="shared" si="113"/>
        <v>March</v>
      </c>
      <c r="I2385" t="s">
        <v>97</v>
      </c>
      <c r="J2385" t="s">
        <v>29</v>
      </c>
      <c r="K2385">
        <v>4580</v>
      </c>
      <c r="L2385" s="5" t="str">
        <f>IF(OR(K2385&lt;Answers!$C$16,Orders!K2385&gt;Answers!$C$17),"Yes","No")</f>
        <v>No</v>
      </c>
      <c r="M2385" s="14">
        <f>VLOOKUP(B2385,Customers!$A$1:$E$2501,4,0)</f>
        <v>65</v>
      </c>
    </row>
    <row r="2386" spans="1:13" x14ac:dyDescent="0.3">
      <c r="A2386">
        <v>1611854</v>
      </c>
      <c r="B2386">
        <v>1101</v>
      </c>
      <c r="C2386" s="1" t="s">
        <v>112</v>
      </c>
      <c r="D2386" s="7">
        <v>45115</v>
      </c>
      <c r="E2386" s="11">
        <v>0.49861111111111112</v>
      </c>
      <c r="F2386" s="15">
        <f t="shared" si="111"/>
        <v>7</v>
      </c>
      <c r="G2386" s="10" t="str">
        <f t="shared" si="112"/>
        <v>Saturday</v>
      </c>
      <c r="H2386" s="9" t="str">
        <f t="shared" si="113"/>
        <v>July</v>
      </c>
      <c r="I2386" t="s">
        <v>95</v>
      </c>
      <c r="J2386" t="s">
        <v>73</v>
      </c>
      <c r="K2386">
        <v>508</v>
      </c>
      <c r="L2386" s="5" t="str">
        <f>IF(OR(K2386&lt;Answers!$C$16,Orders!K2386&gt;Answers!$C$17),"Yes","No")</f>
        <v>No</v>
      </c>
      <c r="M2386" s="14">
        <f>VLOOKUP(B2386,Customers!$A$1:$E$2501,4,0)</f>
        <v>27</v>
      </c>
    </row>
    <row r="2387" spans="1:13" x14ac:dyDescent="0.3">
      <c r="A2387">
        <v>1612026</v>
      </c>
      <c r="B2387">
        <v>730</v>
      </c>
      <c r="C2387" s="1" t="s">
        <v>103</v>
      </c>
      <c r="D2387" s="7">
        <v>44951</v>
      </c>
      <c r="E2387" s="11">
        <v>6.1805555555555558E-2</v>
      </c>
      <c r="F2387" s="15">
        <f t="shared" si="111"/>
        <v>1</v>
      </c>
      <c r="G2387" s="10" t="str">
        <f t="shared" si="112"/>
        <v>Wednesday</v>
      </c>
      <c r="H2387" s="9" t="str">
        <f t="shared" si="113"/>
        <v>January</v>
      </c>
      <c r="I2387" t="s">
        <v>96</v>
      </c>
      <c r="J2387" t="s">
        <v>84</v>
      </c>
      <c r="K2387">
        <v>5053</v>
      </c>
      <c r="L2387" s="5" t="str">
        <f>IF(OR(K2387&lt;Answers!$C$16,Orders!K2387&gt;Answers!$C$17),"Yes","No")</f>
        <v>No</v>
      </c>
      <c r="M2387" s="14">
        <f>VLOOKUP(B2387,Customers!$A$1:$E$2501,4,0)</f>
        <v>61</v>
      </c>
    </row>
    <row r="2388" spans="1:13" x14ac:dyDescent="0.3">
      <c r="A2388">
        <v>1612028</v>
      </c>
      <c r="B2388">
        <v>1167</v>
      </c>
      <c r="C2388" s="1" t="s">
        <v>98</v>
      </c>
      <c r="D2388" s="7">
        <v>44944</v>
      </c>
      <c r="E2388" s="11">
        <v>0.49861111111111112</v>
      </c>
      <c r="F2388" s="15">
        <f t="shared" si="111"/>
        <v>1</v>
      </c>
      <c r="G2388" s="10" t="str">
        <f t="shared" si="112"/>
        <v>Wednesday</v>
      </c>
      <c r="H2388" s="9" t="str">
        <f t="shared" si="113"/>
        <v>January</v>
      </c>
      <c r="I2388" t="s">
        <v>190</v>
      </c>
      <c r="J2388" t="s">
        <v>50</v>
      </c>
      <c r="K2388">
        <v>9324</v>
      </c>
      <c r="L2388" s="5" t="str">
        <f>IF(OR(K2388&lt;Answers!$C$16,Orders!K2388&gt;Answers!$C$17),"Yes","No")</f>
        <v>No</v>
      </c>
      <c r="M2388" s="14">
        <f>VLOOKUP(B2388,Customers!$A$1:$E$2501,4,0)</f>
        <v>78</v>
      </c>
    </row>
    <row r="2389" spans="1:13" x14ac:dyDescent="0.3">
      <c r="A2389">
        <v>1613483</v>
      </c>
      <c r="B2389">
        <v>296</v>
      </c>
      <c r="C2389" s="1" t="s">
        <v>107</v>
      </c>
      <c r="D2389" s="7">
        <v>45219</v>
      </c>
      <c r="E2389" s="11">
        <v>36647</v>
      </c>
      <c r="F2389" s="15">
        <f t="shared" si="111"/>
        <v>10</v>
      </c>
      <c r="G2389" s="10" t="str">
        <f t="shared" si="112"/>
        <v>Friday</v>
      </c>
      <c r="H2389" s="9" t="str">
        <f t="shared" si="113"/>
        <v>October</v>
      </c>
      <c r="I2389" t="s">
        <v>95</v>
      </c>
      <c r="J2389" t="s">
        <v>67</v>
      </c>
      <c r="K2389">
        <v>2248</v>
      </c>
      <c r="L2389" s="5" t="str">
        <f>IF(OR(K2389&lt;Answers!$C$16,Orders!K2389&gt;Answers!$C$17),"Yes","No")</f>
        <v>No</v>
      </c>
      <c r="M2389" s="14">
        <f>VLOOKUP(B2389,Customers!$A$1:$E$2501,4,0)</f>
        <v>70</v>
      </c>
    </row>
    <row r="2390" spans="1:13" x14ac:dyDescent="0.3">
      <c r="A2390">
        <v>1615509</v>
      </c>
      <c r="B2390">
        <v>63</v>
      </c>
      <c r="C2390" s="1" t="s">
        <v>102</v>
      </c>
      <c r="D2390" s="7">
        <v>45229</v>
      </c>
      <c r="E2390" s="11">
        <v>0.43888888888888888</v>
      </c>
      <c r="F2390" s="15">
        <f t="shared" si="111"/>
        <v>10</v>
      </c>
      <c r="G2390" s="10" t="str">
        <f t="shared" si="112"/>
        <v>Monday</v>
      </c>
      <c r="H2390" s="9" t="str">
        <f t="shared" si="113"/>
        <v>October</v>
      </c>
      <c r="I2390" t="s">
        <v>95</v>
      </c>
      <c r="J2390" t="s">
        <v>78</v>
      </c>
      <c r="K2390">
        <v>7909</v>
      </c>
      <c r="L2390" s="5" t="str">
        <f>IF(OR(K2390&lt;Answers!$C$16,Orders!K2390&gt;Answers!$C$17),"Yes","No")</f>
        <v>No</v>
      </c>
      <c r="M2390" s="14">
        <f>VLOOKUP(B2390,Customers!$A$1:$E$2501,4,0)</f>
        <v>23</v>
      </c>
    </row>
    <row r="2391" spans="1:13" x14ac:dyDescent="0.3">
      <c r="A2391">
        <v>1616083</v>
      </c>
      <c r="B2391">
        <v>894</v>
      </c>
      <c r="C2391" s="1" t="s">
        <v>100</v>
      </c>
      <c r="D2391" s="7">
        <v>45090</v>
      </c>
      <c r="E2391" s="11">
        <v>0.53749999999999998</v>
      </c>
      <c r="F2391" s="15">
        <f t="shared" si="111"/>
        <v>6</v>
      </c>
      <c r="G2391" s="10" t="str">
        <f t="shared" si="112"/>
        <v>Tuesday</v>
      </c>
      <c r="H2391" s="9" t="str">
        <f t="shared" si="113"/>
        <v>June</v>
      </c>
      <c r="I2391" t="s">
        <v>96</v>
      </c>
      <c r="J2391" t="s">
        <v>75</v>
      </c>
      <c r="K2391">
        <v>9153</v>
      </c>
      <c r="L2391" s="5" t="str">
        <f>IF(OR(K2391&lt;Answers!$C$16,Orders!K2391&gt;Answers!$C$17),"Yes","No")</f>
        <v>No</v>
      </c>
      <c r="M2391" s="14">
        <f>VLOOKUP(B2391,Customers!$A$1:$E$2501,4,0)</f>
        <v>37</v>
      </c>
    </row>
    <row r="2392" spans="1:13" x14ac:dyDescent="0.3">
      <c r="A2392">
        <v>1616804</v>
      </c>
      <c r="B2392">
        <v>902</v>
      </c>
      <c r="C2392" s="1" t="s">
        <v>98</v>
      </c>
      <c r="D2392" s="7">
        <v>45023</v>
      </c>
      <c r="E2392" s="11">
        <v>0.45833333333333331</v>
      </c>
      <c r="F2392" s="15">
        <f t="shared" si="111"/>
        <v>4</v>
      </c>
      <c r="G2392" s="10" t="str">
        <f t="shared" si="112"/>
        <v>Friday</v>
      </c>
      <c r="H2392" s="9" t="str">
        <f t="shared" si="113"/>
        <v>April</v>
      </c>
      <c r="I2392" t="s">
        <v>96</v>
      </c>
      <c r="J2392" t="s">
        <v>26</v>
      </c>
      <c r="K2392">
        <v>8265</v>
      </c>
      <c r="L2392" s="5" t="str">
        <f>IF(OR(K2392&lt;Answers!$C$16,Orders!K2392&gt;Answers!$C$17),"Yes","No")</f>
        <v>No</v>
      </c>
      <c r="M2392" s="14">
        <f>VLOOKUP(B2392,Customers!$A$1:$E$2501,4,0)</f>
        <v>82</v>
      </c>
    </row>
    <row r="2393" spans="1:13" x14ac:dyDescent="0.3">
      <c r="A2393">
        <v>1617273</v>
      </c>
      <c r="B2393">
        <v>547</v>
      </c>
      <c r="C2393" s="1" t="s">
        <v>98</v>
      </c>
      <c r="D2393" s="7">
        <v>45156</v>
      </c>
      <c r="E2393" s="11">
        <v>36628</v>
      </c>
      <c r="F2393" s="15">
        <f t="shared" si="111"/>
        <v>8</v>
      </c>
      <c r="G2393" s="10" t="str">
        <f t="shared" si="112"/>
        <v>Friday</v>
      </c>
      <c r="H2393" s="9" t="str">
        <f t="shared" si="113"/>
        <v>August</v>
      </c>
      <c r="I2393" t="s">
        <v>96</v>
      </c>
      <c r="J2393" t="s">
        <v>68</v>
      </c>
      <c r="K2393">
        <v>2095</v>
      </c>
      <c r="L2393" s="5" t="str">
        <f>IF(OR(K2393&lt;Answers!$C$16,Orders!K2393&gt;Answers!$C$17),"Yes","No")</f>
        <v>No</v>
      </c>
      <c r="M2393" s="14">
        <f>VLOOKUP(B2393,Customers!$A$1:$E$2501,4,0)</f>
        <v>69</v>
      </c>
    </row>
    <row r="2394" spans="1:13" x14ac:dyDescent="0.3">
      <c r="A2394">
        <v>1617524</v>
      </c>
      <c r="B2394">
        <v>34</v>
      </c>
      <c r="C2394" s="1" t="s">
        <v>100</v>
      </c>
      <c r="D2394" s="7">
        <v>44968</v>
      </c>
      <c r="E2394" s="11">
        <v>0.48749999999999999</v>
      </c>
      <c r="F2394" s="15">
        <f t="shared" si="111"/>
        <v>2</v>
      </c>
      <c r="G2394" s="10" t="str">
        <f t="shared" si="112"/>
        <v>Saturday</v>
      </c>
      <c r="H2394" s="9" t="str">
        <f t="shared" si="113"/>
        <v>February</v>
      </c>
      <c r="I2394" t="s">
        <v>95</v>
      </c>
      <c r="J2394" t="s">
        <v>42</v>
      </c>
      <c r="K2394">
        <v>1527</v>
      </c>
      <c r="L2394" s="5" t="str">
        <f>IF(OR(K2394&lt;Answers!$C$16,Orders!K2394&gt;Answers!$C$17),"Yes","No")</f>
        <v>No</v>
      </c>
      <c r="M2394" s="14">
        <f>VLOOKUP(B2394,Customers!$A$1:$E$2501,4,0)</f>
        <v>20</v>
      </c>
    </row>
    <row r="2395" spans="1:13" x14ac:dyDescent="0.3">
      <c r="A2395">
        <v>1620752</v>
      </c>
      <c r="B2395">
        <v>1687</v>
      </c>
      <c r="C2395" s="1" t="s">
        <v>100</v>
      </c>
      <c r="D2395" s="7">
        <v>45212</v>
      </c>
      <c r="E2395" s="11">
        <v>0.48402777777777778</v>
      </c>
      <c r="F2395" s="15">
        <f t="shared" si="111"/>
        <v>10</v>
      </c>
      <c r="G2395" s="10" t="str">
        <f t="shared" si="112"/>
        <v>Friday</v>
      </c>
      <c r="H2395" s="9" t="str">
        <f t="shared" si="113"/>
        <v>October</v>
      </c>
      <c r="I2395" t="s">
        <v>95</v>
      </c>
      <c r="J2395" t="s">
        <v>42</v>
      </c>
      <c r="K2395">
        <v>7191</v>
      </c>
      <c r="L2395" s="5" t="str">
        <f>IF(OR(K2395&lt;Answers!$C$16,Orders!K2395&gt;Answers!$C$17),"Yes","No")</f>
        <v>No</v>
      </c>
      <c r="M2395" s="14">
        <f>VLOOKUP(B2395,Customers!$A$1:$E$2501,4,0)</f>
        <v>38</v>
      </c>
    </row>
    <row r="2396" spans="1:13" x14ac:dyDescent="0.3">
      <c r="A2396">
        <v>1622340</v>
      </c>
      <c r="B2396">
        <v>1487</v>
      </c>
      <c r="C2396" s="1" t="s">
        <v>106</v>
      </c>
      <c r="D2396" s="7">
        <v>45052</v>
      </c>
      <c r="E2396" s="11">
        <v>0.50972222222222219</v>
      </c>
      <c r="F2396" s="15">
        <f t="shared" si="111"/>
        <v>5</v>
      </c>
      <c r="G2396" s="10" t="str">
        <f t="shared" si="112"/>
        <v>Saturday</v>
      </c>
      <c r="H2396" s="9" t="str">
        <f t="shared" si="113"/>
        <v>May</v>
      </c>
      <c r="I2396" t="s">
        <v>190</v>
      </c>
      <c r="J2396" t="s">
        <v>3</v>
      </c>
      <c r="K2396">
        <v>4769</v>
      </c>
      <c r="L2396" s="5" t="str">
        <f>IF(OR(K2396&lt;Answers!$C$16,Orders!K2396&gt;Answers!$C$17),"Yes","No")</f>
        <v>No</v>
      </c>
      <c r="M2396" s="14">
        <f>VLOOKUP(B2396,Customers!$A$1:$E$2501,4,0)</f>
        <v>76</v>
      </c>
    </row>
    <row r="2397" spans="1:13" x14ac:dyDescent="0.3">
      <c r="A2397">
        <v>1622599</v>
      </c>
      <c r="B2397">
        <v>453</v>
      </c>
      <c r="C2397" s="1" t="s">
        <v>99</v>
      </c>
      <c r="D2397" s="7">
        <v>44940</v>
      </c>
      <c r="E2397" s="11">
        <v>0.49375000000000002</v>
      </c>
      <c r="F2397" s="15">
        <f t="shared" si="111"/>
        <v>1</v>
      </c>
      <c r="G2397" s="10" t="str">
        <f t="shared" si="112"/>
        <v>Saturday</v>
      </c>
      <c r="H2397" s="9" t="str">
        <f t="shared" si="113"/>
        <v>January</v>
      </c>
      <c r="I2397" t="s">
        <v>96</v>
      </c>
      <c r="J2397" t="s">
        <v>18</v>
      </c>
      <c r="K2397">
        <v>8568</v>
      </c>
      <c r="L2397" s="5" t="str">
        <f>IF(OR(K2397&lt;Answers!$C$16,Orders!K2397&gt;Answers!$C$17),"Yes","No")</f>
        <v>No</v>
      </c>
      <c r="M2397" s="14">
        <f>VLOOKUP(B2397,Customers!$A$1:$E$2501,4,0)</f>
        <v>52</v>
      </c>
    </row>
    <row r="2398" spans="1:13" x14ac:dyDescent="0.3">
      <c r="A2398">
        <v>1624567</v>
      </c>
      <c r="B2398">
        <v>977</v>
      </c>
      <c r="C2398" s="1" t="s">
        <v>112</v>
      </c>
      <c r="D2398" s="7">
        <v>45127</v>
      </c>
      <c r="E2398" s="11">
        <v>8.1944444444444445E-2</v>
      </c>
      <c r="F2398" s="15">
        <f t="shared" si="111"/>
        <v>7</v>
      </c>
      <c r="G2398" s="10" t="str">
        <f t="shared" si="112"/>
        <v>Thursday</v>
      </c>
      <c r="H2398" s="9" t="str">
        <f t="shared" si="113"/>
        <v>July</v>
      </c>
      <c r="I2398" t="s">
        <v>97</v>
      </c>
      <c r="J2398" t="s">
        <v>81</v>
      </c>
      <c r="K2398">
        <v>1814</v>
      </c>
      <c r="L2398" s="5" t="str">
        <f>IF(OR(K2398&lt;Answers!$C$16,Orders!K2398&gt;Answers!$C$17),"Yes","No")</f>
        <v>No</v>
      </c>
      <c r="M2398" s="14">
        <f>VLOOKUP(B2398,Customers!$A$1:$E$2501,4,0)</f>
        <v>31</v>
      </c>
    </row>
    <row r="2399" spans="1:13" x14ac:dyDescent="0.3">
      <c r="A2399">
        <v>1625256</v>
      </c>
      <c r="B2399">
        <v>1551</v>
      </c>
      <c r="C2399" s="1" t="s">
        <v>98</v>
      </c>
      <c r="D2399" s="7">
        <v>45168</v>
      </c>
      <c r="E2399" s="11">
        <v>7.8472222222222221E-2</v>
      </c>
      <c r="F2399" s="15">
        <f t="shared" si="111"/>
        <v>8</v>
      </c>
      <c r="G2399" s="10" t="str">
        <f t="shared" si="112"/>
        <v>Wednesday</v>
      </c>
      <c r="H2399" s="9" t="str">
        <f t="shared" si="113"/>
        <v>August</v>
      </c>
      <c r="I2399" t="s">
        <v>190</v>
      </c>
      <c r="J2399" t="s">
        <v>20</v>
      </c>
      <c r="K2399">
        <v>2960</v>
      </c>
      <c r="L2399" s="5" t="str">
        <f>IF(OR(K2399&lt;Answers!$C$16,Orders!K2399&gt;Answers!$C$17),"Yes","No")</f>
        <v>No</v>
      </c>
      <c r="M2399" s="14">
        <f>VLOOKUP(B2399,Customers!$A$1:$E$2501,4,0)</f>
        <v>21</v>
      </c>
    </row>
    <row r="2400" spans="1:13" x14ac:dyDescent="0.3">
      <c r="A2400">
        <v>1625678</v>
      </c>
      <c r="B2400">
        <v>239</v>
      </c>
      <c r="C2400" s="1" t="s">
        <v>112</v>
      </c>
      <c r="D2400" s="7">
        <v>45078</v>
      </c>
      <c r="E2400" s="11">
        <v>36872</v>
      </c>
      <c r="F2400" s="15">
        <f t="shared" si="111"/>
        <v>6</v>
      </c>
      <c r="G2400" s="10" t="str">
        <f t="shared" si="112"/>
        <v>Thursday</v>
      </c>
      <c r="H2400" s="9" t="str">
        <f t="shared" si="113"/>
        <v>June</v>
      </c>
      <c r="I2400" t="s">
        <v>95</v>
      </c>
      <c r="J2400" t="s">
        <v>65</v>
      </c>
      <c r="K2400">
        <v>1366</v>
      </c>
      <c r="L2400" s="5" t="str">
        <f>IF(OR(K2400&lt;Answers!$C$16,Orders!K2400&gt;Answers!$C$17),"Yes","No")</f>
        <v>No</v>
      </c>
      <c r="M2400" s="14">
        <f>VLOOKUP(B2400,Customers!$A$1:$E$2501,4,0)</f>
        <v>77</v>
      </c>
    </row>
    <row r="2401" spans="1:13" x14ac:dyDescent="0.3">
      <c r="A2401">
        <v>1625859</v>
      </c>
      <c r="B2401">
        <v>1409</v>
      </c>
      <c r="C2401" s="1" t="s">
        <v>98</v>
      </c>
      <c r="D2401" s="7">
        <v>45124</v>
      </c>
      <c r="E2401" s="11">
        <v>0.49444444444444446</v>
      </c>
      <c r="F2401" s="15">
        <f t="shared" si="111"/>
        <v>7</v>
      </c>
      <c r="G2401" s="10" t="str">
        <f t="shared" si="112"/>
        <v>Monday</v>
      </c>
      <c r="H2401" s="9" t="str">
        <f t="shared" si="113"/>
        <v>July</v>
      </c>
      <c r="I2401" t="s">
        <v>96</v>
      </c>
      <c r="J2401" t="s">
        <v>26</v>
      </c>
      <c r="K2401">
        <v>3766</v>
      </c>
      <c r="L2401" s="5" t="str">
        <f>IF(OR(K2401&lt;Answers!$C$16,Orders!K2401&gt;Answers!$C$17),"Yes","No")</f>
        <v>No</v>
      </c>
      <c r="M2401" s="14">
        <f>VLOOKUP(B2401,Customers!$A$1:$E$2501,4,0)</f>
        <v>63</v>
      </c>
    </row>
    <row r="2402" spans="1:13" x14ac:dyDescent="0.3">
      <c r="A2402">
        <v>1626780</v>
      </c>
      <c r="B2402">
        <v>230</v>
      </c>
      <c r="C2402" s="1" t="s">
        <v>98</v>
      </c>
      <c r="D2402" s="7">
        <v>45285</v>
      </c>
      <c r="E2402" s="11">
        <v>0.4777777777777778</v>
      </c>
      <c r="F2402" s="15">
        <f t="shared" si="111"/>
        <v>12</v>
      </c>
      <c r="G2402" s="10" t="str">
        <f t="shared" si="112"/>
        <v>Monday</v>
      </c>
      <c r="H2402" s="9" t="str">
        <f t="shared" si="113"/>
        <v>December</v>
      </c>
      <c r="I2402" t="s">
        <v>97</v>
      </c>
      <c r="J2402" t="s">
        <v>4</v>
      </c>
      <c r="K2402">
        <v>3369</v>
      </c>
      <c r="L2402" s="5" t="str">
        <f>IF(OR(K2402&lt;Answers!$C$16,Orders!K2402&gt;Answers!$C$17),"Yes","No")</f>
        <v>No</v>
      </c>
      <c r="M2402" s="14">
        <f>VLOOKUP(B2402,Customers!$A$1:$E$2501,4,0)</f>
        <v>79</v>
      </c>
    </row>
    <row r="2403" spans="1:13" x14ac:dyDescent="0.3">
      <c r="A2403">
        <v>1627081</v>
      </c>
      <c r="B2403">
        <v>741</v>
      </c>
      <c r="C2403" s="1" t="s">
        <v>98</v>
      </c>
      <c r="D2403" s="7">
        <v>44935</v>
      </c>
      <c r="E2403" s="11">
        <v>6.6666666666666666E-2</v>
      </c>
      <c r="F2403" s="15">
        <f t="shared" si="111"/>
        <v>1</v>
      </c>
      <c r="G2403" s="10" t="str">
        <f t="shared" si="112"/>
        <v>Monday</v>
      </c>
      <c r="H2403" s="9" t="str">
        <f t="shared" si="113"/>
        <v>January</v>
      </c>
      <c r="I2403" t="s">
        <v>95</v>
      </c>
      <c r="J2403" t="s">
        <v>42</v>
      </c>
      <c r="K2403">
        <v>5636</v>
      </c>
      <c r="L2403" s="5" t="str">
        <f>IF(OR(K2403&lt;Answers!$C$16,Orders!K2403&gt;Answers!$C$17),"Yes","No")</f>
        <v>No</v>
      </c>
      <c r="M2403" s="14">
        <f>VLOOKUP(B2403,Customers!$A$1:$E$2501,4,0)</f>
        <v>25</v>
      </c>
    </row>
    <row r="2404" spans="1:13" x14ac:dyDescent="0.3">
      <c r="A2404">
        <v>1628939</v>
      </c>
      <c r="B2404">
        <v>1474</v>
      </c>
      <c r="C2404" s="1" t="s">
        <v>98</v>
      </c>
      <c r="D2404" s="7">
        <v>45174</v>
      </c>
      <c r="E2404" s="11">
        <v>0.53749999999999998</v>
      </c>
      <c r="F2404" s="15">
        <f t="shared" si="111"/>
        <v>9</v>
      </c>
      <c r="G2404" s="10" t="str">
        <f t="shared" si="112"/>
        <v>Tuesday</v>
      </c>
      <c r="H2404" s="9" t="str">
        <f t="shared" si="113"/>
        <v>September</v>
      </c>
      <c r="I2404" t="s">
        <v>97</v>
      </c>
      <c r="J2404" t="s">
        <v>26</v>
      </c>
      <c r="K2404">
        <v>4675</v>
      </c>
      <c r="L2404" s="5" t="str">
        <f>IF(OR(K2404&lt;Answers!$C$16,Orders!K2404&gt;Answers!$C$17),"Yes","No")</f>
        <v>No</v>
      </c>
      <c r="M2404" s="14">
        <f>VLOOKUP(B2404,Customers!$A$1:$E$2501,4,0)</f>
        <v>25</v>
      </c>
    </row>
    <row r="2405" spans="1:13" x14ac:dyDescent="0.3">
      <c r="A2405">
        <v>1629259</v>
      </c>
      <c r="B2405">
        <v>1982</v>
      </c>
      <c r="C2405" s="1" t="s">
        <v>106</v>
      </c>
      <c r="D2405" s="7">
        <v>45166</v>
      </c>
      <c r="E2405" s="11">
        <v>5.486111111111111E-2</v>
      </c>
      <c r="F2405" s="15">
        <f t="shared" si="111"/>
        <v>8</v>
      </c>
      <c r="G2405" s="10" t="str">
        <f t="shared" si="112"/>
        <v>Monday</v>
      </c>
      <c r="H2405" s="9" t="str">
        <f t="shared" si="113"/>
        <v>August</v>
      </c>
      <c r="I2405" t="s">
        <v>96</v>
      </c>
      <c r="J2405" t="s">
        <v>5</v>
      </c>
      <c r="K2405">
        <v>9052</v>
      </c>
      <c r="L2405" s="5" t="str">
        <f>IF(OR(K2405&lt;Answers!$C$16,Orders!K2405&gt;Answers!$C$17),"Yes","No")</f>
        <v>No</v>
      </c>
      <c r="M2405" s="14">
        <f>VLOOKUP(B2405,Customers!$A$1:$E$2501,4,0)</f>
        <v>74</v>
      </c>
    </row>
    <row r="2406" spans="1:13" x14ac:dyDescent="0.3">
      <c r="A2406">
        <v>1629885</v>
      </c>
      <c r="B2406">
        <v>366</v>
      </c>
      <c r="C2406" s="1" t="s">
        <v>112</v>
      </c>
      <c r="D2406" s="7">
        <v>45169</v>
      </c>
      <c r="E2406" s="11">
        <v>0.49791666666666667</v>
      </c>
      <c r="F2406" s="15">
        <f t="shared" si="111"/>
        <v>8</v>
      </c>
      <c r="G2406" s="10" t="str">
        <f t="shared" si="112"/>
        <v>Thursday</v>
      </c>
      <c r="H2406" s="9" t="str">
        <f t="shared" si="113"/>
        <v>August</v>
      </c>
      <c r="I2406" t="s">
        <v>95</v>
      </c>
      <c r="J2406" t="s">
        <v>26</v>
      </c>
      <c r="K2406">
        <v>6675</v>
      </c>
      <c r="L2406" s="5" t="str">
        <f>IF(OR(K2406&lt;Answers!$C$16,Orders!K2406&gt;Answers!$C$17),"Yes","No")</f>
        <v>No</v>
      </c>
      <c r="M2406" s="14">
        <f>VLOOKUP(B2406,Customers!$A$1:$E$2501,4,0)</f>
        <v>79</v>
      </c>
    </row>
    <row r="2407" spans="1:13" x14ac:dyDescent="0.3">
      <c r="A2407">
        <v>1629891</v>
      </c>
      <c r="B2407">
        <v>1088</v>
      </c>
      <c r="C2407" s="1" t="s">
        <v>112</v>
      </c>
      <c r="D2407" s="7">
        <v>45097</v>
      </c>
      <c r="E2407" s="11">
        <v>0.51597222222222228</v>
      </c>
      <c r="F2407" s="15">
        <f t="shared" si="111"/>
        <v>6</v>
      </c>
      <c r="G2407" s="10" t="str">
        <f t="shared" si="112"/>
        <v>Tuesday</v>
      </c>
      <c r="H2407" s="9" t="str">
        <f t="shared" si="113"/>
        <v>June</v>
      </c>
      <c r="I2407" t="s">
        <v>95</v>
      </c>
      <c r="J2407" t="s">
        <v>17</v>
      </c>
      <c r="K2407">
        <v>5428</v>
      </c>
      <c r="L2407" s="5" t="str">
        <f>IF(OR(K2407&lt;Answers!$C$16,Orders!K2407&gt;Answers!$C$17),"Yes","No")</f>
        <v>No</v>
      </c>
      <c r="M2407" s="14">
        <f>VLOOKUP(B2407,Customers!$A$1:$E$2501,4,0)</f>
        <v>72</v>
      </c>
    </row>
    <row r="2408" spans="1:13" x14ac:dyDescent="0.3">
      <c r="A2408">
        <v>1630533</v>
      </c>
      <c r="B2408">
        <v>450</v>
      </c>
      <c r="C2408" s="1" t="s">
        <v>106</v>
      </c>
      <c r="D2408" s="7">
        <v>45027</v>
      </c>
      <c r="E2408" s="11">
        <v>0.53194444444444444</v>
      </c>
      <c r="F2408" s="15">
        <f t="shared" si="111"/>
        <v>4</v>
      </c>
      <c r="G2408" s="10" t="str">
        <f t="shared" si="112"/>
        <v>Tuesday</v>
      </c>
      <c r="H2408" s="9" t="str">
        <f t="shared" si="113"/>
        <v>April</v>
      </c>
      <c r="I2408" t="s">
        <v>95</v>
      </c>
      <c r="J2408" t="s">
        <v>26</v>
      </c>
      <c r="K2408">
        <v>1269</v>
      </c>
      <c r="L2408" s="5" t="str">
        <f>IF(OR(K2408&lt;Answers!$C$16,Orders!K2408&gt;Answers!$C$17),"Yes","No")</f>
        <v>No</v>
      </c>
      <c r="M2408" s="14">
        <f>VLOOKUP(B2408,Customers!$A$1:$E$2501,4,0)</f>
        <v>53</v>
      </c>
    </row>
    <row r="2409" spans="1:13" x14ac:dyDescent="0.3">
      <c r="A2409">
        <v>1630634</v>
      </c>
      <c r="B2409">
        <v>400</v>
      </c>
      <c r="C2409" s="1" t="s">
        <v>100</v>
      </c>
      <c r="D2409" s="7">
        <v>44995</v>
      </c>
      <c r="E2409" s="11">
        <v>36617</v>
      </c>
      <c r="F2409" s="15">
        <f t="shared" si="111"/>
        <v>3</v>
      </c>
      <c r="G2409" s="10" t="str">
        <f t="shared" si="112"/>
        <v>Friday</v>
      </c>
      <c r="H2409" s="9" t="str">
        <f t="shared" si="113"/>
        <v>March</v>
      </c>
      <c r="I2409" t="s">
        <v>190</v>
      </c>
      <c r="J2409" t="s">
        <v>29</v>
      </c>
      <c r="K2409">
        <v>4641</v>
      </c>
      <c r="L2409" s="5" t="str">
        <f>IF(OR(K2409&lt;Answers!$C$16,Orders!K2409&gt;Answers!$C$17),"Yes","No")</f>
        <v>No</v>
      </c>
      <c r="M2409" s="14">
        <f>VLOOKUP(B2409,Customers!$A$1:$E$2501,4,0)</f>
        <v>80</v>
      </c>
    </row>
    <row r="2410" spans="1:13" x14ac:dyDescent="0.3">
      <c r="A2410">
        <v>1631258</v>
      </c>
      <c r="B2410">
        <v>1613</v>
      </c>
      <c r="C2410" s="1" t="s">
        <v>98</v>
      </c>
      <c r="D2410" s="7">
        <v>45262</v>
      </c>
      <c r="E2410" s="11">
        <v>0.49583333333333335</v>
      </c>
      <c r="F2410" s="15">
        <f t="shared" si="111"/>
        <v>12</v>
      </c>
      <c r="G2410" s="10" t="str">
        <f t="shared" si="112"/>
        <v>Saturday</v>
      </c>
      <c r="H2410" s="9" t="str">
        <f t="shared" si="113"/>
        <v>December</v>
      </c>
      <c r="I2410" t="s">
        <v>97</v>
      </c>
      <c r="J2410" t="s">
        <v>77</v>
      </c>
      <c r="K2410">
        <v>382</v>
      </c>
      <c r="L2410" s="5" t="str">
        <f>IF(OR(K2410&lt;Answers!$C$16,Orders!K2410&gt;Answers!$C$17),"Yes","No")</f>
        <v>No</v>
      </c>
      <c r="M2410" s="14">
        <f>VLOOKUP(B2410,Customers!$A$1:$E$2501,4,0)</f>
        <v>71</v>
      </c>
    </row>
    <row r="2411" spans="1:13" x14ac:dyDescent="0.3">
      <c r="A2411">
        <v>1631401</v>
      </c>
      <c r="B2411">
        <v>932</v>
      </c>
      <c r="C2411" s="1" t="s">
        <v>109</v>
      </c>
      <c r="D2411" s="7">
        <v>45102</v>
      </c>
      <c r="E2411" s="11">
        <v>7.9166666666666663E-2</v>
      </c>
      <c r="F2411" s="15">
        <f t="shared" si="111"/>
        <v>6</v>
      </c>
      <c r="G2411" s="10" t="str">
        <f t="shared" si="112"/>
        <v>Sunday</v>
      </c>
      <c r="H2411" s="9" t="str">
        <f t="shared" si="113"/>
        <v>June</v>
      </c>
      <c r="I2411" t="s">
        <v>190</v>
      </c>
      <c r="J2411" t="s">
        <v>42</v>
      </c>
      <c r="K2411">
        <v>638</v>
      </c>
      <c r="L2411" s="5" t="str">
        <f>IF(OR(K2411&lt;Answers!$C$16,Orders!K2411&gt;Answers!$C$17),"Yes","No")</f>
        <v>No</v>
      </c>
      <c r="M2411" s="14">
        <f>VLOOKUP(B2411,Customers!$A$1:$E$2501,4,0)</f>
        <v>61</v>
      </c>
    </row>
    <row r="2412" spans="1:13" x14ac:dyDescent="0.3">
      <c r="A2412">
        <v>1632433</v>
      </c>
      <c r="B2412">
        <v>520</v>
      </c>
      <c r="C2412" s="1" t="s">
        <v>104</v>
      </c>
      <c r="D2412" s="7">
        <v>45204</v>
      </c>
      <c r="E2412" s="11">
        <v>36658</v>
      </c>
      <c r="F2412" s="15">
        <f t="shared" si="111"/>
        <v>10</v>
      </c>
      <c r="G2412" s="10" t="str">
        <f t="shared" si="112"/>
        <v>Thursday</v>
      </c>
      <c r="H2412" s="9" t="str">
        <f t="shared" si="113"/>
        <v>October</v>
      </c>
      <c r="I2412" t="s">
        <v>97</v>
      </c>
      <c r="J2412" t="s">
        <v>26</v>
      </c>
      <c r="K2412">
        <v>2927</v>
      </c>
      <c r="L2412" s="5" t="str">
        <f>IF(OR(K2412&lt;Answers!$C$16,Orders!K2412&gt;Answers!$C$17),"Yes","No")</f>
        <v>No</v>
      </c>
      <c r="M2412" s="14">
        <f>VLOOKUP(B2412,Customers!$A$1:$E$2501,4,0)</f>
        <v>81</v>
      </c>
    </row>
    <row r="2413" spans="1:13" x14ac:dyDescent="0.3">
      <c r="A2413">
        <v>1632791</v>
      </c>
      <c r="B2413">
        <v>1581</v>
      </c>
      <c r="C2413" s="1" t="s">
        <v>98</v>
      </c>
      <c r="D2413" s="7">
        <v>45209</v>
      </c>
      <c r="E2413" s="11">
        <v>0.47708333333333336</v>
      </c>
      <c r="F2413" s="15">
        <f t="shared" si="111"/>
        <v>10</v>
      </c>
      <c r="G2413" s="10" t="str">
        <f t="shared" si="112"/>
        <v>Tuesday</v>
      </c>
      <c r="H2413" s="9" t="str">
        <f t="shared" si="113"/>
        <v>October</v>
      </c>
      <c r="I2413" t="s">
        <v>95</v>
      </c>
      <c r="J2413" t="s">
        <v>29</v>
      </c>
      <c r="K2413">
        <v>3408</v>
      </c>
      <c r="L2413" s="5" t="str">
        <f>IF(OR(K2413&lt;Answers!$C$16,Orders!K2413&gt;Answers!$C$17),"Yes","No")</f>
        <v>No</v>
      </c>
      <c r="M2413" s="14">
        <f>VLOOKUP(B2413,Customers!$A$1:$E$2501,4,0)</f>
        <v>79</v>
      </c>
    </row>
    <row r="2414" spans="1:13" x14ac:dyDescent="0.3">
      <c r="A2414">
        <v>1633524</v>
      </c>
      <c r="B2414">
        <v>1801</v>
      </c>
      <c r="C2414" s="1" t="s">
        <v>104</v>
      </c>
      <c r="D2414" s="7">
        <v>45119</v>
      </c>
      <c r="E2414" s="11">
        <v>36842</v>
      </c>
      <c r="F2414" s="15">
        <f t="shared" si="111"/>
        <v>7</v>
      </c>
      <c r="G2414" s="10" t="str">
        <f t="shared" si="112"/>
        <v>Wednesday</v>
      </c>
      <c r="H2414" s="9" t="str">
        <f t="shared" si="113"/>
        <v>July</v>
      </c>
      <c r="I2414" t="s">
        <v>96</v>
      </c>
      <c r="J2414" t="s">
        <v>73</v>
      </c>
      <c r="K2414">
        <v>6028</v>
      </c>
      <c r="L2414" s="5" t="str">
        <f>IF(OR(K2414&lt;Answers!$C$16,Orders!K2414&gt;Answers!$C$17),"Yes","No")</f>
        <v>No</v>
      </c>
      <c r="M2414" s="14">
        <f>VLOOKUP(B2414,Customers!$A$1:$E$2501,4,0)</f>
        <v>53</v>
      </c>
    </row>
    <row r="2415" spans="1:13" x14ac:dyDescent="0.3">
      <c r="A2415">
        <v>1635379</v>
      </c>
      <c r="B2415">
        <v>1673</v>
      </c>
      <c r="C2415" s="1" t="s">
        <v>104</v>
      </c>
      <c r="D2415" s="7">
        <v>45028</v>
      </c>
      <c r="E2415" s="11">
        <v>0.53333333333333333</v>
      </c>
      <c r="F2415" s="15">
        <f t="shared" si="111"/>
        <v>4</v>
      </c>
      <c r="G2415" s="10" t="str">
        <f t="shared" si="112"/>
        <v>Wednesday</v>
      </c>
      <c r="H2415" s="9" t="str">
        <f t="shared" si="113"/>
        <v>April</v>
      </c>
      <c r="I2415" t="s">
        <v>190</v>
      </c>
      <c r="J2415" t="s">
        <v>53</v>
      </c>
      <c r="K2415">
        <v>5543</v>
      </c>
      <c r="L2415" s="5" t="str">
        <f>IF(OR(K2415&lt;Answers!$C$16,Orders!K2415&gt;Answers!$C$17),"Yes","No")</f>
        <v>No</v>
      </c>
      <c r="M2415" s="14">
        <f>VLOOKUP(B2415,Customers!$A$1:$E$2501,4,0)</f>
        <v>30</v>
      </c>
    </row>
    <row r="2416" spans="1:13" x14ac:dyDescent="0.3">
      <c r="A2416">
        <v>1635597</v>
      </c>
      <c r="B2416">
        <v>1235</v>
      </c>
      <c r="C2416" s="1" t="s">
        <v>105</v>
      </c>
      <c r="D2416" s="7">
        <v>45172</v>
      </c>
      <c r="E2416" s="11">
        <v>36780</v>
      </c>
      <c r="F2416" s="15">
        <f t="shared" si="111"/>
        <v>9</v>
      </c>
      <c r="G2416" s="10" t="str">
        <f t="shared" si="112"/>
        <v>Sunday</v>
      </c>
      <c r="H2416" s="9" t="str">
        <f t="shared" si="113"/>
        <v>September</v>
      </c>
      <c r="I2416" t="s">
        <v>190</v>
      </c>
      <c r="J2416" t="s">
        <v>37</v>
      </c>
      <c r="K2416">
        <v>7590</v>
      </c>
      <c r="L2416" s="5" t="str">
        <f>IF(OR(K2416&lt;Answers!$C$16,Orders!K2416&gt;Answers!$C$17),"Yes","No")</f>
        <v>No</v>
      </c>
      <c r="M2416" s="14">
        <f>VLOOKUP(B2416,Customers!$A$1:$E$2501,4,0)</f>
        <v>69</v>
      </c>
    </row>
    <row r="2417" spans="1:13" x14ac:dyDescent="0.3">
      <c r="A2417">
        <v>1635802</v>
      </c>
      <c r="B2417">
        <v>1031</v>
      </c>
      <c r="C2417" s="1" t="s">
        <v>100</v>
      </c>
      <c r="D2417" s="7">
        <v>45287</v>
      </c>
      <c r="E2417" s="11">
        <v>0.49444444444444446</v>
      </c>
      <c r="F2417" s="15">
        <f t="shared" si="111"/>
        <v>12</v>
      </c>
      <c r="G2417" s="10" t="str">
        <f t="shared" si="112"/>
        <v>Wednesday</v>
      </c>
      <c r="H2417" s="9" t="str">
        <f t="shared" si="113"/>
        <v>December</v>
      </c>
      <c r="I2417" t="s">
        <v>97</v>
      </c>
      <c r="J2417" t="s">
        <v>33</v>
      </c>
      <c r="K2417">
        <v>67</v>
      </c>
      <c r="L2417" s="5" t="str">
        <f>IF(OR(K2417&lt;Answers!$C$16,Orders!K2417&gt;Answers!$C$17),"Yes","No")</f>
        <v>No</v>
      </c>
      <c r="M2417" s="14">
        <f>VLOOKUP(B2417,Customers!$A$1:$E$2501,4,0)</f>
        <v>40</v>
      </c>
    </row>
    <row r="2418" spans="1:13" x14ac:dyDescent="0.3">
      <c r="A2418">
        <v>1638003</v>
      </c>
      <c r="B2418">
        <v>291</v>
      </c>
      <c r="C2418" s="1" t="s">
        <v>112</v>
      </c>
      <c r="D2418" s="7">
        <v>45260</v>
      </c>
      <c r="E2418" s="11">
        <v>0.44930555555555557</v>
      </c>
      <c r="F2418" s="15">
        <f t="shared" si="111"/>
        <v>11</v>
      </c>
      <c r="G2418" s="10" t="str">
        <f t="shared" si="112"/>
        <v>Thursday</v>
      </c>
      <c r="H2418" s="9" t="str">
        <f t="shared" si="113"/>
        <v>November</v>
      </c>
      <c r="I2418" t="s">
        <v>190</v>
      </c>
      <c r="J2418" t="s">
        <v>78</v>
      </c>
      <c r="K2418">
        <v>4753</v>
      </c>
      <c r="L2418" s="5" t="str">
        <f>IF(OR(K2418&lt;Answers!$C$16,Orders!K2418&gt;Answers!$C$17),"Yes","No")</f>
        <v>No</v>
      </c>
      <c r="M2418" s="14">
        <f>VLOOKUP(B2418,Customers!$A$1:$E$2501,4,0)</f>
        <v>44</v>
      </c>
    </row>
    <row r="2419" spans="1:13" x14ac:dyDescent="0.3">
      <c r="A2419">
        <v>1638963</v>
      </c>
      <c r="B2419">
        <v>1152</v>
      </c>
      <c r="C2419" s="1" t="s">
        <v>104</v>
      </c>
      <c r="D2419" s="7">
        <v>44991</v>
      </c>
      <c r="E2419" s="11">
        <v>6.3888888888888884E-2</v>
      </c>
      <c r="F2419" s="15">
        <f t="shared" si="111"/>
        <v>3</v>
      </c>
      <c r="G2419" s="10" t="str">
        <f t="shared" si="112"/>
        <v>Monday</v>
      </c>
      <c r="H2419" s="9" t="str">
        <f t="shared" si="113"/>
        <v>March</v>
      </c>
      <c r="I2419" t="s">
        <v>97</v>
      </c>
      <c r="J2419" t="s">
        <v>75</v>
      </c>
      <c r="K2419">
        <v>1352</v>
      </c>
      <c r="L2419" s="5" t="str">
        <f>IF(OR(K2419&lt;Answers!$C$16,Orders!K2419&gt;Answers!$C$17),"Yes","No")</f>
        <v>No</v>
      </c>
      <c r="M2419" s="14">
        <f>VLOOKUP(B2419,Customers!$A$1:$E$2501,4,0)</f>
        <v>67</v>
      </c>
    </row>
    <row r="2420" spans="1:13" x14ac:dyDescent="0.3">
      <c r="A2420">
        <v>1639546</v>
      </c>
      <c r="B2420">
        <v>1491</v>
      </c>
      <c r="C2420" s="1" t="s">
        <v>98</v>
      </c>
      <c r="D2420" s="7">
        <v>45045</v>
      </c>
      <c r="E2420" s="11">
        <v>0.45833333333333331</v>
      </c>
      <c r="F2420" s="15">
        <f t="shared" si="111"/>
        <v>4</v>
      </c>
      <c r="G2420" s="10" t="str">
        <f t="shared" si="112"/>
        <v>Saturday</v>
      </c>
      <c r="H2420" s="9" t="str">
        <f t="shared" si="113"/>
        <v>April</v>
      </c>
      <c r="I2420" t="s">
        <v>96</v>
      </c>
      <c r="J2420" t="s">
        <v>76</v>
      </c>
      <c r="K2420">
        <v>4460</v>
      </c>
      <c r="L2420" s="5" t="str">
        <f>IF(OR(K2420&lt;Answers!$C$16,Orders!K2420&gt;Answers!$C$17),"Yes","No")</f>
        <v>No</v>
      </c>
      <c r="M2420" s="14">
        <f>VLOOKUP(B2420,Customers!$A$1:$E$2501,4,0)</f>
        <v>67</v>
      </c>
    </row>
    <row r="2421" spans="1:13" x14ac:dyDescent="0.3">
      <c r="A2421">
        <v>1639990</v>
      </c>
      <c r="B2421">
        <v>1616</v>
      </c>
      <c r="C2421" s="1" t="s">
        <v>98</v>
      </c>
      <c r="D2421" s="7">
        <v>45046</v>
      </c>
      <c r="E2421" s="11">
        <v>5.9722222222222225E-2</v>
      </c>
      <c r="F2421" s="15">
        <f t="shared" si="111"/>
        <v>4</v>
      </c>
      <c r="G2421" s="10" t="str">
        <f t="shared" si="112"/>
        <v>Sunday</v>
      </c>
      <c r="H2421" s="9" t="str">
        <f t="shared" si="113"/>
        <v>April</v>
      </c>
      <c r="I2421" t="s">
        <v>190</v>
      </c>
      <c r="J2421" t="s">
        <v>21</v>
      </c>
      <c r="K2421">
        <v>3972</v>
      </c>
      <c r="L2421" s="5" t="str">
        <f>IF(OR(K2421&lt;Answers!$C$16,Orders!K2421&gt;Answers!$C$17),"Yes","No")</f>
        <v>No</v>
      </c>
      <c r="M2421" s="14">
        <f>VLOOKUP(B2421,Customers!$A$1:$E$2501,4,0)</f>
        <v>38</v>
      </c>
    </row>
    <row r="2422" spans="1:13" x14ac:dyDescent="0.3">
      <c r="A2422">
        <v>1640444</v>
      </c>
      <c r="B2422">
        <v>823</v>
      </c>
      <c r="C2422" s="1" t="s">
        <v>99</v>
      </c>
      <c r="D2422" s="7">
        <v>44960</v>
      </c>
      <c r="E2422" s="11">
        <v>0.49583333333333335</v>
      </c>
      <c r="F2422" s="15">
        <f t="shared" si="111"/>
        <v>2</v>
      </c>
      <c r="G2422" s="10" t="str">
        <f t="shared" si="112"/>
        <v>Friday</v>
      </c>
      <c r="H2422" s="9" t="str">
        <f t="shared" si="113"/>
        <v>February</v>
      </c>
      <c r="I2422" t="s">
        <v>97</v>
      </c>
      <c r="J2422" t="s">
        <v>42</v>
      </c>
      <c r="K2422">
        <v>6055</v>
      </c>
      <c r="L2422" s="5" t="str">
        <f>IF(OR(K2422&lt;Answers!$C$16,Orders!K2422&gt;Answers!$C$17),"Yes","No")</f>
        <v>No</v>
      </c>
      <c r="M2422" s="14">
        <f>VLOOKUP(B2422,Customers!$A$1:$E$2501,4,0)</f>
        <v>63</v>
      </c>
    </row>
    <row r="2423" spans="1:13" x14ac:dyDescent="0.3">
      <c r="A2423">
        <v>1641043</v>
      </c>
      <c r="B2423">
        <v>42</v>
      </c>
      <c r="C2423" s="1" t="s">
        <v>104</v>
      </c>
      <c r="D2423" s="7">
        <v>44976</v>
      </c>
      <c r="E2423" s="11">
        <v>36567</v>
      </c>
      <c r="F2423" s="15">
        <f t="shared" si="111"/>
        <v>2</v>
      </c>
      <c r="G2423" s="10" t="str">
        <f t="shared" si="112"/>
        <v>Sunday</v>
      </c>
      <c r="H2423" s="9" t="str">
        <f t="shared" si="113"/>
        <v>February</v>
      </c>
      <c r="I2423" t="s">
        <v>95</v>
      </c>
      <c r="J2423" t="s">
        <v>3</v>
      </c>
      <c r="K2423">
        <v>8182</v>
      </c>
      <c r="L2423" s="5" t="str">
        <f>IF(OR(K2423&lt;Answers!$C$16,Orders!K2423&gt;Answers!$C$17),"Yes","No")</f>
        <v>No</v>
      </c>
      <c r="M2423" s="14">
        <f>VLOOKUP(B2423,Customers!$A$1:$E$2501,4,0)</f>
        <v>43</v>
      </c>
    </row>
    <row r="2424" spans="1:13" x14ac:dyDescent="0.3">
      <c r="A2424">
        <v>1641217</v>
      </c>
      <c r="B2424">
        <v>1098</v>
      </c>
      <c r="C2424" s="1" t="s">
        <v>105</v>
      </c>
      <c r="D2424" s="7">
        <v>45052</v>
      </c>
      <c r="E2424" s="11">
        <v>0.53055555555555556</v>
      </c>
      <c r="F2424" s="15">
        <f t="shared" si="111"/>
        <v>5</v>
      </c>
      <c r="G2424" s="10" t="str">
        <f t="shared" si="112"/>
        <v>Saturday</v>
      </c>
      <c r="H2424" s="9" t="str">
        <f t="shared" si="113"/>
        <v>May</v>
      </c>
      <c r="I2424" t="s">
        <v>97</v>
      </c>
      <c r="J2424" t="s">
        <v>80</v>
      </c>
      <c r="K2424">
        <v>8834</v>
      </c>
      <c r="L2424" s="5" t="str">
        <f>IF(OR(K2424&lt;Answers!$C$16,Orders!K2424&gt;Answers!$C$17),"Yes","No")</f>
        <v>No</v>
      </c>
      <c r="M2424" s="14">
        <f>VLOOKUP(B2424,Customers!$A$1:$E$2501,4,0)</f>
        <v>31</v>
      </c>
    </row>
    <row r="2425" spans="1:13" x14ac:dyDescent="0.3">
      <c r="A2425">
        <v>1642122</v>
      </c>
      <c r="B2425">
        <v>143</v>
      </c>
      <c r="C2425" s="1" t="s">
        <v>98</v>
      </c>
      <c r="D2425" s="7">
        <v>45227</v>
      </c>
      <c r="E2425" s="11">
        <v>0.51180555555555551</v>
      </c>
      <c r="F2425" s="15">
        <f t="shared" si="111"/>
        <v>10</v>
      </c>
      <c r="G2425" s="10" t="str">
        <f t="shared" si="112"/>
        <v>Saturday</v>
      </c>
      <c r="H2425" s="9" t="str">
        <f t="shared" si="113"/>
        <v>October</v>
      </c>
      <c r="I2425" t="s">
        <v>96</v>
      </c>
      <c r="J2425" t="s">
        <v>81</v>
      </c>
      <c r="K2425">
        <v>819</v>
      </c>
      <c r="L2425" s="5" t="str">
        <f>IF(OR(K2425&lt;Answers!$C$16,Orders!K2425&gt;Answers!$C$17),"Yes","No")</f>
        <v>No</v>
      </c>
      <c r="M2425" s="14">
        <f>VLOOKUP(B2425,Customers!$A$1:$E$2501,4,0)</f>
        <v>46</v>
      </c>
    </row>
    <row r="2426" spans="1:13" x14ac:dyDescent="0.3">
      <c r="A2426">
        <v>1642131</v>
      </c>
      <c r="B2426">
        <v>368</v>
      </c>
      <c r="C2426" s="1" t="s">
        <v>101</v>
      </c>
      <c r="D2426" s="7">
        <v>45123</v>
      </c>
      <c r="E2426" s="11">
        <v>0.51388888888888884</v>
      </c>
      <c r="F2426" s="15">
        <f t="shared" si="111"/>
        <v>7</v>
      </c>
      <c r="G2426" s="10" t="str">
        <f t="shared" si="112"/>
        <v>Sunday</v>
      </c>
      <c r="H2426" s="9" t="str">
        <f t="shared" si="113"/>
        <v>July</v>
      </c>
      <c r="I2426" t="s">
        <v>95</v>
      </c>
      <c r="J2426" t="s">
        <v>20</v>
      </c>
      <c r="K2426">
        <v>419</v>
      </c>
      <c r="L2426" s="5" t="str">
        <f>IF(OR(K2426&lt;Answers!$C$16,Orders!K2426&gt;Answers!$C$17),"Yes","No")</f>
        <v>No</v>
      </c>
      <c r="M2426" s="14">
        <f>VLOOKUP(B2426,Customers!$A$1:$E$2501,4,0)</f>
        <v>58</v>
      </c>
    </row>
    <row r="2427" spans="1:13" x14ac:dyDescent="0.3">
      <c r="A2427">
        <v>1642677</v>
      </c>
      <c r="B2427">
        <v>387</v>
      </c>
      <c r="C2427" s="1" t="s">
        <v>100</v>
      </c>
      <c r="D2427" s="7">
        <v>44961</v>
      </c>
      <c r="E2427" s="11">
        <v>36810</v>
      </c>
      <c r="F2427" s="15">
        <f t="shared" si="111"/>
        <v>2</v>
      </c>
      <c r="G2427" s="10" t="str">
        <f t="shared" si="112"/>
        <v>Saturday</v>
      </c>
      <c r="H2427" s="9" t="str">
        <f t="shared" si="113"/>
        <v>February</v>
      </c>
      <c r="I2427" t="s">
        <v>96</v>
      </c>
      <c r="J2427" t="s">
        <v>30</v>
      </c>
      <c r="K2427">
        <v>8906</v>
      </c>
      <c r="L2427" s="5" t="str">
        <f>IF(OR(K2427&lt;Answers!$C$16,Orders!K2427&gt;Answers!$C$17),"Yes","No")</f>
        <v>No</v>
      </c>
      <c r="M2427" s="14">
        <f>VLOOKUP(B2427,Customers!$A$1:$E$2501,4,0)</f>
        <v>41</v>
      </c>
    </row>
    <row r="2428" spans="1:13" x14ac:dyDescent="0.3">
      <c r="A2428">
        <v>1643238</v>
      </c>
      <c r="B2428">
        <v>455</v>
      </c>
      <c r="C2428" s="1" t="s">
        <v>108</v>
      </c>
      <c r="D2428" s="7">
        <v>45016</v>
      </c>
      <c r="E2428" s="11">
        <v>8.3333333333333329E-2</v>
      </c>
      <c r="F2428" s="15">
        <f t="shared" si="111"/>
        <v>3</v>
      </c>
      <c r="G2428" s="10" t="str">
        <f t="shared" si="112"/>
        <v>Friday</v>
      </c>
      <c r="H2428" s="9" t="str">
        <f t="shared" si="113"/>
        <v>March</v>
      </c>
      <c r="I2428" t="s">
        <v>190</v>
      </c>
      <c r="J2428" t="s">
        <v>26</v>
      </c>
      <c r="K2428">
        <v>3777</v>
      </c>
      <c r="L2428" s="5" t="str">
        <f>IF(OR(K2428&lt;Answers!$C$16,Orders!K2428&gt;Answers!$C$17),"Yes","No")</f>
        <v>No</v>
      </c>
      <c r="M2428" s="14">
        <f>VLOOKUP(B2428,Customers!$A$1:$E$2501,4,0)</f>
        <v>52</v>
      </c>
    </row>
    <row r="2429" spans="1:13" x14ac:dyDescent="0.3">
      <c r="A2429">
        <v>1643298</v>
      </c>
      <c r="B2429">
        <v>1699</v>
      </c>
      <c r="C2429" s="1" t="s">
        <v>100</v>
      </c>
      <c r="D2429" s="7">
        <v>45035</v>
      </c>
      <c r="E2429" s="11">
        <v>0.48958333333333331</v>
      </c>
      <c r="F2429" s="15">
        <f t="shared" si="111"/>
        <v>4</v>
      </c>
      <c r="G2429" s="10" t="str">
        <f t="shared" si="112"/>
        <v>Wednesday</v>
      </c>
      <c r="H2429" s="9" t="str">
        <f t="shared" si="113"/>
        <v>April</v>
      </c>
      <c r="I2429" t="s">
        <v>97</v>
      </c>
      <c r="J2429" t="s">
        <v>4</v>
      </c>
      <c r="K2429">
        <v>6207</v>
      </c>
      <c r="L2429" s="5" t="str">
        <f>IF(OR(K2429&lt;Answers!$C$16,Orders!K2429&gt;Answers!$C$17),"Yes","No")</f>
        <v>No</v>
      </c>
      <c r="M2429" s="14">
        <f>VLOOKUP(B2429,Customers!$A$1:$E$2501,4,0)</f>
        <v>21</v>
      </c>
    </row>
    <row r="2430" spans="1:13" x14ac:dyDescent="0.3">
      <c r="A2430">
        <v>1644933</v>
      </c>
      <c r="B2430">
        <v>164</v>
      </c>
      <c r="C2430" s="1" t="s">
        <v>98</v>
      </c>
      <c r="D2430" s="7">
        <v>45127</v>
      </c>
      <c r="E2430" s="11">
        <v>0.52013888888888893</v>
      </c>
      <c r="F2430" s="15">
        <f t="shared" si="111"/>
        <v>7</v>
      </c>
      <c r="G2430" s="10" t="str">
        <f t="shared" si="112"/>
        <v>Thursday</v>
      </c>
      <c r="H2430" s="9" t="str">
        <f t="shared" si="113"/>
        <v>July</v>
      </c>
      <c r="I2430" t="s">
        <v>96</v>
      </c>
      <c r="J2430" t="s">
        <v>38</v>
      </c>
      <c r="K2430">
        <v>3831</v>
      </c>
      <c r="L2430" s="5" t="str">
        <f>IF(OR(K2430&lt;Answers!$C$16,Orders!K2430&gt;Answers!$C$17),"Yes","No")</f>
        <v>No</v>
      </c>
      <c r="M2430" s="14">
        <f>VLOOKUP(B2430,Customers!$A$1:$E$2501,4,0)</f>
        <v>36</v>
      </c>
    </row>
    <row r="2431" spans="1:13" x14ac:dyDescent="0.3">
      <c r="A2431">
        <v>1644988</v>
      </c>
      <c r="B2431">
        <v>1400</v>
      </c>
      <c r="C2431" s="1" t="s">
        <v>98</v>
      </c>
      <c r="D2431" s="7">
        <v>45226</v>
      </c>
      <c r="E2431" s="11">
        <v>0.52430555555555558</v>
      </c>
      <c r="F2431" s="15">
        <f t="shared" si="111"/>
        <v>10</v>
      </c>
      <c r="G2431" s="10" t="str">
        <f t="shared" si="112"/>
        <v>Friday</v>
      </c>
      <c r="H2431" s="9" t="str">
        <f t="shared" si="113"/>
        <v>October</v>
      </c>
      <c r="I2431" t="s">
        <v>97</v>
      </c>
      <c r="J2431" t="s">
        <v>26</v>
      </c>
      <c r="K2431">
        <v>523</v>
      </c>
      <c r="L2431" s="5" t="str">
        <f>IF(OR(K2431&lt;Answers!$C$16,Orders!K2431&gt;Answers!$C$17),"Yes","No")</f>
        <v>No</v>
      </c>
      <c r="M2431" s="14">
        <f>VLOOKUP(B2431,Customers!$A$1:$E$2501,4,0)</f>
        <v>34</v>
      </c>
    </row>
    <row r="2432" spans="1:13" x14ac:dyDescent="0.3">
      <c r="A2432">
        <v>1646606</v>
      </c>
      <c r="B2432">
        <v>654</v>
      </c>
      <c r="C2432" s="1" t="s">
        <v>99</v>
      </c>
      <c r="D2432" s="7">
        <v>45243</v>
      </c>
      <c r="E2432" s="11">
        <v>0.48125000000000001</v>
      </c>
      <c r="F2432" s="15">
        <f t="shared" si="111"/>
        <v>11</v>
      </c>
      <c r="G2432" s="10" t="str">
        <f t="shared" si="112"/>
        <v>Monday</v>
      </c>
      <c r="H2432" s="9" t="str">
        <f t="shared" si="113"/>
        <v>November</v>
      </c>
      <c r="I2432" t="s">
        <v>96</v>
      </c>
      <c r="J2432" t="s">
        <v>5</v>
      </c>
      <c r="K2432">
        <v>673</v>
      </c>
      <c r="L2432" s="5" t="str">
        <f>IF(OR(K2432&lt;Answers!$C$16,Orders!K2432&gt;Answers!$C$17),"Yes","No")</f>
        <v>No</v>
      </c>
      <c r="M2432" s="14">
        <f>VLOOKUP(B2432,Customers!$A$1:$E$2501,4,0)</f>
        <v>51</v>
      </c>
    </row>
    <row r="2433" spans="1:13" x14ac:dyDescent="0.3">
      <c r="A2433">
        <v>1646930</v>
      </c>
      <c r="B2433">
        <v>146</v>
      </c>
      <c r="C2433" s="1" t="s">
        <v>102</v>
      </c>
      <c r="D2433" s="7">
        <v>45087</v>
      </c>
      <c r="E2433" s="11">
        <v>36770</v>
      </c>
      <c r="F2433" s="15">
        <f t="shared" si="111"/>
        <v>6</v>
      </c>
      <c r="G2433" s="10" t="str">
        <f t="shared" si="112"/>
        <v>Saturday</v>
      </c>
      <c r="H2433" s="9" t="str">
        <f t="shared" si="113"/>
        <v>June</v>
      </c>
      <c r="I2433" t="s">
        <v>95</v>
      </c>
      <c r="J2433" t="s">
        <v>16</v>
      </c>
      <c r="K2433">
        <v>5619</v>
      </c>
      <c r="L2433" s="5" t="str">
        <f>IF(OR(K2433&lt;Answers!$C$16,Orders!K2433&gt;Answers!$C$17),"Yes","No")</f>
        <v>No</v>
      </c>
      <c r="M2433" s="14">
        <f>VLOOKUP(B2433,Customers!$A$1:$E$2501,4,0)</f>
        <v>85</v>
      </c>
    </row>
    <row r="2434" spans="1:13" x14ac:dyDescent="0.3">
      <c r="A2434">
        <v>1646954</v>
      </c>
      <c r="B2434">
        <v>275</v>
      </c>
      <c r="C2434" s="1" t="s">
        <v>106</v>
      </c>
      <c r="D2434" s="7">
        <v>44949</v>
      </c>
      <c r="E2434" s="11">
        <v>0.52361111111111114</v>
      </c>
      <c r="F2434" s="15">
        <f t="shared" si="111"/>
        <v>1</v>
      </c>
      <c r="G2434" s="10" t="str">
        <f t="shared" si="112"/>
        <v>Monday</v>
      </c>
      <c r="H2434" s="9" t="str">
        <f t="shared" si="113"/>
        <v>January</v>
      </c>
      <c r="I2434" t="s">
        <v>97</v>
      </c>
      <c r="J2434" t="s">
        <v>69</v>
      </c>
      <c r="K2434">
        <v>4944</v>
      </c>
      <c r="L2434" s="5" t="str">
        <f>IF(OR(K2434&lt;Answers!$C$16,Orders!K2434&gt;Answers!$C$17),"Yes","No")</f>
        <v>No</v>
      </c>
      <c r="M2434" s="14">
        <f>VLOOKUP(B2434,Customers!$A$1:$E$2501,4,0)</f>
        <v>42</v>
      </c>
    </row>
    <row r="2435" spans="1:13" x14ac:dyDescent="0.3">
      <c r="A2435">
        <v>1647290</v>
      </c>
      <c r="B2435">
        <v>1451</v>
      </c>
      <c r="C2435" s="1" t="s">
        <v>98</v>
      </c>
      <c r="D2435" s="7">
        <v>45236</v>
      </c>
      <c r="E2435" s="11">
        <v>36628</v>
      </c>
      <c r="F2435" s="15">
        <f t="shared" ref="F2435:F2498" si="114">MONTH(D2435)</f>
        <v>11</v>
      </c>
      <c r="G2435" s="10" t="str">
        <f t="shared" ref="G2435:G2498" si="115">TEXT(D2435,"dddd")</f>
        <v>Monday</v>
      </c>
      <c r="H2435" s="9" t="str">
        <f t="shared" ref="H2435:H2498" si="116">TEXT(D2435,"mmmm")</f>
        <v>November</v>
      </c>
      <c r="I2435" t="s">
        <v>95</v>
      </c>
      <c r="J2435" t="s">
        <v>4</v>
      </c>
      <c r="K2435">
        <v>4573</v>
      </c>
      <c r="L2435" s="5" t="str">
        <f>IF(OR(K2435&lt;Answers!$C$16,Orders!K2435&gt;Answers!$C$17),"Yes","No")</f>
        <v>No</v>
      </c>
      <c r="M2435" s="14">
        <f>VLOOKUP(B2435,Customers!$A$1:$E$2501,4,0)</f>
        <v>51</v>
      </c>
    </row>
    <row r="2436" spans="1:13" x14ac:dyDescent="0.3">
      <c r="A2436">
        <v>1648180</v>
      </c>
      <c r="B2436">
        <v>993</v>
      </c>
      <c r="C2436" s="1" t="s">
        <v>101</v>
      </c>
      <c r="D2436" s="7">
        <v>44928</v>
      </c>
      <c r="E2436" s="11">
        <v>0.51944444444444449</v>
      </c>
      <c r="F2436" s="15">
        <f t="shared" si="114"/>
        <v>1</v>
      </c>
      <c r="G2436" s="10" t="str">
        <f t="shared" si="115"/>
        <v>Monday</v>
      </c>
      <c r="H2436" s="9" t="str">
        <f t="shared" si="116"/>
        <v>January</v>
      </c>
      <c r="I2436" t="s">
        <v>96</v>
      </c>
      <c r="J2436" t="s">
        <v>42</v>
      </c>
      <c r="K2436">
        <v>4526</v>
      </c>
      <c r="L2436" s="5" t="str">
        <f>IF(OR(K2436&lt;Answers!$C$16,Orders!K2436&gt;Answers!$C$17),"Yes","No")</f>
        <v>No</v>
      </c>
      <c r="M2436" s="14">
        <f>VLOOKUP(B2436,Customers!$A$1:$E$2501,4,0)</f>
        <v>86</v>
      </c>
    </row>
    <row r="2437" spans="1:13" x14ac:dyDescent="0.3">
      <c r="A2437">
        <v>1648466</v>
      </c>
      <c r="B2437">
        <v>842</v>
      </c>
      <c r="C2437" s="1" t="s">
        <v>99</v>
      </c>
      <c r="D2437" s="7">
        <v>44948</v>
      </c>
      <c r="E2437" s="11">
        <v>0.4909722222222222</v>
      </c>
      <c r="F2437" s="15">
        <f t="shared" si="114"/>
        <v>1</v>
      </c>
      <c r="G2437" s="10" t="str">
        <f t="shared" si="115"/>
        <v>Sunday</v>
      </c>
      <c r="H2437" s="9" t="str">
        <f t="shared" si="116"/>
        <v>January</v>
      </c>
      <c r="I2437" t="s">
        <v>190</v>
      </c>
      <c r="J2437" t="s">
        <v>6</v>
      </c>
      <c r="K2437">
        <v>3076</v>
      </c>
      <c r="L2437" s="5" t="str">
        <f>IF(OR(K2437&lt;Answers!$C$16,Orders!K2437&gt;Answers!$C$17),"Yes","No")</f>
        <v>No</v>
      </c>
      <c r="M2437" s="14">
        <f>VLOOKUP(B2437,Customers!$A$1:$E$2501,4,0)</f>
        <v>41</v>
      </c>
    </row>
    <row r="2438" spans="1:13" x14ac:dyDescent="0.3">
      <c r="A2438">
        <v>1649120</v>
      </c>
      <c r="B2438">
        <v>74</v>
      </c>
      <c r="C2438" s="1" t="s">
        <v>98</v>
      </c>
      <c r="D2438" s="7">
        <v>45030</v>
      </c>
      <c r="E2438" s="11">
        <v>0.51944444444444449</v>
      </c>
      <c r="F2438" s="15">
        <f t="shared" si="114"/>
        <v>4</v>
      </c>
      <c r="G2438" s="10" t="str">
        <f t="shared" si="115"/>
        <v>Friday</v>
      </c>
      <c r="H2438" s="9" t="str">
        <f t="shared" si="116"/>
        <v>April</v>
      </c>
      <c r="I2438" t="s">
        <v>96</v>
      </c>
      <c r="J2438" t="s">
        <v>7</v>
      </c>
      <c r="K2438">
        <v>4798</v>
      </c>
      <c r="L2438" s="5" t="str">
        <f>IF(OR(K2438&lt;Answers!$C$16,Orders!K2438&gt;Answers!$C$17),"Yes","No")</f>
        <v>No</v>
      </c>
      <c r="M2438" s="14">
        <f>VLOOKUP(B2438,Customers!$A$1:$E$2501,4,0)</f>
        <v>28</v>
      </c>
    </row>
    <row r="2439" spans="1:13" x14ac:dyDescent="0.3">
      <c r="A2439">
        <v>1649225</v>
      </c>
      <c r="B2439">
        <v>859</v>
      </c>
      <c r="C2439" s="1" t="s">
        <v>98</v>
      </c>
      <c r="D2439" s="7">
        <v>45181</v>
      </c>
      <c r="E2439" s="11">
        <v>36657</v>
      </c>
      <c r="F2439" s="15">
        <f t="shared" si="114"/>
        <v>9</v>
      </c>
      <c r="G2439" s="10" t="str">
        <f t="shared" si="115"/>
        <v>Tuesday</v>
      </c>
      <c r="H2439" s="9" t="str">
        <f t="shared" si="116"/>
        <v>September</v>
      </c>
      <c r="I2439" t="s">
        <v>95</v>
      </c>
      <c r="J2439" t="s">
        <v>45</v>
      </c>
      <c r="K2439">
        <v>811</v>
      </c>
      <c r="L2439" s="5" t="str">
        <f>IF(OR(K2439&lt;Answers!$C$16,Orders!K2439&gt;Answers!$C$17),"Yes","No")</f>
        <v>No</v>
      </c>
      <c r="M2439" s="14">
        <f>VLOOKUP(B2439,Customers!$A$1:$E$2501,4,0)</f>
        <v>34</v>
      </c>
    </row>
    <row r="2440" spans="1:13" x14ac:dyDescent="0.3">
      <c r="A2440">
        <v>1650492</v>
      </c>
      <c r="B2440">
        <v>473</v>
      </c>
      <c r="C2440" s="1" t="s">
        <v>110</v>
      </c>
      <c r="D2440" s="7">
        <v>45262</v>
      </c>
      <c r="E2440" s="11">
        <v>0.51180555555555551</v>
      </c>
      <c r="F2440" s="15">
        <f t="shared" si="114"/>
        <v>12</v>
      </c>
      <c r="G2440" s="10" t="str">
        <f t="shared" si="115"/>
        <v>Saturday</v>
      </c>
      <c r="H2440" s="9" t="str">
        <f t="shared" si="116"/>
        <v>December</v>
      </c>
      <c r="I2440" t="s">
        <v>190</v>
      </c>
      <c r="J2440" t="s">
        <v>9</v>
      </c>
      <c r="K2440">
        <v>8148</v>
      </c>
      <c r="L2440" s="5" t="str">
        <f>IF(OR(K2440&lt;Answers!$C$16,Orders!K2440&gt;Answers!$C$17),"Yes","No")</f>
        <v>No</v>
      </c>
      <c r="M2440" s="14">
        <f>VLOOKUP(B2440,Customers!$A$1:$E$2501,4,0)</f>
        <v>19</v>
      </c>
    </row>
    <row r="2441" spans="1:13" x14ac:dyDescent="0.3">
      <c r="A2441">
        <v>1650779</v>
      </c>
      <c r="B2441">
        <v>1034</v>
      </c>
      <c r="C2441" s="1" t="s">
        <v>106</v>
      </c>
      <c r="D2441" s="7">
        <v>45028</v>
      </c>
      <c r="E2441" s="11">
        <v>0.53333333333333333</v>
      </c>
      <c r="F2441" s="15">
        <f t="shared" si="114"/>
        <v>4</v>
      </c>
      <c r="G2441" s="10" t="str">
        <f t="shared" si="115"/>
        <v>Wednesday</v>
      </c>
      <c r="H2441" s="9" t="str">
        <f t="shared" si="116"/>
        <v>April</v>
      </c>
      <c r="I2441" t="s">
        <v>95</v>
      </c>
      <c r="J2441" t="s">
        <v>26</v>
      </c>
      <c r="K2441">
        <v>8843</v>
      </c>
      <c r="L2441" s="5" t="str">
        <f>IF(OR(K2441&lt;Answers!$C$16,Orders!K2441&gt;Answers!$C$17),"Yes","No")</f>
        <v>No</v>
      </c>
      <c r="M2441" s="14">
        <f>VLOOKUP(B2441,Customers!$A$1:$E$2501,4,0)</f>
        <v>31</v>
      </c>
    </row>
    <row r="2442" spans="1:13" x14ac:dyDescent="0.3">
      <c r="A2442">
        <v>1651135</v>
      </c>
      <c r="B2442">
        <v>1845</v>
      </c>
      <c r="C2442" s="1" t="s">
        <v>101</v>
      </c>
      <c r="D2442" s="7">
        <v>45267</v>
      </c>
      <c r="E2442" s="11">
        <v>36781</v>
      </c>
      <c r="F2442" s="15">
        <f t="shared" si="114"/>
        <v>12</v>
      </c>
      <c r="G2442" s="10" t="str">
        <f t="shared" si="115"/>
        <v>Thursday</v>
      </c>
      <c r="H2442" s="9" t="str">
        <f t="shared" si="116"/>
        <v>December</v>
      </c>
      <c r="I2442" t="s">
        <v>95</v>
      </c>
      <c r="J2442" t="s">
        <v>12</v>
      </c>
      <c r="K2442">
        <v>2721</v>
      </c>
      <c r="L2442" s="5" t="str">
        <f>IF(OR(K2442&lt;Answers!$C$16,Orders!K2442&gt;Answers!$C$17),"Yes","No")</f>
        <v>No</v>
      </c>
      <c r="M2442" s="14">
        <f>VLOOKUP(B2442,Customers!$A$1:$E$2501,4,0)</f>
        <v>83</v>
      </c>
    </row>
    <row r="2443" spans="1:13" x14ac:dyDescent="0.3">
      <c r="A2443">
        <v>1653886</v>
      </c>
      <c r="B2443">
        <v>1518</v>
      </c>
      <c r="C2443" s="1" t="s">
        <v>98</v>
      </c>
      <c r="D2443" s="7">
        <v>45054</v>
      </c>
      <c r="E2443" s="11">
        <v>6.3194444444444442E-2</v>
      </c>
      <c r="F2443" s="15">
        <f t="shared" si="114"/>
        <v>5</v>
      </c>
      <c r="G2443" s="10" t="str">
        <f t="shared" si="115"/>
        <v>Monday</v>
      </c>
      <c r="H2443" s="9" t="str">
        <f t="shared" si="116"/>
        <v>May</v>
      </c>
      <c r="I2443" t="s">
        <v>95</v>
      </c>
      <c r="J2443" t="s">
        <v>9</v>
      </c>
      <c r="K2443">
        <v>8879</v>
      </c>
      <c r="L2443" s="5" t="str">
        <f>IF(OR(K2443&lt;Answers!$C$16,Orders!K2443&gt;Answers!$C$17),"Yes","No")</f>
        <v>No</v>
      </c>
      <c r="M2443" s="14">
        <f>VLOOKUP(B2443,Customers!$A$1:$E$2501,4,0)</f>
        <v>66</v>
      </c>
    </row>
    <row r="2444" spans="1:13" x14ac:dyDescent="0.3">
      <c r="A2444">
        <v>1654315</v>
      </c>
      <c r="B2444">
        <v>762</v>
      </c>
      <c r="C2444" s="1" t="s">
        <v>107</v>
      </c>
      <c r="D2444" s="7">
        <v>45169</v>
      </c>
      <c r="E2444" s="11">
        <v>0.51388888888888884</v>
      </c>
      <c r="F2444" s="15">
        <f t="shared" si="114"/>
        <v>8</v>
      </c>
      <c r="G2444" s="10" t="str">
        <f t="shared" si="115"/>
        <v>Thursday</v>
      </c>
      <c r="H2444" s="9" t="str">
        <f t="shared" si="116"/>
        <v>August</v>
      </c>
      <c r="I2444" t="s">
        <v>96</v>
      </c>
      <c r="J2444" t="s">
        <v>14</v>
      </c>
      <c r="K2444">
        <v>4846</v>
      </c>
      <c r="L2444" s="5" t="str">
        <f>IF(OR(K2444&lt;Answers!$C$16,Orders!K2444&gt;Answers!$C$17),"Yes","No")</f>
        <v>No</v>
      </c>
      <c r="M2444" s="14">
        <f>VLOOKUP(B2444,Customers!$A$1:$E$2501,4,0)</f>
        <v>21</v>
      </c>
    </row>
    <row r="2445" spans="1:13" x14ac:dyDescent="0.3">
      <c r="A2445">
        <v>1654344</v>
      </c>
      <c r="B2445">
        <v>1851</v>
      </c>
      <c r="C2445" s="1" t="s">
        <v>104</v>
      </c>
      <c r="D2445" s="7">
        <v>44961</v>
      </c>
      <c r="E2445" s="11">
        <v>0.53472222222222221</v>
      </c>
      <c r="F2445" s="15">
        <f t="shared" si="114"/>
        <v>2</v>
      </c>
      <c r="G2445" s="10" t="str">
        <f t="shared" si="115"/>
        <v>Saturday</v>
      </c>
      <c r="H2445" s="9" t="str">
        <f t="shared" si="116"/>
        <v>February</v>
      </c>
      <c r="I2445" t="s">
        <v>96</v>
      </c>
      <c r="J2445" t="s">
        <v>12</v>
      </c>
      <c r="K2445">
        <v>1085</v>
      </c>
      <c r="L2445" s="5" t="str">
        <f>IF(OR(K2445&lt;Answers!$C$16,Orders!K2445&gt;Answers!$C$17),"Yes","No")</f>
        <v>No</v>
      </c>
      <c r="M2445" s="14">
        <f>VLOOKUP(B2445,Customers!$A$1:$E$2501,4,0)</f>
        <v>76</v>
      </c>
    </row>
    <row r="2446" spans="1:13" x14ac:dyDescent="0.3">
      <c r="A2446">
        <v>1654679</v>
      </c>
      <c r="B2446">
        <v>804</v>
      </c>
      <c r="C2446" s="1" t="s">
        <v>108</v>
      </c>
      <c r="D2446" s="7">
        <v>45095</v>
      </c>
      <c r="E2446" s="11">
        <v>0.48541666666666666</v>
      </c>
      <c r="F2446" s="15">
        <f t="shared" si="114"/>
        <v>6</v>
      </c>
      <c r="G2446" s="10" t="str">
        <f t="shared" si="115"/>
        <v>Sunday</v>
      </c>
      <c r="H2446" s="9" t="str">
        <f t="shared" si="116"/>
        <v>June</v>
      </c>
      <c r="I2446" t="s">
        <v>95</v>
      </c>
      <c r="J2446" t="s">
        <v>61</v>
      </c>
      <c r="K2446">
        <v>8264</v>
      </c>
      <c r="L2446" s="5" t="str">
        <f>IF(OR(K2446&lt;Answers!$C$16,Orders!K2446&gt;Answers!$C$17),"Yes","No")</f>
        <v>No</v>
      </c>
      <c r="M2446" s="14">
        <f>VLOOKUP(B2446,Customers!$A$1:$E$2501,4,0)</f>
        <v>56</v>
      </c>
    </row>
    <row r="2447" spans="1:13" x14ac:dyDescent="0.3">
      <c r="A2447">
        <v>1655697</v>
      </c>
      <c r="B2447">
        <v>499</v>
      </c>
      <c r="C2447" s="1" t="s">
        <v>100</v>
      </c>
      <c r="D2447" s="7">
        <v>45051</v>
      </c>
      <c r="E2447" s="11">
        <v>0.53888888888888886</v>
      </c>
      <c r="F2447" s="15">
        <f t="shared" si="114"/>
        <v>5</v>
      </c>
      <c r="G2447" s="10" t="str">
        <f t="shared" si="115"/>
        <v>Friday</v>
      </c>
      <c r="H2447" s="9" t="str">
        <f t="shared" si="116"/>
        <v>May</v>
      </c>
      <c r="I2447" t="s">
        <v>95</v>
      </c>
      <c r="J2447" t="s">
        <v>74</v>
      </c>
      <c r="K2447">
        <v>3864</v>
      </c>
      <c r="L2447" s="5" t="str">
        <f>IF(OR(K2447&lt;Answers!$C$16,Orders!K2447&gt;Answers!$C$17),"Yes","No")</f>
        <v>No</v>
      </c>
      <c r="M2447" s="14">
        <f>VLOOKUP(B2447,Customers!$A$1:$E$2501,4,0)</f>
        <v>89</v>
      </c>
    </row>
    <row r="2448" spans="1:13" x14ac:dyDescent="0.3">
      <c r="A2448">
        <v>1656071</v>
      </c>
      <c r="B2448">
        <v>901</v>
      </c>
      <c r="C2448" s="1" t="s">
        <v>98</v>
      </c>
      <c r="D2448" s="7">
        <v>45235</v>
      </c>
      <c r="E2448" s="11">
        <v>36537</v>
      </c>
      <c r="F2448" s="15">
        <f t="shared" si="114"/>
        <v>11</v>
      </c>
      <c r="G2448" s="10" t="str">
        <f t="shared" si="115"/>
        <v>Sunday</v>
      </c>
      <c r="H2448" s="9" t="str">
        <f t="shared" si="116"/>
        <v>November</v>
      </c>
      <c r="I2448" t="s">
        <v>96</v>
      </c>
      <c r="J2448" t="s">
        <v>18</v>
      </c>
      <c r="K2448">
        <v>634</v>
      </c>
      <c r="L2448" s="5" t="str">
        <f>IF(OR(K2448&lt;Answers!$C$16,Orders!K2448&gt;Answers!$C$17),"Yes","No")</f>
        <v>No</v>
      </c>
      <c r="M2448" s="14">
        <f>VLOOKUP(B2448,Customers!$A$1:$E$2501,4,0)</f>
        <v>44</v>
      </c>
    </row>
    <row r="2449" spans="1:13" x14ac:dyDescent="0.3">
      <c r="A2449">
        <v>1656749</v>
      </c>
      <c r="B2449">
        <v>316</v>
      </c>
      <c r="C2449" s="1" t="s">
        <v>112</v>
      </c>
      <c r="D2449" s="7">
        <v>45083</v>
      </c>
      <c r="E2449" s="11">
        <v>0.51388888888888884</v>
      </c>
      <c r="F2449" s="15">
        <f t="shared" si="114"/>
        <v>6</v>
      </c>
      <c r="G2449" s="10" t="str">
        <f t="shared" si="115"/>
        <v>Tuesday</v>
      </c>
      <c r="H2449" s="9" t="str">
        <f t="shared" si="116"/>
        <v>June</v>
      </c>
      <c r="I2449" t="s">
        <v>96</v>
      </c>
      <c r="J2449" t="s">
        <v>19</v>
      </c>
      <c r="K2449">
        <v>7917</v>
      </c>
      <c r="L2449" s="5" t="str">
        <f>IF(OR(K2449&lt;Answers!$C$16,Orders!K2449&gt;Answers!$C$17),"Yes","No")</f>
        <v>No</v>
      </c>
      <c r="M2449" s="14">
        <f>VLOOKUP(B2449,Customers!$A$1:$E$2501,4,0)</f>
        <v>89</v>
      </c>
    </row>
    <row r="2450" spans="1:13" x14ac:dyDescent="0.3">
      <c r="A2450">
        <v>1657013</v>
      </c>
      <c r="B2450">
        <v>1799</v>
      </c>
      <c r="C2450" s="1" t="s">
        <v>99</v>
      </c>
      <c r="D2450" s="7">
        <v>45031</v>
      </c>
      <c r="E2450" s="11">
        <v>0.5131944444444444</v>
      </c>
      <c r="F2450" s="15">
        <f t="shared" si="114"/>
        <v>4</v>
      </c>
      <c r="G2450" s="10" t="str">
        <f t="shared" si="115"/>
        <v>Saturday</v>
      </c>
      <c r="H2450" s="9" t="str">
        <f t="shared" si="116"/>
        <v>April</v>
      </c>
      <c r="I2450" t="s">
        <v>190</v>
      </c>
      <c r="J2450" t="s">
        <v>20</v>
      </c>
      <c r="K2450">
        <v>5240</v>
      </c>
      <c r="L2450" s="5" t="str">
        <f>IF(OR(K2450&lt;Answers!$C$16,Orders!K2450&gt;Answers!$C$17),"Yes","No")</f>
        <v>No</v>
      </c>
      <c r="M2450" s="14">
        <f>VLOOKUP(B2450,Customers!$A$1:$E$2501,4,0)</f>
        <v>75</v>
      </c>
    </row>
    <row r="2451" spans="1:13" x14ac:dyDescent="0.3">
      <c r="A2451">
        <v>1657910</v>
      </c>
      <c r="B2451">
        <v>853</v>
      </c>
      <c r="C2451" s="1" t="s">
        <v>98</v>
      </c>
      <c r="D2451" s="7">
        <v>45102</v>
      </c>
      <c r="E2451" s="11">
        <v>0.52708333333333335</v>
      </c>
      <c r="F2451" s="15">
        <f t="shared" si="114"/>
        <v>6</v>
      </c>
      <c r="G2451" s="10" t="str">
        <f t="shared" si="115"/>
        <v>Sunday</v>
      </c>
      <c r="H2451" s="9" t="str">
        <f t="shared" si="116"/>
        <v>June</v>
      </c>
      <c r="I2451" t="s">
        <v>97</v>
      </c>
      <c r="J2451" t="s">
        <v>82</v>
      </c>
      <c r="K2451">
        <v>8403</v>
      </c>
      <c r="L2451" s="5" t="str">
        <f>IF(OR(K2451&lt;Answers!$C$16,Orders!K2451&gt;Answers!$C$17),"Yes","No")</f>
        <v>No</v>
      </c>
      <c r="M2451" s="14">
        <f>VLOOKUP(B2451,Customers!$A$1:$E$2501,4,0)</f>
        <v>57</v>
      </c>
    </row>
    <row r="2452" spans="1:13" x14ac:dyDescent="0.3">
      <c r="A2452">
        <v>1659401</v>
      </c>
      <c r="B2452">
        <v>214</v>
      </c>
      <c r="C2452" s="1" t="s">
        <v>98</v>
      </c>
      <c r="D2452" s="7">
        <v>45118</v>
      </c>
      <c r="E2452" s="11">
        <v>0.47361111111111109</v>
      </c>
      <c r="F2452" s="15">
        <f t="shared" si="114"/>
        <v>7</v>
      </c>
      <c r="G2452" s="10" t="str">
        <f t="shared" si="115"/>
        <v>Tuesday</v>
      </c>
      <c r="H2452" s="9" t="str">
        <f t="shared" si="116"/>
        <v>July</v>
      </c>
      <c r="I2452" t="s">
        <v>95</v>
      </c>
      <c r="J2452" t="s">
        <v>48</v>
      </c>
      <c r="K2452">
        <v>1671</v>
      </c>
      <c r="L2452" s="5" t="str">
        <f>IF(OR(K2452&lt;Answers!$C$16,Orders!K2452&gt;Answers!$C$17),"Yes","No")</f>
        <v>No</v>
      </c>
      <c r="M2452" s="14">
        <f>VLOOKUP(B2452,Customers!$A$1:$E$2501,4,0)</f>
        <v>18</v>
      </c>
    </row>
    <row r="2453" spans="1:13" x14ac:dyDescent="0.3">
      <c r="A2453">
        <v>1659771</v>
      </c>
      <c r="B2453">
        <v>597</v>
      </c>
      <c r="C2453" s="1" t="s">
        <v>99</v>
      </c>
      <c r="D2453" s="7">
        <v>45247</v>
      </c>
      <c r="E2453" s="11">
        <v>5.1388888888888887E-2</v>
      </c>
      <c r="F2453" s="15">
        <f t="shared" si="114"/>
        <v>11</v>
      </c>
      <c r="G2453" s="10" t="str">
        <f t="shared" si="115"/>
        <v>Friday</v>
      </c>
      <c r="H2453" s="9" t="str">
        <f t="shared" si="116"/>
        <v>November</v>
      </c>
      <c r="I2453" t="s">
        <v>96</v>
      </c>
      <c r="J2453" t="s">
        <v>22</v>
      </c>
      <c r="K2453">
        <v>2382</v>
      </c>
      <c r="L2453" s="5" t="str">
        <f>IF(OR(K2453&lt;Answers!$C$16,Orders!K2453&gt;Answers!$C$17),"Yes","No")</f>
        <v>No</v>
      </c>
      <c r="M2453" s="14">
        <f>VLOOKUP(B2453,Customers!$A$1:$E$2501,4,0)</f>
        <v>43</v>
      </c>
    </row>
    <row r="2454" spans="1:13" x14ac:dyDescent="0.3">
      <c r="A2454">
        <v>1659887</v>
      </c>
      <c r="B2454">
        <v>1854</v>
      </c>
      <c r="C2454" s="1" t="s">
        <v>98</v>
      </c>
      <c r="D2454" s="7">
        <v>45271</v>
      </c>
      <c r="E2454" s="11">
        <v>36628</v>
      </c>
      <c r="F2454" s="15">
        <f t="shared" si="114"/>
        <v>12</v>
      </c>
      <c r="G2454" s="10" t="str">
        <f t="shared" si="115"/>
        <v>Monday</v>
      </c>
      <c r="H2454" s="9" t="str">
        <f t="shared" si="116"/>
        <v>December</v>
      </c>
      <c r="I2454" t="s">
        <v>97</v>
      </c>
      <c r="J2454" t="s">
        <v>5</v>
      </c>
      <c r="K2454">
        <v>3461</v>
      </c>
      <c r="L2454" s="5" t="str">
        <f>IF(OR(K2454&lt;Answers!$C$16,Orders!K2454&gt;Answers!$C$17),"Yes","No")</f>
        <v>No</v>
      </c>
      <c r="M2454" s="14">
        <f>VLOOKUP(B2454,Customers!$A$1:$E$2501,4,0)</f>
        <v>87</v>
      </c>
    </row>
    <row r="2455" spans="1:13" x14ac:dyDescent="0.3">
      <c r="A2455">
        <v>1660154</v>
      </c>
      <c r="B2455">
        <v>105</v>
      </c>
      <c r="C2455" s="1" t="s">
        <v>98</v>
      </c>
      <c r="D2455" s="7">
        <v>45056</v>
      </c>
      <c r="E2455" s="11">
        <v>6.9444444444444448E-2</v>
      </c>
      <c r="F2455" s="15">
        <f t="shared" si="114"/>
        <v>5</v>
      </c>
      <c r="G2455" s="10" t="str">
        <f t="shared" si="115"/>
        <v>Wednesday</v>
      </c>
      <c r="H2455" s="9" t="str">
        <f t="shared" si="116"/>
        <v>May</v>
      </c>
      <c r="I2455" t="s">
        <v>96</v>
      </c>
      <c r="J2455" t="s">
        <v>53</v>
      </c>
      <c r="K2455">
        <v>9184</v>
      </c>
      <c r="L2455" s="5" t="str">
        <f>IF(OR(K2455&lt;Answers!$C$16,Orders!K2455&gt;Answers!$C$17),"Yes","No")</f>
        <v>No</v>
      </c>
      <c r="M2455" s="14">
        <f>VLOOKUP(B2455,Customers!$A$1:$E$2501,4,0)</f>
        <v>80</v>
      </c>
    </row>
    <row r="2456" spans="1:13" x14ac:dyDescent="0.3">
      <c r="A2456">
        <v>1660467</v>
      </c>
      <c r="B2456">
        <v>46</v>
      </c>
      <c r="C2456" s="1" t="s">
        <v>101</v>
      </c>
      <c r="D2456" s="7">
        <v>45176</v>
      </c>
      <c r="E2456" s="11">
        <v>0.52847222222222223</v>
      </c>
      <c r="F2456" s="15">
        <f t="shared" si="114"/>
        <v>9</v>
      </c>
      <c r="G2456" s="10" t="str">
        <f t="shared" si="115"/>
        <v>Thursday</v>
      </c>
      <c r="H2456" s="9" t="str">
        <f t="shared" si="116"/>
        <v>September</v>
      </c>
      <c r="I2456" t="s">
        <v>95</v>
      </c>
      <c r="J2456" t="s">
        <v>17</v>
      </c>
      <c r="K2456">
        <v>7481</v>
      </c>
      <c r="L2456" s="5" t="str">
        <f>IF(OR(K2456&lt;Answers!$C$16,Orders!K2456&gt;Answers!$C$17),"Yes","No")</f>
        <v>No</v>
      </c>
      <c r="M2456" s="14">
        <f>VLOOKUP(B2456,Customers!$A$1:$E$2501,4,0)</f>
        <v>66</v>
      </c>
    </row>
    <row r="2457" spans="1:13" x14ac:dyDescent="0.3">
      <c r="A2457">
        <v>1661217</v>
      </c>
      <c r="B2457">
        <v>1025</v>
      </c>
      <c r="C2457" s="1" t="s">
        <v>100</v>
      </c>
      <c r="D2457" s="7">
        <v>45172</v>
      </c>
      <c r="E2457" s="11">
        <v>0.47291666666666665</v>
      </c>
      <c r="F2457" s="15">
        <f t="shared" si="114"/>
        <v>9</v>
      </c>
      <c r="G2457" s="10" t="str">
        <f t="shared" si="115"/>
        <v>Sunday</v>
      </c>
      <c r="H2457" s="9" t="str">
        <f t="shared" si="116"/>
        <v>September</v>
      </c>
      <c r="I2457" t="s">
        <v>97</v>
      </c>
      <c r="J2457" t="s">
        <v>42</v>
      </c>
      <c r="K2457">
        <v>9380</v>
      </c>
      <c r="L2457" s="5" t="str">
        <f>IF(OR(K2457&lt;Answers!$C$16,Orders!K2457&gt;Answers!$C$17),"Yes","No")</f>
        <v>No</v>
      </c>
      <c r="M2457" s="14">
        <f>VLOOKUP(B2457,Customers!$A$1:$E$2501,4,0)</f>
        <v>48</v>
      </c>
    </row>
    <row r="2458" spans="1:13" x14ac:dyDescent="0.3">
      <c r="A2458">
        <v>1662668</v>
      </c>
      <c r="B2458">
        <v>1000</v>
      </c>
      <c r="C2458" s="1" t="s">
        <v>112</v>
      </c>
      <c r="D2458" s="7">
        <v>45205</v>
      </c>
      <c r="E2458" s="11">
        <v>0.51041666666666663</v>
      </c>
      <c r="F2458" s="15">
        <f t="shared" si="114"/>
        <v>10</v>
      </c>
      <c r="G2458" s="10" t="str">
        <f t="shared" si="115"/>
        <v>Friday</v>
      </c>
      <c r="H2458" s="9" t="str">
        <f t="shared" si="116"/>
        <v>October</v>
      </c>
      <c r="I2458" t="s">
        <v>97</v>
      </c>
      <c r="J2458" t="s">
        <v>25</v>
      </c>
      <c r="K2458">
        <v>4805</v>
      </c>
      <c r="L2458" s="5" t="str">
        <f>IF(OR(K2458&lt;Answers!$C$16,Orders!K2458&gt;Answers!$C$17),"Yes","No")</f>
        <v>No</v>
      </c>
      <c r="M2458" s="14">
        <f>VLOOKUP(B2458,Customers!$A$1:$E$2501,4,0)</f>
        <v>69</v>
      </c>
    </row>
    <row r="2459" spans="1:13" x14ac:dyDescent="0.3">
      <c r="A2459">
        <v>1662944</v>
      </c>
      <c r="B2459">
        <v>1488</v>
      </c>
      <c r="C2459" s="1" t="s">
        <v>98</v>
      </c>
      <c r="D2459" s="7">
        <v>45280</v>
      </c>
      <c r="E2459" s="11">
        <v>0.53263888888888888</v>
      </c>
      <c r="F2459" s="15">
        <f t="shared" si="114"/>
        <v>12</v>
      </c>
      <c r="G2459" s="10" t="str">
        <f t="shared" si="115"/>
        <v>Wednesday</v>
      </c>
      <c r="H2459" s="9" t="str">
        <f t="shared" si="116"/>
        <v>December</v>
      </c>
      <c r="I2459" t="s">
        <v>97</v>
      </c>
      <c r="J2459" t="s">
        <v>51</v>
      </c>
      <c r="K2459">
        <v>9411</v>
      </c>
      <c r="L2459" s="5" t="str">
        <f>IF(OR(K2459&lt;Answers!$C$16,Orders!K2459&gt;Answers!$C$17),"Yes","No")</f>
        <v>No</v>
      </c>
      <c r="M2459" s="14">
        <f>VLOOKUP(B2459,Customers!$A$1:$E$2501,4,0)</f>
        <v>35</v>
      </c>
    </row>
    <row r="2460" spans="1:13" x14ac:dyDescent="0.3">
      <c r="A2460">
        <v>1664960</v>
      </c>
      <c r="B2460">
        <v>754</v>
      </c>
      <c r="C2460" s="1" t="s">
        <v>106</v>
      </c>
      <c r="D2460" s="7">
        <v>45070</v>
      </c>
      <c r="E2460" s="11">
        <v>0.45347222222222222</v>
      </c>
      <c r="F2460" s="15">
        <f t="shared" si="114"/>
        <v>5</v>
      </c>
      <c r="G2460" s="10" t="str">
        <f t="shared" si="115"/>
        <v>Wednesday</v>
      </c>
      <c r="H2460" s="9" t="str">
        <f t="shared" si="116"/>
        <v>May</v>
      </c>
      <c r="I2460" t="s">
        <v>97</v>
      </c>
      <c r="J2460" t="s">
        <v>22</v>
      </c>
      <c r="K2460">
        <v>4918</v>
      </c>
      <c r="L2460" s="5" t="str">
        <f>IF(OR(K2460&lt;Answers!$C$16,Orders!K2460&gt;Answers!$C$17),"Yes","No")</f>
        <v>No</v>
      </c>
      <c r="M2460" s="14">
        <f>VLOOKUP(B2460,Customers!$A$1:$E$2501,4,0)</f>
        <v>58</v>
      </c>
    </row>
    <row r="2461" spans="1:13" x14ac:dyDescent="0.3">
      <c r="A2461">
        <v>1664973</v>
      </c>
      <c r="B2461">
        <v>698</v>
      </c>
      <c r="C2461" s="1" t="s">
        <v>100</v>
      </c>
      <c r="D2461" s="7">
        <v>45148</v>
      </c>
      <c r="E2461" s="11">
        <v>0.53749999999999998</v>
      </c>
      <c r="F2461" s="15">
        <f t="shared" si="114"/>
        <v>8</v>
      </c>
      <c r="G2461" s="10" t="str">
        <f t="shared" si="115"/>
        <v>Thursday</v>
      </c>
      <c r="H2461" s="9" t="str">
        <f t="shared" si="116"/>
        <v>August</v>
      </c>
      <c r="I2461" t="s">
        <v>190</v>
      </c>
      <c r="J2461" t="s">
        <v>52</v>
      </c>
      <c r="K2461">
        <v>1301</v>
      </c>
      <c r="L2461" s="5" t="str">
        <f>IF(OR(K2461&lt;Answers!$C$16,Orders!K2461&gt;Answers!$C$17),"Yes","No")</f>
        <v>No</v>
      </c>
      <c r="M2461" s="14">
        <f>VLOOKUP(B2461,Customers!$A$1:$E$2501,4,0)</f>
        <v>61</v>
      </c>
    </row>
    <row r="2462" spans="1:13" x14ac:dyDescent="0.3">
      <c r="A2462">
        <v>1665135</v>
      </c>
      <c r="B2462">
        <v>818</v>
      </c>
      <c r="C2462" s="1" t="s">
        <v>99</v>
      </c>
      <c r="D2462" s="7">
        <v>45291</v>
      </c>
      <c r="E2462" s="11">
        <v>5.1388888888888887E-2</v>
      </c>
      <c r="F2462" s="15">
        <f t="shared" si="114"/>
        <v>12</v>
      </c>
      <c r="G2462" s="10" t="str">
        <f t="shared" si="115"/>
        <v>Sunday</v>
      </c>
      <c r="H2462" s="9" t="str">
        <f t="shared" si="116"/>
        <v>December</v>
      </c>
      <c r="I2462" t="s">
        <v>190</v>
      </c>
      <c r="J2462" t="s">
        <v>42</v>
      </c>
      <c r="K2462">
        <v>4905</v>
      </c>
      <c r="L2462" s="5" t="str">
        <f>IF(OR(K2462&lt;Answers!$C$16,Orders!K2462&gt;Answers!$C$17),"Yes","No")</f>
        <v>No</v>
      </c>
      <c r="M2462" s="14">
        <f>VLOOKUP(B2462,Customers!$A$1:$E$2501,4,0)</f>
        <v>87</v>
      </c>
    </row>
    <row r="2463" spans="1:13" x14ac:dyDescent="0.3">
      <c r="A2463">
        <v>1665167</v>
      </c>
      <c r="B2463">
        <v>479</v>
      </c>
      <c r="C2463" s="1" t="s">
        <v>101</v>
      </c>
      <c r="D2463" s="7">
        <v>44989</v>
      </c>
      <c r="E2463" s="11">
        <v>7.3611111111111113E-2</v>
      </c>
      <c r="F2463" s="15">
        <f t="shared" si="114"/>
        <v>3</v>
      </c>
      <c r="G2463" s="10" t="str">
        <f t="shared" si="115"/>
        <v>Saturday</v>
      </c>
      <c r="H2463" s="9" t="str">
        <f t="shared" si="116"/>
        <v>March</v>
      </c>
      <c r="I2463" t="s">
        <v>96</v>
      </c>
      <c r="J2463" t="s">
        <v>26</v>
      </c>
      <c r="K2463">
        <v>6692</v>
      </c>
      <c r="L2463" s="5" t="str">
        <f>IF(OR(K2463&lt;Answers!$C$16,Orders!K2463&gt;Answers!$C$17),"Yes","No")</f>
        <v>No</v>
      </c>
      <c r="M2463" s="14">
        <f>VLOOKUP(B2463,Customers!$A$1:$E$2501,4,0)</f>
        <v>81</v>
      </c>
    </row>
    <row r="2464" spans="1:13" x14ac:dyDescent="0.3">
      <c r="A2464">
        <v>1665250</v>
      </c>
      <c r="B2464">
        <v>329</v>
      </c>
      <c r="C2464" s="1" t="s">
        <v>104</v>
      </c>
      <c r="D2464" s="7">
        <v>45048</v>
      </c>
      <c r="E2464" s="11">
        <v>0.52222222222222225</v>
      </c>
      <c r="F2464" s="15">
        <f t="shared" si="114"/>
        <v>5</v>
      </c>
      <c r="G2464" s="10" t="str">
        <f t="shared" si="115"/>
        <v>Tuesday</v>
      </c>
      <c r="H2464" s="9" t="str">
        <f t="shared" si="116"/>
        <v>May</v>
      </c>
      <c r="I2464" t="s">
        <v>190</v>
      </c>
      <c r="J2464" t="s">
        <v>40</v>
      </c>
      <c r="K2464">
        <v>6153</v>
      </c>
      <c r="L2464" s="5" t="str">
        <f>IF(OR(K2464&lt;Answers!$C$16,Orders!K2464&gt;Answers!$C$17),"Yes","No")</f>
        <v>No</v>
      </c>
      <c r="M2464" s="14">
        <f>VLOOKUP(B2464,Customers!$A$1:$E$2501,4,0)</f>
        <v>55</v>
      </c>
    </row>
    <row r="2465" spans="1:13" x14ac:dyDescent="0.3">
      <c r="A2465">
        <v>1665582</v>
      </c>
      <c r="B2465">
        <v>1022</v>
      </c>
      <c r="C2465" s="1" t="s">
        <v>112</v>
      </c>
      <c r="D2465" s="7">
        <v>45101</v>
      </c>
      <c r="E2465" s="11">
        <v>0.51111111111111107</v>
      </c>
      <c r="F2465" s="15">
        <f t="shared" si="114"/>
        <v>6</v>
      </c>
      <c r="G2465" s="10" t="str">
        <f t="shared" si="115"/>
        <v>Saturday</v>
      </c>
      <c r="H2465" s="9" t="str">
        <f t="shared" si="116"/>
        <v>June</v>
      </c>
      <c r="I2465" t="s">
        <v>95</v>
      </c>
      <c r="J2465" t="s">
        <v>79</v>
      </c>
      <c r="K2465">
        <v>7517</v>
      </c>
      <c r="L2465" s="5" t="str">
        <f>IF(OR(K2465&lt;Answers!$C$16,Orders!K2465&gt;Answers!$C$17),"Yes","No")</f>
        <v>No</v>
      </c>
      <c r="M2465" s="14">
        <f>VLOOKUP(B2465,Customers!$A$1:$E$2501,4,0)</f>
        <v>60</v>
      </c>
    </row>
    <row r="2466" spans="1:13" x14ac:dyDescent="0.3">
      <c r="A2466">
        <v>1665843</v>
      </c>
      <c r="B2466">
        <v>1411</v>
      </c>
      <c r="C2466" s="1" t="s">
        <v>104</v>
      </c>
      <c r="D2466" s="7">
        <v>45108</v>
      </c>
      <c r="E2466" s="11">
        <v>7.3611111111111113E-2</v>
      </c>
      <c r="F2466" s="15">
        <f t="shared" si="114"/>
        <v>7</v>
      </c>
      <c r="G2466" s="10" t="str">
        <f t="shared" si="115"/>
        <v>Saturday</v>
      </c>
      <c r="H2466" s="9" t="str">
        <f t="shared" si="116"/>
        <v>July</v>
      </c>
      <c r="I2466" t="s">
        <v>96</v>
      </c>
      <c r="J2466" t="s">
        <v>53</v>
      </c>
      <c r="K2466">
        <v>687</v>
      </c>
      <c r="L2466" s="5" t="str">
        <f>IF(OR(K2466&lt;Answers!$C$16,Orders!K2466&gt;Answers!$C$17),"Yes","No")</f>
        <v>No</v>
      </c>
      <c r="M2466" s="14">
        <f>VLOOKUP(B2466,Customers!$A$1:$E$2501,4,0)</f>
        <v>52</v>
      </c>
    </row>
    <row r="2467" spans="1:13" x14ac:dyDescent="0.3">
      <c r="A2467">
        <v>1665934</v>
      </c>
      <c r="B2467">
        <v>89</v>
      </c>
      <c r="C2467" s="1" t="s">
        <v>106</v>
      </c>
      <c r="D2467" s="7">
        <v>45189</v>
      </c>
      <c r="E2467" s="11">
        <v>5.2777777777777778E-2</v>
      </c>
      <c r="F2467" s="15">
        <f t="shared" si="114"/>
        <v>9</v>
      </c>
      <c r="G2467" s="10" t="str">
        <f t="shared" si="115"/>
        <v>Wednesday</v>
      </c>
      <c r="H2467" s="9" t="str">
        <f t="shared" si="116"/>
        <v>September</v>
      </c>
      <c r="I2467" t="s">
        <v>95</v>
      </c>
      <c r="J2467" t="s">
        <v>56</v>
      </c>
      <c r="K2467">
        <v>4910</v>
      </c>
      <c r="L2467" s="5" t="str">
        <f>IF(OR(K2467&lt;Answers!$C$16,Orders!K2467&gt;Answers!$C$17),"Yes","No")</f>
        <v>No</v>
      </c>
      <c r="M2467" s="14">
        <f>VLOOKUP(B2467,Customers!$A$1:$E$2501,4,0)</f>
        <v>33</v>
      </c>
    </row>
    <row r="2468" spans="1:13" x14ac:dyDescent="0.3">
      <c r="A2468">
        <v>1666083</v>
      </c>
      <c r="B2468">
        <v>1307</v>
      </c>
      <c r="C2468" s="1" t="s">
        <v>99</v>
      </c>
      <c r="D2468" s="7">
        <v>44945</v>
      </c>
      <c r="E2468" s="11">
        <v>36739</v>
      </c>
      <c r="F2468" s="15">
        <f t="shared" si="114"/>
        <v>1</v>
      </c>
      <c r="G2468" s="10" t="str">
        <f t="shared" si="115"/>
        <v>Thursday</v>
      </c>
      <c r="H2468" s="9" t="str">
        <f t="shared" si="116"/>
        <v>January</v>
      </c>
      <c r="I2468" t="s">
        <v>95</v>
      </c>
      <c r="J2468" t="s">
        <v>33</v>
      </c>
      <c r="K2468">
        <v>4117</v>
      </c>
      <c r="L2468" s="5" t="str">
        <f>IF(OR(K2468&lt;Answers!$C$16,Orders!K2468&gt;Answers!$C$17),"Yes","No")</f>
        <v>No</v>
      </c>
      <c r="M2468" s="14">
        <f>VLOOKUP(B2468,Customers!$A$1:$E$2501,4,0)</f>
        <v>78</v>
      </c>
    </row>
    <row r="2469" spans="1:13" x14ac:dyDescent="0.3">
      <c r="A2469">
        <v>1666505</v>
      </c>
      <c r="B2469">
        <v>1736</v>
      </c>
      <c r="C2469" s="1" t="s">
        <v>98</v>
      </c>
      <c r="D2469" s="7">
        <v>44948</v>
      </c>
      <c r="E2469" s="11">
        <v>5.6250000000000001E-2</v>
      </c>
      <c r="F2469" s="15">
        <f t="shared" si="114"/>
        <v>1</v>
      </c>
      <c r="G2469" s="10" t="str">
        <f t="shared" si="115"/>
        <v>Sunday</v>
      </c>
      <c r="H2469" s="9" t="str">
        <f t="shared" si="116"/>
        <v>January</v>
      </c>
      <c r="I2469" t="s">
        <v>96</v>
      </c>
      <c r="J2469" t="s">
        <v>58</v>
      </c>
      <c r="K2469">
        <v>2955</v>
      </c>
      <c r="L2469" s="5" t="str">
        <f>IF(OR(K2469&lt;Answers!$C$16,Orders!K2469&gt;Answers!$C$17),"Yes","No")</f>
        <v>No</v>
      </c>
      <c r="M2469" s="14">
        <f>VLOOKUP(B2469,Customers!$A$1:$E$2501,4,0)</f>
        <v>23</v>
      </c>
    </row>
    <row r="2470" spans="1:13" x14ac:dyDescent="0.3">
      <c r="A2470">
        <v>1666521</v>
      </c>
      <c r="B2470">
        <v>1386</v>
      </c>
      <c r="C2470" s="1" t="s">
        <v>103</v>
      </c>
      <c r="D2470" s="7">
        <v>45137</v>
      </c>
      <c r="E2470" s="11">
        <v>0.48819444444444443</v>
      </c>
      <c r="F2470" s="15">
        <f t="shared" si="114"/>
        <v>7</v>
      </c>
      <c r="G2470" s="10" t="str">
        <f t="shared" si="115"/>
        <v>Sunday</v>
      </c>
      <c r="H2470" s="9" t="str">
        <f t="shared" si="116"/>
        <v>July</v>
      </c>
      <c r="I2470" t="s">
        <v>97</v>
      </c>
      <c r="J2470" t="s">
        <v>15</v>
      </c>
      <c r="K2470">
        <v>4645</v>
      </c>
      <c r="L2470" s="5" t="str">
        <f>IF(OR(K2470&lt;Answers!$C$16,Orders!K2470&gt;Answers!$C$17),"Yes","No")</f>
        <v>No</v>
      </c>
      <c r="M2470" s="14">
        <f>VLOOKUP(B2470,Customers!$A$1:$E$2501,4,0)</f>
        <v>18</v>
      </c>
    </row>
    <row r="2471" spans="1:13" x14ac:dyDescent="0.3">
      <c r="A2471">
        <v>1666856</v>
      </c>
      <c r="B2471">
        <v>1370</v>
      </c>
      <c r="C2471" s="1" t="s">
        <v>110</v>
      </c>
      <c r="D2471" s="7">
        <v>45203</v>
      </c>
      <c r="E2471" s="11">
        <v>5.5555555555555552E-2</v>
      </c>
      <c r="F2471" s="15">
        <f t="shared" si="114"/>
        <v>10</v>
      </c>
      <c r="G2471" s="10" t="str">
        <f t="shared" si="115"/>
        <v>Wednesday</v>
      </c>
      <c r="H2471" s="9" t="str">
        <f t="shared" si="116"/>
        <v>October</v>
      </c>
      <c r="I2471" t="s">
        <v>95</v>
      </c>
      <c r="J2471" t="s">
        <v>3</v>
      </c>
      <c r="K2471">
        <v>148</v>
      </c>
      <c r="L2471" s="5" t="str">
        <f>IF(OR(K2471&lt;Answers!$C$16,Orders!K2471&gt;Answers!$C$17),"Yes","No")</f>
        <v>No</v>
      </c>
      <c r="M2471" s="14">
        <f>VLOOKUP(B2471,Customers!$A$1:$E$2501,4,0)</f>
        <v>89</v>
      </c>
    </row>
    <row r="2472" spans="1:13" x14ac:dyDescent="0.3">
      <c r="A2472">
        <v>1667133</v>
      </c>
      <c r="B2472">
        <v>1173</v>
      </c>
      <c r="C2472" s="1" t="s">
        <v>98</v>
      </c>
      <c r="D2472" s="7">
        <v>45152</v>
      </c>
      <c r="E2472" s="11">
        <v>36842</v>
      </c>
      <c r="F2472" s="15">
        <f t="shared" si="114"/>
        <v>8</v>
      </c>
      <c r="G2472" s="10" t="str">
        <f t="shared" si="115"/>
        <v>Monday</v>
      </c>
      <c r="H2472" s="9" t="str">
        <f t="shared" si="116"/>
        <v>August</v>
      </c>
      <c r="I2472" t="s">
        <v>95</v>
      </c>
      <c r="J2472" t="s">
        <v>46</v>
      </c>
      <c r="K2472">
        <v>8164</v>
      </c>
      <c r="L2472" s="5" t="str">
        <f>IF(OR(K2472&lt;Answers!$C$16,Orders!K2472&gt;Answers!$C$17),"Yes","No")</f>
        <v>No</v>
      </c>
      <c r="M2472" s="14">
        <f>VLOOKUP(B2472,Customers!$A$1:$E$2501,4,0)</f>
        <v>84</v>
      </c>
    </row>
    <row r="2473" spans="1:13" x14ac:dyDescent="0.3">
      <c r="A2473">
        <v>1667673</v>
      </c>
      <c r="B2473">
        <v>991</v>
      </c>
      <c r="C2473" s="1" t="s">
        <v>98</v>
      </c>
      <c r="D2473" s="7">
        <v>45178</v>
      </c>
      <c r="E2473" s="11">
        <v>0.47986111111111113</v>
      </c>
      <c r="F2473" s="15">
        <f t="shared" si="114"/>
        <v>9</v>
      </c>
      <c r="G2473" s="10" t="str">
        <f t="shared" si="115"/>
        <v>Saturday</v>
      </c>
      <c r="H2473" s="9" t="str">
        <f t="shared" si="116"/>
        <v>September</v>
      </c>
      <c r="I2473" t="s">
        <v>96</v>
      </c>
      <c r="J2473" t="s">
        <v>59</v>
      </c>
      <c r="K2473">
        <v>1581</v>
      </c>
      <c r="L2473" s="5" t="str">
        <f>IF(OR(K2473&lt;Answers!$C$16,Orders!K2473&gt;Answers!$C$17),"Yes","No")</f>
        <v>No</v>
      </c>
      <c r="M2473" s="14">
        <f>VLOOKUP(B2473,Customers!$A$1:$E$2501,4,0)</f>
        <v>55</v>
      </c>
    </row>
    <row r="2474" spans="1:13" x14ac:dyDescent="0.3">
      <c r="A2474">
        <v>1668081</v>
      </c>
      <c r="B2474">
        <v>1858</v>
      </c>
      <c r="C2474" s="1" t="s">
        <v>98</v>
      </c>
      <c r="D2474" s="7">
        <v>44990</v>
      </c>
      <c r="E2474" s="11">
        <v>36617</v>
      </c>
      <c r="F2474" s="15">
        <f t="shared" si="114"/>
        <v>3</v>
      </c>
      <c r="G2474" s="10" t="str">
        <f t="shared" si="115"/>
        <v>Sunday</v>
      </c>
      <c r="H2474" s="9" t="str">
        <f t="shared" si="116"/>
        <v>March</v>
      </c>
      <c r="I2474" t="s">
        <v>96</v>
      </c>
      <c r="J2474" t="s">
        <v>60</v>
      </c>
      <c r="K2474">
        <v>7774</v>
      </c>
      <c r="L2474" s="5" t="str">
        <f>IF(OR(K2474&lt;Answers!$C$16,Orders!K2474&gt;Answers!$C$17),"Yes","No")</f>
        <v>No</v>
      </c>
      <c r="M2474" s="14">
        <f>VLOOKUP(B2474,Customers!$A$1:$E$2501,4,0)</f>
        <v>59</v>
      </c>
    </row>
    <row r="2475" spans="1:13" x14ac:dyDescent="0.3">
      <c r="A2475">
        <v>1668581</v>
      </c>
      <c r="B2475">
        <v>186</v>
      </c>
      <c r="C2475" s="1" t="s">
        <v>105</v>
      </c>
      <c r="D2475" s="7">
        <v>45193</v>
      </c>
      <c r="E2475" s="11">
        <v>0.53402777777777777</v>
      </c>
      <c r="F2475" s="15">
        <f t="shared" si="114"/>
        <v>9</v>
      </c>
      <c r="G2475" s="10" t="str">
        <f t="shared" si="115"/>
        <v>Sunday</v>
      </c>
      <c r="H2475" s="9" t="str">
        <f t="shared" si="116"/>
        <v>September</v>
      </c>
      <c r="I2475" t="s">
        <v>97</v>
      </c>
      <c r="J2475" t="s">
        <v>61</v>
      </c>
      <c r="K2475">
        <v>6296</v>
      </c>
      <c r="L2475" s="5" t="str">
        <f>IF(OR(K2475&lt;Answers!$C$16,Orders!K2475&gt;Answers!$C$17),"Yes","No")</f>
        <v>No</v>
      </c>
      <c r="M2475" s="14">
        <f>VLOOKUP(B2475,Customers!$A$1:$E$2501,4,0)</f>
        <v>63</v>
      </c>
    </row>
    <row r="2476" spans="1:13" x14ac:dyDescent="0.3">
      <c r="A2476">
        <v>1669169</v>
      </c>
      <c r="B2476">
        <v>1146</v>
      </c>
      <c r="C2476" s="1" t="s">
        <v>98</v>
      </c>
      <c r="D2476" s="7">
        <v>45058</v>
      </c>
      <c r="E2476" s="11">
        <v>0.48333333333333334</v>
      </c>
      <c r="F2476" s="15">
        <f t="shared" si="114"/>
        <v>5</v>
      </c>
      <c r="G2476" s="10" t="str">
        <f t="shared" si="115"/>
        <v>Friday</v>
      </c>
      <c r="H2476" s="9" t="str">
        <f t="shared" si="116"/>
        <v>May</v>
      </c>
      <c r="I2476" t="s">
        <v>97</v>
      </c>
      <c r="J2476" t="s">
        <v>80</v>
      </c>
      <c r="K2476">
        <v>8796</v>
      </c>
      <c r="L2476" s="5" t="str">
        <f>IF(OR(K2476&lt;Answers!$C$16,Orders!K2476&gt;Answers!$C$17),"Yes","No")</f>
        <v>No</v>
      </c>
      <c r="M2476" s="14">
        <f>VLOOKUP(B2476,Customers!$A$1:$E$2501,4,0)</f>
        <v>23</v>
      </c>
    </row>
    <row r="2477" spans="1:13" x14ac:dyDescent="0.3">
      <c r="A2477">
        <v>1669358</v>
      </c>
      <c r="B2477">
        <v>351</v>
      </c>
      <c r="C2477" s="1" t="s">
        <v>100</v>
      </c>
      <c r="D2477" s="7">
        <v>44962</v>
      </c>
      <c r="E2477" s="11">
        <v>7.7777777777777779E-2</v>
      </c>
      <c r="F2477" s="15">
        <f t="shared" si="114"/>
        <v>2</v>
      </c>
      <c r="G2477" s="10" t="str">
        <f t="shared" si="115"/>
        <v>Sunday</v>
      </c>
      <c r="H2477" s="9" t="str">
        <f t="shared" si="116"/>
        <v>February</v>
      </c>
      <c r="I2477" t="s">
        <v>97</v>
      </c>
      <c r="J2477" t="s">
        <v>17</v>
      </c>
      <c r="K2477">
        <v>462</v>
      </c>
      <c r="L2477" s="5" t="str">
        <f>IF(OR(K2477&lt;Answers!$C$16,Orders!K2477&gt;Answers!$C$17),"Yes","No")</f>
        <v>No</v>
      </c>
      <c r="M2477" s="14">
        <f>VLOOKUP(B2477,Customers!$A$1:$E$2501,4,0)</f>
        <v>87</v>
      </c>
    </row>
    <row r="2478" spans="1:13" x14ac:dyDescent="0.3">
      <c r="A2478">
        <v>1670695</v>
      </c>
      <c r="B2478">
        <v>48</v>
      </c>
      <c r="C2478" s="1" t="s">
        <v>98</v>
      </c>
      <c r="D2478" s="7">
        <v>44993</v>
      </c>
      <c r="E2478" s="11">
        <v>0.52361111111111114</v>
      </c>
      <c r="F2478" s="15">
        <f t="shared" si="114"/>
        <v>3</v>
      </c>
      <c r="G2478" s="10" t="str">
        <f t="shared" si="115"/>
        <v>Wednesday</v>
      </c>
      <c r="H2478" s="9" t="str">
        <f t="shared" si="116"/>
        <v>March</v>
      </c>
      <c r="I2478" t="s">
        <v>96</v>
      </c>
      <c r="J2478" t="s">
        <v>27</v>
      </c>
      <c r="K2478">
        <v>8888</v>
      </c>
      <c r="L2478" s="5" t="str">
        <f>IF(OR(K2478&lt;Answers!$C$16,Orders!K2478&gt;Answers!$C$17),"Yes","No")</f>
        <v>No</v>
      </c>
      <c r="M2478" s="14">
        <f>VLOOKUP(B2478,Customers!$A$1:$E$2501,4,0)</f>
        <v>66</v>
      </c>
    </row>
    <row r="2479" spans="1:13" x14ac:dyDescent="0.3">
      <c r="A2479">
        <v>1670797</v>
      </c>
      <c r="B2479">
        <v>1465</v>
      </c>
      <c r="C2479" s="1" t="s">
        <v>99</v>
      </c>
      <c r="D2479" s="7">
        <v>45096</v>
      </c>
      <c r="E2479" s="11">
        <v>6.7361111111111108E-2</v>
      </c>
      <c r="F2479" s="15">
        <f t="shared" si="114"/>
        <v>6</v>
      </c>
      <c r="G2479" s="10" t="str">
        <f t="shared" si="115"/>
        <v>Monday</v>
      </c>
      <c r="H2479" s="9" t="str">
        <f t="shared" si="116"/>
        <v>June</v>
      </c>
      <c r="I2479" t="s">
        <v>95</v>
      </c>
      <c r="J2479" t="s">
        <v>38</v>
      </c>
      <c r="K2479">
        <v>556</v>
      </c>
      <c r="L2479" s="5" t="str">
        <f>IF(OR(K2479&lt;Answers!$C$16,Orders!K2479&gt;Answers!$C$17),"Yes","No")</f>
        <v>No</v>
      </c>
      <c r="M2479" s="14">
        <f>VLOOKUP(B2479,Customers!$A$1:$E$2501,4,0)</f>
        <v>71</v>
      </c>
    </row>
    <row r="2480" spans="1:13" x14ac:dyDescent="0.3">
      <c r="A2480">
        <v>1671351</v>
      </c>
      <c r="B2480">
        <v>861</v>
      </c>
      <c r="C2480" s="1" t="s">
        <v>98</v>
      </c>
      <c r="D2480" s="7">
        <v>45255</v>
      </c>
      <c r="E2480" s="11">
        <v>36750</v>
      </c>
      <c r="F2480" s="15">
        <f t="shared" si="114"/>
        <v>11</v>
      </c>
      <c r="G2480" s="10" t="str">
        <f t="shared" si="115"/>
        <v>Saturday</v>
      </c>
      <c r="H2480" s="9" t="str">
        <f t="shared" si="116"/>
        <v>November</v>
      </c>
      <c r="I2480" t="s">
        <v>190</v>
      </c>
      <c r="J2480" t="s">
        <v>26</v>
      </c>
      <c r="K2480">
        <v>4300</v>
      </c>
      <c r="L2480" s="5" t="str">
        <f>IF(OR(K2480&lt;Answers!$C$16,Orders!K2480&gt;Answers!$C$17),"Yes","No")</f>
        <v>No</v>
      </c>
      <c r="M2480" s="14">
        <f>VLOOKUP(B2480,Customers!$A$1:$E$2501,4,0)</f>
        <v>78</v>
      </c>
    </row>
    <row r="2481" spans="1:13" x14ac:dyDescent="0.3">
      <c r="A2481">
        <v>1672350</v>
      </c>
      <c r="B2481">
        <v>1440</v>
      </c>
      <c r="C2481" s="1" t="s">
        <v>104</v>
      </c>
      <c r="D2481" s="7">
        <v>45006</v>
      </c>
      <c r="E2481" s="11">
        <v>0.53680555555555554</v>
      </c>
      <c r="F2481" s="15">
        <f t="shared" si="114"/>
        <v>3</v>
      </c>
      <c r="G2481" s="10" t="str">
        <f t="shared" si="115"/>
        <v>Tuesday</v>
      </c>
      <c r="H2481" s="9" t="str">
        <f t="shared" si="116"/>
        <v>March</v>
      </c>
      <c r="I2481" t="s">
        <v>97</v>
      </c>
      <c r="J2481" t="s">
        <v>63</v>
      </c>
      <c r="K2481">
        <v>4066</v>
      </c>
      <c r="L2481" s="5" t="str">
        <f>IF(OR(K2481&lt;Answers!$C$16,Orders!K2481&gt;Answers!$C$17),"Yes","No")</f>
        <v>No</v>
      </c>
      <c r="M2481" s="14">
        <f>VLOOKUP(B2481,Customers!$A$1:$E$2501,4,0)</f>
        <v>60</v>
      </c>
    </row>
    <row r="2482" spans="1:13" x14ac:dyDescent="0.3">
      <c r="A2482">
        <v>1672683</v>
      </c>
      <c r="B2482">
        <v>727</v>
      </c>
      <c r="C2482" s="1" t="s">
        <v>99</v>
      </c>
      <c r="D2482" s="7">
        <v>45263</v>
      </c>
      <c r="E2482" s="11">
        <v>0.43958333333333333</v>
      </c>
      <c r="F2482" s="15">
        <f t="shared" si="114"/>
        <v>12</v>
      </c>
      <c r="G2482" s="10" t="str">
        <f t="shared" si="115"/>
        <v>Sunday</v>
      </c>
      <c r="H2482" s="9" t="str">
        <f t="shared" si="116"/>
        <v>December</v>
      </c>
      <c r="I2482" t="s">
        <v>190</v>
      </c>
      <c r="J2482" t="s">
        <v>42</v>
      </c>
      <c r="K2482">
        <v>8160</v>
      </c>
      <c r="L2482" s="5" t="str">
        <f>IF(OR(K2482&lt;Answers!$C$16,Orders!K2482&gt;Answers!$C$17),"Yes","No")</f>
        <v>No</v>
      </c>
      <c r="M2482" s="14">
        <f>VLOOKUP(B2482,Customers!$A$1:$E$2501,4,0)</f>
        <v>64</v>
      </c>
    </row>
    <row r="2483" spans="1:13" x14ac:dyDescent="0.3">
      <c r="A2483">
        <v>1673913</v>
      </c>
      <c r="B2483">
        <v>1434</v>
      </c>
      <c r="C2483" s="1" t="s">
        <v>98</v>
      </c>
      <c r="D2483" s="7">
        <v>45103</v>
      </c>
      <c r="E2483" s="11">
        <v>5.2777777777777778E-2</v>
      </c>
      <c r="F2483" s="15">
        <f t="shared" si="114"/>
        <v>6</v>
      </c>
      <c r="G2483" s="10" t="str">
        <f t="shared" si="115"/>
        <v>Monday</v>
      </c>
      <c r="H2483" s="9" t="str">
        <f t="shared" si="116"/>
        <v>June</v>
      </c>
      <c r="I2483" t="s">
        <v>95</v>
      </c>
      <c r="J2483" t="s">
        <v>42</v>
      </c>
      <c r="K2483">
        <v>4928</v>
      </c>
      <c r="L2483" s="5" t="str">
        <f>IF(OR(K2483&lt;Answers!$C$16,Orders!K2483&gt;Answers!$C$17),"Yes","No")</f>
        <v>No</v>
      </c>
      <c r="M2483" s="14">
        <f>VLOOKUP(B2483,Customers!$A$1:$E$2501,4,0)</f>
        <v>65</v>
      </c>
    </row>
    <row r="2484" spans="1:13" x14ac:dyDescent="0.3">
      <c r="A2484">
        <v>1674149</v>
      </c>
      <c r="B2484">
        <v>1974</v>
      </c>
      <c r="C2484" s="1" t="s">
        <v>98</v>
      </c>
      <c r="D2484" s="7">
        <v>45159</v>
      </c>
      <c r="E2484" s="11">
        <v>36770</v>
      </c>
      <c r="F2484" s="15">
        <f t="shared" si="114"/>
        <v>8</v>
      </c>
      <c r="G2484" s="10" t="str">
        <f t="shared" si="115"/>
        <v>Monday</v>
      </c>
      <c r="H2484" s="9" t="str">
        <f t="shared" si="116"/>
        <v>August</v>
      </c>
      <c r="I2484" t="s">
        <v>96</v>
      </c>
      <c r="J2484" t="s">
        <v>61</v>
      </c>
      <c r="K2484">
        <v>2019</v>
      </c>
      <c r="L2484" s="5" t="str">
        <f>IF(OR(K2484&lt;Answers!$C$16,Orders!K2484&gt;Answers!$C$17),"Yes","No")</f>
        <v>No</v>
      </c>
      <c r="M2484" s="14">
        <f>VLOOKUP(B2484,Customers!$A$1:$E$2501,4,0)</f>
        <v>74</v>
      </c>
    </row>
    <row r="2485" spans="1:13" x14ac:dyDescent="0.3">
      <c r="A2485">
        <v>1674723</v>
      </c>
      <c r="B2485">
        <v>1511</v>
      </c>
      <c r="C2485" s="1" t="s">
        <v>98</v>
      </c>
      <c r="D2485" s="7">
        <v>45178</v>
      </c>
      <c r="E2485" s="11">
        <v>0.44930555555555557</v>
      </c>
      <c r="F2485" s="15">
        <f t="shared" si="114"/>
        <v>9</v>
      </c>
      <c r="G2485" s="10" t="str">
        <f t="shared" si="115"/>
        <v>Saturday</v>
      </c>
      <c r="H2485" s="9" t="str">
        <f t="shared" si="116"/>
        <v>September</v>
      </c>
      <c r="I2485" t="s">
        <v>97</v>
      </c>
      <c r="J2485" t="s">
        <v>89</v>
      </c>
      <c r="K2485">
        <v>3096</v>
      </c>
      <c r="L2485" s="5" t="str">
        <f>IF(OR(K2485&lt;Answers!$C$16,Orders!K2485&gt;Answers!$C$17),"Yes","No")</f>
        <v>No</v>
      </c>
      <c r="M2485" s="14">
        <f>VLOOKUP(B2485,Customers!$A$1:$E$2501,4,0)</f>
        <v>19</v>
      </c>
    </row>
    <row r="2486" spans="1:13" x14ac:dyDescent="0.3">
      <c r="A2486">
        <v>1675193</v>
      </c>
      <c r="B2486">
        <v>552</v>
      </c>
      <c r="C2486" s="1" t="s">
        <v>112</v>
      </c>
      <c r="D2486" s="7">
        <v>45242</v>
      </c>
      <c r="E2486" s="11">
        <v>0.4909722222222222</v>
      </c>
      <c r="F2486" s="15">
        <f t="shared" si="114"/>
        <v>11</v>
      </c>
      <c r="G2486" s="10" t="str">
        <f t="shared" si="115"/>
        <v>Sunday</v>
      </c>
      <c r="H2486" s="9" t="str">
        <f t="shared" si="116"/>
        <v>November</v>
      </c>
      <c r="I2486" t="s">
        <v>190</v>
      </c>
      <c r="J2486" t="s">
        <v>13</v>
      </c>
      <c r="K2486">
        <v>2913</v>
      </c>
      <c r="L2486" s="5" t="str">
        <f>IF(OR(K2486&lt;Answers!$C$16,Orders!K2486&gt;Answers!$C$17),"Yes","No")</f>
        <v>No</v>
      </c>
      <c r="M2486" s="14">
        <f>VLOOKUP(B2486,Customers!$A$1:$E$2501,4,0)</f>
        <v>67</v>
      </c>
    </row>
    <row r="2487" spans="1:13" x14ac:dyDescent="0.3">
      <c r="A2487">
        <v>1675253</v>
      </c>
      <c r="B2487">
        <v>632</v>
      </c>
      <c r="C2487" s="1" t="s">
        <v>98</v>
      </c>
      <c r="D2487" s="7">
        <v>45164</v>
      </c>
      <c r="E2487" s="11">
        <v>0.51249999999999996</v>
      </c>
      <c r="F2487" s="15">
        <f t="shared" si="114"/>
        <v>8</v>
      </c>
      <c r="G2487" s="10" t="str">
        <f t="shared" si="115"/>
        <v>Saturday</v>
      </c>
      <c r="H2487" s="9" t="str">
        <f t="shared" si="116"/>
        <v>August</v>
      </c>
      <c r="I2487" t="s">
        <v>97</v>
      </c>
      <c r="J2487" t="s">
        <v>26</v>
      </c>
      <c r="K2487">
        <v>3340</v>
      </c>
      <c r="L2487" s="5" t="str">
        <f>IF(OR(K2487&lt;Answers!$C$16,Orders!K2487&gt;Answers!$C$17),"Yes","No")</f>
        <v>No</v>
      </c>
      <c r="M2487" s="14">
        <f>VLOOKUP(B2487,Customers!$A$1:$E$2501,4,0)</f>
        <v>67</v>
      </c>
    </row>
    <row r="2488" spans="1:13" x14ac:dyDescent="0.3">
      <c r="A2488">
        <v>1675528</v>
      </c>
      <c r="B2488">
        <v>360</v>
      </c>
      <c r="C2488" s="1" t="s">
        <v>112</v>
      </c>
      <c r="D2488" s="7">
        <v>45137</v>
      </c>
      <c r="E2488" s="11">
        <v>36872</v>
      </c>
      <c r="F2488" s="15">
        <f t="shared" si="114"/>
        <v>7</v>
      </c>
      <c r="G2488" s="10" t="str">
        <f t="shared" si="115"/>
        <v>Sunday</v>
      </c>
      <c r="H2488" s="9" t="str">
        <f t="shared" si="116"/>
        <v>July</v>
      </c>
      <c r="I2488" t="s">
        <v>190</v>
      </c>
      <c r="J2488" t="s">
        <v>53</v>
      </c>
      <c r="K2488">
        <v>3204</v>
      </c>
      <c r="L2488" s="5" t="str">
        <f>IF(OR(K2488&lt;Answers!$C$16,Orders!K2488&gt;Answers!$C$17),"Yes","No")</f>
        <v>No</v>
      </c>
      <c r="M2488" s="14">
        <f>VLOOKUP(B2488,Customers!$A$1:$E$2501,4,0)</f>
        <v>32</v>
      </c>
    </row>
    <row r="2489" spans="1:13" x14ac:dyDescent="0.3">
      <c r="A2489">
        <v>1676930</v>
      </c>
      <c r="B2489">
        <v>640</v>
      </c>
      <c r="C2489" s="1" t="s">
        <v>99</v>
      </c>
      <c r="D2489" s="7">
        <v>45254</v>
      </c>
      <c r="E2489" s="11">
        <v>0.48680555555555555</v>
      </c>
      <c r="F2489" s="15">
        <f t="shared" si="114"/>
        <v>11</v>
      </c>
      <c r="G2489" s="10" t="str">
        <f t="shared" si="115"/>
        <v>Friday</v>
      </c>
      <c r="H2489" s="9" t="str">
        <f t="shared" si="116"/>
        <v>November</v>
      </c>
      <c r="I2489" t="s">
        <v>97</v>
      </c>
      <c r="J2489" t="s">
        <v>26</v>
      </c>
      <c r="K2489">
        <v>598</v>
      </c>
      <c r="L2489" s="5" t="str">
        <f>IF(OR(K2489&lt;Answers!$C$16,Orders!K2489&gt;Answers!$C$17),"Yes","No")</f>
        <v>No</v>
      </c>
      <c r="M2489" s="14">
        <f>VLOOKUP(B2489,Customers!$A$1:$E$2501,4,0)</f>
        <v>51</v>
      </c>
    </row>
    <row r="2490" spans="1:13" x14ac:dyDescent="0.3">
      <c r="A2490">
        <v>1677048</v>
      </c>
      <c r="B2490">
        <v>1415</v>
      </c>
      <c r="C2490" s="1" t="s">
        <v>99</v>
      </c>
      <c r="D2490" s="7">
        <v>45218</v>
      </c>
      <c r="E2490" s="11">
        <v>0.10347222222222222</v>
      </c>
      <c r="F2490" s="15">
        <f t="shared" si="114"/>
        <v>10</v>
      </c>
      <c r="G2490" s="10" t="str">
        <f t="shared" si="115"/>
        <v>Thursday</v>
      </c>
      <c r="H2490" s="9" t="str">
        <f t="shared" si="116"/>
        <v>October</v>
      </c>
      <c r="I2490" t="s">
        <v>190</v>
      </c>
      <c r="J2490" t="s">
        <v>8</v>
      </c>
      <c r="K2490">
        <v>598</v>
      </c>
      <c r="L2490" s="5" t="str">
        <f>IF(OR(K2490&lt;Answers!$C$16,Orders!K2490&gt;Answers!$C$17),"Yes","No")</f>
        <v>No</v>
      </c>
      <c r="M2490" s="14">
        <f>VLOOKUP(B2490,Customers!$A$1:$E$2501,4,0)</f>
        <v>71</v>
      </c>
    </row>
    <row r="2491" spans="1:13" x14ac:dyDescent="0.3">
      <c r="A2491">
        <v>1677075</v>
      </c>
      <c r="B2491">
        <v>460</v>
      </c>
      <c r="C2491" s="1" t="s">
        <v>100</v>
      </c>
      <c r="D2491" s="7">
        <v>45211</v>
      </c>
      <c r="E2491" s="11">
        <v>0.49791666666666667</v>
      </c>
      <c r="F2491" s="15">
        <f t="shared" si="114"/>
        <v>10</v>
      </c>
      <c r="G2491" s="10" t="str">
        <f t="shared" si="115"/>
        <v>Thursday</v>
      </c>
      <c r="H2491" s="9" t="str">
        <f t="shared" si="116"/>
        <v>October</v>
      </c>
      <c r="I2491" t="s">
        <v>96</v>
      </c>
      <c r="J2491" t="s">
        <v>35</v>
      </c>
      <c r="K2491">
        <v>7376</v>
      </c>
      <c r="L2491" s="5" t="str">
        <f>IF(OR(K2491&lt;Answers!$C$16,Orders!K2491&gt;Answers!$C$17),"Yes","No")</f>
        <v>No</v>
      </c>
      <c r="M2491" s="14">
        <f>VLOOKUP(B2491,Customers!$A$1:$E$2501,4,0)</f>
        <v>58</v>
      </c>
    </row>
    <row r="2492" spans="1:13" x14ac:dyDescent="0.3">
      <c r="A2492">
        <v>1677682</v>
      </c>
      <c r="B2492">
        <v>1224</v>
      </c>
      <c r="C2492" s="1" t="s">
        <v>99</v>
      </c>
      <c r="D2492" s="7">
        <v>45011</v>
      </c>
      <c r="E2492" s="11">
        <v>0.4548611111111111</v>
      </c>
      <c r="F2492" s="15">
        <f t="shared" si="114"/>
        <v>3</v>
      </c>
      <c r="G2492" s="10" t="str">
        <f t="shared" si="115"/>
        <v>Sunday</v>
      </c>
      <c r="H2492" s="9" t="str">
        <f t="shared" si="116"/>
        <v>March</v>
      </c>
      <c r="I2492" t="s">
        <v>95</v>
      </c>
      <c r="J2492" t="s">
        <v>47</v>
      </c>
      <c r="K2492">
        <v>8833</v>
      </c>
      <c r="L2492" s="5" t="str">
        <f>IF(OR(K2492&lt;Answers!$C$16,Orders!K2492&gt;Answers!$C$17),"Yes","No")</f>
        <v>No</v>
      </c>
      <c r="M2492" s="14">
        <f>VLOOKUP(B2492,Customers!$A$1:$E$2501,4,0)</f>
        <v>71</v>
      </c>
    </row>
    <row r="2493" spans="1:13" x14ac:dyDescent="0.3">
      <c r="A2493">
        <v>1677717</v>
      </c>
      <c r="B2493">
        <v>376</v>
      </c>
      <c r="C2493" s="1" t="s">
        <v>112</v>
      </c>
      <c r="D2493" s="7">
        <v>45098</v>
      </c>
      <c r="E2493" s="11">
        <v>0.49722222222222223</v>
      </c>
      <c r="F2493" s="15">
        <f t="shared" si="114"/>
        <v>6</v>
      </c>
      <c r="G2493" s="10" t="str">
        <f t="shared" si="115"/>
        <v>Wednesday</v>
      </c>
      <c r="H2493" s="9" t="str">
        <f t="shared" si="116"/>
        <v>June</v>
      </c>
      <c r="I2493" t="s">
        <v>95</v>
      </c>
      <c r="J2493" t="s">
        <v>13</v>
      </c>
      <c r="K2493">
        <v>8542</v>
      </c>
      <c r="L2493" s="5" t="str">
        <f>IF(OR(K2493&lt;Answers!$C$16,Orders!K2493&gt;Answers!$C$17),"Yes","No")</f>
        <v>No</v>
      </c>
      <c r="M2493" s="14">
        <f>VLOOKUP(B2493,Customers!$A$1:$E$2501,4,0)</f>
        <v>89</v>
      </c>
    </row>
    <row r="2494" spans="1:13" x14ac:dyDescent="0.3">
      <c r="A2494">
        <v>1678550</v>
      </c>
      <c r="B2494">
        <v>1521</v>
      </c>
      <c r="C2494" s="1" t="s">
        <v>98</v>
      </c>
      <c r="D2494" s="7">
        <v>45236</v>
      </c>
      <c r="E2494" s="11">
        <v>0.53194444444444444</v>
      </c>
      <c r="F2494" s="15">
        <f t="shared" si="114"/>
        <v>11</v>
      </c>
      <c r="G2494" s="10" t="str">
        <f t="shared" si="115"/>
        <v>Monday</v>
      </c>
      <c r="H2494" s="9" t="str">
        <f t="shared" si="116"/>
        <v>November</v>
      </c>
      <c r="I2494" t="s">
        <v>95</v>
      </c>
      <c r="J2494" t="s">
        <v>60</v>
      </c>
      <c r="K2494">
        <v>8554</v>
      </c>
      <c r="L2494" s="5" t="str">
        <f>IF(OR(K2494&lt;Answers!$C$16,Orders!K2494&gt;Answers!$C$17),"Yes","No")</f>
        <v>No</v>
      </c>
      <c r="M2494" s="14">
        <f>VLOOKUP(B2494,Customers!$A$1:$E$2501,4,0)</f>
        <v>88</v>
      </c>
    </row>
    <row r="2495" spans="1:13" x14ac:dyDescent="0.3">
      <c r="A2495">
        <v>1679147</v>
      </c>
      <c r="B2495">
        <v>696</v>
      </c>
      <c r="C2495" s="1" t="s">
        <v>99</v>
      </c>
      <c r="D2495" s="7">
        <v>45032</v>
      </c>
      <c r="E2495" s="11">
        <v>0.48333333333333334</v>
      </c>
      <c r="F2495" s="15">
        <f t="shared" si="114"/>
        <v>4</v>
      </c>
      <c r="G2495" s="10" t="str">
        <f t="shared" si="115"/>
        <v>Sunday</v>
      </c>
      <c r="H2495" s="9" t="str">
        <f t="shared" si="116"/>
        <v>April</v>
      </c>
      <c r="I2495" t="s">
        <v>95</v>
      </c>
      <c r="J2495" t="s">
        <v>64</v>
      </c>
      <c r="K2495">
        <v>4669</v>
      </c>
      <c r="L2495" s="5" t="str">
        <f>IF(OR(K2495&lt;Answers!$C$16,Orders!K2495&gt;Answers!$C$17),"Yes","No")</f>
        <v>No</v>
      </c>
      <c r="M2495" s="14">
        <f>VLOOKUP(B2495,Customers!$A$1:$E$2501,4,0)</f>
        <v>30</v>
      </c>
    </row>
    <row r="2496" spans="1:13" x14ac:dyDescent="0.3">
      <c r="A2496">
        <v>1679923</v>
      </c>
      <c r="B2496">
        <v>1835</v>
      </c>
      <c r="C2496" s="1" t="s">
        <v>101</v>
      </c>
      <c r="D2496" s="7">
        <v>44980</v>
      </c>
      <c r="E2496" s="11">
        <v>0.49930555555555556</v>
      </c>
      <c r="F2496" s="15">
        <f t="shared" si="114"/>
        <v>2</v>
      </c>
      <c r="G2496" s="10" t="str">
        <f t="shared" si="115"/>
        <v>Thursday</v>
      </c>
      <c r="H2496" s="9" t="str">
        <f t="shared" si="116"/>
        <v>February</v>
      </c>
      <c r="I2496" t="s">
        <v>190</v>
      </c>
      <c r="J2496" t="s">
        <v>26</v>
      </c>
      <c r="K2496">
        <v>2710</v>
      </c>
      <c r="L2496" s="5" t="str">
        <f>IF(OR(K2496&lt;Answers!$C$16,Orders!K2496&gt;Answers!$C$17),"Yes","No")</f>
        <v>No</v>
      </c>
      <c r="M2496" s="14">
        <f>VLOOKUP(B2496,Customers!$A$1:$E$2501,4,0)</f>
        <v>43</v>
      </c>
    </row>
    <row r="2497" spans="1:13" x14ac:dyDescent="0.3">
      <c r="A2497">
        <v>1680806</v>
      </c>
      <c r="B2497">
        <v>1304</v>
      </c>
      <c r="C2497" s="1" t="s">
        <v>106</v>
      </c>
      <c r="D2497" s="7">
        <v>45100</v>
      </c>
      <c r="E2497" s="11">
        <v>0.52013888888888893</v>
      </c>
      <c r="F2497" s="15">
        <f t="shared" si="114"/>
        <v>6</v>
      </c>
      <c r="G2497" s="10" t="str">
        <f t="shared" si="115"/>
        <v>Friday</v>
      </c>
      <c r="H2497" s="9" t="str">
        <f t="shared" si="116"/>
        <v>June</v>
      </c>
      <c r="I2497" t="s">
        <v>96</v>
      </c>
      <c r="J2497" t="s">
        <v>17</v>
      </c>
      <c r="K2497">
        <v>3072</v>
      </c>
      <c r="L2497" s="5" t="str">
        <f>IF(OR(K2497&lt;Answers!$C$16,Orders!K2497&gt;Answers!$C$17),"Yes","No")</f>
        <v>No</v>
      </c>
      <c r="M2497" s="14">
        <f>VLOOKUP(B2497,Customers!$A$1:$E$2501,4,0)</f>
        <v>18</v>
      </c>
    </row>
    <row r="2498" spans="1:13" x14ac:dyDescent="0.3">
      <c r="A2498">
        <v>1681214</v>
      </c>
      <c r="B2498">
        <v>291</v>
      </c>
      <c r="C2498" s="1" t="s">
        <v>112</v>
      </c>
      <c r="D2498" s="7">
        <v>45061</v>
      </c>
      <c r="E2498" s="11">
        <v>4.1666666666666664E-2</v>
      </c>
      <c r="F2498" s="15">
        <f t="shared" si="114"/>
        <v>5</v>
      </c>
      <c r="G2498" s="10" t="str">
        <f t="shared" si="115"/>
        <v>Monday</v>
      </c>
      <c r="H2498" s="9" t="str">
        <f t="shared" si="116"/>
        <v>May</v>
      </c>
      <c r="I2498" t="s">
        <v>97</v>
      </c>
      <c r="J2498" t="s">
        <v>88</v>
      </c>
      <c r="K2498">
        <v>8168</v>
      </c>
      <c r="L2498" s="5" t="str">
        <f>IF(OR(K2498&lt;Answers!$C$16,Orders!K2498&gt;Answers!$C$17),"Yes","No")</f>
        <v>No</v>
      </c>
      <c r="M2498" s="14">
        <f>VLOOKUP(B2498,Customers!$A$1:$E$2501,4,0)</f>
        <v>44</v>
      </c>
    </row>
    <row r="2499" spans="1:13" x14ac:dyDescent="0.3">
      <c r="A2499">
        <v>1681720</v>
      </c>
      <c r="B2499">
        <v>71</v>
      </c>
      <c r="C2499" s="1" t="s">
        <v>112</v>
      </c>
      <c r="D2499" s="7">
        <v>45022</v>
      </c>
      <c r="E2499" s="11">
        <v>0.51666666666666672</v>
      </c>
      <c r="F2499" s="15">
        <f t="shared" ref="F2499:F2501" si="117">MONTH(D2499)</f>
        <v>4</v>
      </c>
      <c r="G2499" s="10" t="str">
        <f t="shared" ref="G2499:G2501" si="118">TEXT(D2499,"dddd")</f>
        <v>Thursday</v>
      </c>
      <c r="H2499" s="9" t="str">
        <f t="shared" ref="H2499:H2501" si="119">TEXT(D2499,"mmmm")</f>
        <v>April</v>
      </c>
      <c r="I2499" t="s">
        <v>95</v>
      </c>
      <c r="J2499" t="s">
        <v>92</v>
      </c>
      <c r="K2499">
        <v>1552</v>
      </c>
      <c r="L2499" s="5" t="str">
        <f>IF(OR(K2499&lt;Answers!$C$16,Orders!K2499&gt;Answers!$C$17),"Yes","No")</f>
        <v>No</v>
      </c>
      <c r="M2499" s="14">
        <f>VLOOKUP(B2499,Customers!$A$1:$E$2501,4,0)</f>
        <v>48</v>
      </c>
    </row>
    <row r="2500" spans="1:13" x14ac:dyDescent="0.3">
      <c r="A2500">
        <v>1682186</v>
      </c>
      <c r="B2500">
        <v>1537</v>
      </c>
      <c r="C2500" s="1" t="s">
        <v>98</v>
      </c>
      <c r="D2500" s="7">
        <v>45138</v>
      </c>
      <c r="E2500" s="11">
        <v>0.53472222222222221</v>
      </c>
      <c r="F2500" s="15">
        <f t="shared" si="117"/>
        <v>7</v>
      </c>
      <c r="G2500" s="10" t="str">
        <f t="shared" si="118"/>
        <v>Monday</v>
      </c>
      <c r="H2500" s="9" t="str">
        <f t="shared" si="119"/>
        <v>July</v>
      </c>
      <c r="I2500" t="s">
        <v>96</v>
      </c>
      <c r="J2500" t="s">
        <v>50</v>
      </c>
      <c r="K2500">
        <v>9912</v>
      </c>
      <c r="L2500" s="5" t="str">
        <f>IF(OR(K2500&lt;Answers!$C$16,Orders!K2500&gt;Answers!$C$17),"Yes","No")</f>
        <v>No</v>
      </c>
      <c r="M2500" s="14">
        <f>VLOOKUP(B2500,Customers!$A$1:$E$2501,4,0)</f>
        <v>83</v>
      </c>
    </row>
    <row r="2501" spans="1:13" x14ac:dyDescent="0.3">
      <c r="A2501">
        <v>1682358</v>
      </c>
      <c r="B2501">
        <v>567</v>
      </c>
      <c r="C2501" s="1" t="s">
        <v>100</v>
      </c>
      <c r="D2501" s="7">
        <v>45012</v>
      </c>
      <c r="E2501" s="11">
        <v>0.47152777777777777</v>
      </c>
      <c r="F2501" s="15">
        <f t="shared" si="117"/>
        <v>3</v>
      </c>
      <c r="G2501" s="10" t="str">
        <f t="shared" si="118"/>
        <v>Monday</v>
      </c>
      <c r="H2501" s="9" t="str">
        <f t="shared" si="119"/>
        <v>March</v>
      </c>
      <c r="I2501" t="s">
        <v>97</v>
      </c>
      <c r="J2501" t="s">
        <v>62</v>
      </c>
      <c r="K2501">
        <v>4540</v>
      </c>
      <c r="L2501" s="5" t="str">
        <f>IF(OR(K2501&lt;Answers!$C$16,Orders!K2501&gt;Answers!$C$17),"Yes","No")</f>
        <v>No</v>
      </c>
      <c r="M2501" s="14">
        <f>VLOOKUP(B2501,Customers!$A$1:$E$2501,4,0)</f>
        <v>37</v>
      </c>
    </row>
    <row r="2502" spans="1:13" x14ac:dyDescent="0.3">
      <c r="B2502" s="1"/>
      <c r="C2502" s="3"/>
    </row>
    <row r="2503" spans="1:13" x14ac:dyDescent="0.3">
      <c r="B2503" s="1"/>
      <c r="C2503" s="3"/>
    </row>
    <row r="2504" spans="1:13" x14ac:dyDescent="0.3">
      <c r="B2504" s="1"/>
      <c r="C2504" s="3"/>
    </row>
    <row r="2505" spans="1:13" x14ac:dyDescent="0.3">
      <c r="B2505" s="1"/>
      <c r="C2505" s="3"/>
    </row>
    <row r="2506" spans="1:13" x14ac:dyDescent="0.3">
      <c r="B2506" s="1"/>
      <c r="C2506" s="3"/>
    </row>
    <row r="2507" spans="1:13" x14ac:dyDescent="0.3">
      <c r="B2507" s="1"/>
      <c r="C2507" s="3"/>
    </row>
    <row r="2508" spans="1:13" x14ac:dyDescent="0.3">
      <c r="B2508" s="1"/>
      <c r="C2508" s="3"/>
    </row>
    <row r="2509" spans="1:13" x14ac:dyDescent="0.3">
      <c r="B2509" s="1"/>
      <c r="C2509" s="3"/>
    </row>
    <row r="2510" spans="1:13" x14ac:dyDescent="0.3">
      <c r="B2510" s="1"/>
      <c r="C2510" s="3"/>
    </row>
    <row r="2511" spans="1:13" x14ac:dyDescent="0.3">
      <c r="B2511" s="1"/>
      <c r="C2511" s="3"/>
    </row>
    <row r="2512" spans="1:13" x14ac:dyDescent="0.3">
      <c r="B2512" s="1"/>
      <c r="C2512" s="3"/>
    </row>
    <row r="2513" spans="2:3" x14ac:dyDescent="0.3">
      <c r="B2513" s="1"/>
      <c r="C2513" s="3"/>
    </row>
    <row r="2514" spans="2:3" x14ac:dyDescent="0.3">
      <c r="B2514" s="1"/>
      <c r="C2514" s="3"/>
    </row>
    <row r="2515" spans="2:3" x14ac:dyDescent="0.3">
      <c r="B2515" s="1"/>
      <c r="C2515" s="3"/>
    </row>
    <row r="2516" spans="2:3" x14ac:dyDescent="0.3">
      <c r="B2516" s="1"/>
      <c r="C2516" s="3"/>
    </row>
    <row r="2517" spans="2:3" x14ac:dyDescent="0.3">
      <c r="B2517" s="1"/>
      <c r="C2517" s="3"/>
    </row>
    <row r="2518" spans="2:3" x14ac:dyDescent="0.3">
      <c r="B2518" s="1"/>
      <c r="C2518" s="3"/>
    </row>
    <row r="2519" spans="2:3" x14ac:dyDescent="0.3">
      <c r="B2519" s="1"/>
      <c r="C2519" s="3"/>
    </row>
    <row r="2520" spans="2:3" x14ac:dyDescent="0.3">
      <c r="B2520" s="1"/>
      <c r="C2520" s="3"/>
    </row>
    <row r="2521" spans="2:3" x14ac:dyDescent="0.3">
      <c r="B2521" s="1"/>
      <c r="C2521" s="3"/>
    </row>
    <row r="2522" spans="2:3" x14ac:dyDescent="0.3">
      <c r="B2522" s="1"/>
      <c r="C2522" s="3"/>
    </row>
    <row r="2523" spans="2:3" x14ac:dyDescent="0.3">
      <c r="C2523" s="3"/>
    </row>
    <row r="2524" spans="2:3" x14ac:dyDescent="0.3">
      <c r="C2524" s="3"/>
    </row>
    <row r="2525" spans="2:3" x14ac:dyDescent="0.3">
      <c r="C2525" s="3"/>
    </row>
    <row r="2526" spans="2:3" x14ac:dyDescent="0.3">
      <c r="C2526" s="3"/>
    </row>
    <row r="2527" spans="2:3" x14ac:dyDescent="0.3">
      <c r="C2527" s="3"/>
    </row>
    <row r="2528" spans="2:3" x14ac:dyDescent="0.3">
      <c r="C2528" s="3"/>
    </row>
    <row r="2529" spans="3:3" x14ac:dyDescent="0.3">
      <c r="C2529" s="3"/>
    </row>
    <row r="2530" spans="3:3" x14ac:dyDescent="0.3">
      <c r="C2530" s="3"/>
    </row>
    <row r="2531" spans="3:3" x14ac:dyDescent="0.3">
      <c r="C2531" s="3"/>
    </row>
    <row r="2532" spans="3:3" x14ac:dyDescent="0.3">
      <c r="C2532" s="3"/>
    </row>
    <row r="2533" spans="3:3" x14ac:dyDescent="0.3">
      <c r="C2533" s="3"/>
    </row>
    <row r="2534" spans="3:3" x14ac:dyDescent="0.3">
      <c r="C2534" s="3"/>
    </row>
    <row r="2535" spans="3:3" x14ac:dyDescent="0.3">
      <c r="C2535" s="3"/>
    </row>
    <row r="2536" spans="3:3" x14ac:dyDescent="0.3">
      <c r="C2536" s="3"/>
    </row>
    <row r="2537" spans="3:3" x14ac:dyDescent="0.3">
      <c r="C2537" s="3"/>
    </row>
    <row r="2538" spans="3:3" x14ac:dyDescent="0.3">
      <c r="C2538" s="3"/>
    </row>
    <row r="2539" spans="3:3" x14ac:dyDescent="0.3">
      <c r="C2539" s="3"/>
    </row>
    <row r="2540" spans="3:3" x14ac:dyDescent="0.3">
      <c r="C2540" s="3"/>
    </row>
    <row r="2541" spans="3:3" x14ac:dyDescent="0.3">
      <c r="C2541" s="3"/>
    </row>
    <row r="2542" spans="3:3" x14ac:dyDescent="0.3">
      <c r="C2542" s="3"/>
    </row>
    <row r="2543" spans="3:3" x14ac:dyDescent="0.3">
      <c r="C2543" s="3"/>
    </row>
    <row r="2544" spans="3:3" x14ac:dyDescent="0.3">
      <c r="C2544" s="3"/>
    </row>
    <row r="2545" spans="3:3" x14ac:dyDescent="0.3">
      <c r="C2545" s="3"/>
    </row>
    <row r="2546" spans="3:3" x14ac:dyDescent="0.3">
      <c r="C2546" s="3"/>
    </row>
    <row r="2547" spans="3:3" x14ac:dyDescent="0.3">
      <c r="C2547" s="3"/>
    </row>
    <row r="2548" spans="3:3" x14ac:dyDescent="0.3">
      <c r="C2548" s="3"/>
    </row>
    <row r="2549" spans="3:3" x14ac:dyDescent="0.3">
      <c r="C2549" s="3"/>
    </row>
    <row r="2550" spans="3:3" x14ac:dyDescent="0.3">
      <c r="C2550" s="3"/>
    </row>
    <row r="2551" spans="3:3" x14ac:dyDescent="0.3">
      <c r="C2551" s="3"/>
    </row>
    <row r="2552" spans="3:3" x14ac:dyDescent="0.3">
      <c r="C2552" s="3"/>
    </row>
    <row r="2553" spans="3:3" x14ac:dyDescent="0.3">
      <c r="C2553" s="3"/>
    </row>
    <row r="2554" spans="3:3" x14ac:dyDescent="0.3">
      <c r="C2554" s="3"/>
    </row>
    <row r="2555" spans="3:3" x14ac:dyDescent="0.3">
      <c r="C2555" s="3"/>
    </row>
    <row r="2556" spans="3:3" x14ac:dyDescent="0.3">
      <c r="C2556" s="3"/>
    </row>
    <row r="2557" spans="3:3" x14ac:dyDescent="0.3">
      <c r="C2557" s="3"/>
    </row>
    <row r="2558" spans="3:3" x14ac:dyDescent="0.3">
      <c r="C2558" s="3"/>
    </row>
    <row r="2559" spans="3:3" x14ac:dyDescent="0.3">
      <c r="C2559" s="3"/>
    </row>
    <row r="2560" spans="3:3" x14ac:dyDescent="0.3">
      <c r="C2560" s="3"/>
    </row>
    <row r="2561" spans="3:3" x14ac:dyDescent="0.3">
      <c r="C2561" s="3"/>
    </row>
    <row r="2562" spans="3:3" x14ac:dyDescent="0.3">
      <c r="C2562" s="3"/>
    </row>
    <row r="2563" spans="3:3" x14ac:dyDescent="0.3">
      <c r="C2563" s="3"/>
    </row>
    <row r="2564" spans="3:3" x14ac:dyDescent="0.3">
      <c r="C2564" s="3"/>
    </row>
    <row r="2565" spans="3:3" x14ac:dyDescent="0.3">
      <c r="C2565" s="3"/>
    </row>
    <row r="2566" spans="3:3" x14ac:dyDescent="0.3">
      <c r="C2566" s="3"/>
    </row>
    <row r="2567" spans="3:3" x14ac:dyDescent="0.3">
      <c r="C2567" s="3"/>
    </row>
    <row r="2568" spans="3:3" x14ac:dyDescent="0.3">
      <c r="C2568" s="3"/>
    </row>
    <row r="2569" spans="3:3" x14ac:dyDescent="0.3">
      <c r="C2569" s="3"/>
    </row>
    <row r="2570" spans="3:3" x14ac:dyDescent="0.3">
      <c r="C2570" s="3"/>
    </row>
    <row r="2571" spans="3:3" x14ac:dyDescent="0.3">
      <c r="C2571" s="3"/>
    </row>
    <row r="2572" spans="3:3" x14ac:dyDescent="0.3">
      <c r="C2572" s="3"/>
    </row>
    <row r="2573" spans="3:3" x14ac:dyDescent="0.3">
      <c r="C2573" s="3"/>
    </row>
    <row r="2574" spans="3:3" x14ac:dyDescent="0.3">
      <c r="C2574" s="3"/>
    </row>
    <row r="2575" spans="3:3" x14ac:dyDescent="0.3">
      <c r="C2575" s="3"/>
    </row>
    <row r="2576" spans="3:3" x14ac:dyDescent="0.3">
      <c r="C2576" s="3"/>
    </row>
    <row r="2577" spans="3:3" x14ac:dyDescent="0.3">
      <c r="C2577" s="3"/>
    </row>
    <row r="2578" spans="3:3" x14ac:dyDescent="0.3">
      <c r="C2578" s="3"/>
    </row>
    <row r="2579" spans="3:3" x14ac:dyDescent="0.3">
      <c r="C2579" s="3"/>
    </row>
    <row r="2580" spans="3:3" x14ac:dyDescent="0.3">
      <c r="C2580" s="3"/>
    </row>
    <row r="2581" spans="3:3" x14ac:dyDescent="0.3">
      <c r="C2581" s="3"/>
    </row>
    <row r="2582" spans="3:3" x14ac:dyDescent="0.3">
      <c r="C2582" s="3"/>
    </row>
    <row r="2583" spans="3:3" x14ac:dyDescent="0.3">
      <c r="C2583" s="3"/>
    </row>
    <row r="2584" spans="3:3" x14ac:dyDescent="0.3">
      <c r="C2584" s="3"/>
    </row>
    <row r="2585" spans="3:3" x14ac:dyDescent="0.3">
      <c r="C2585" s="3"/>
    </row>
    <row r="2586" spans="3:3" x14ac:dyDescent="0.3">
      <c r="C2586" s="3"/>
    </row>
    <row r="2587" spans="3:3" x14ac:dyDescent="0.3">
      <c r="C2587" s="3"/>
    </row>
    <row r="2588" spans="3:3" x14ac:dyDescent="0.3">
      <c r="C2588" s="3"/>
    </row>
    <row r="2589" spans="3:3" x14ac:dyDescent="0.3">
      <c r="C2589" s="3"/>
    </row>
    <row r="2590" spans="3:3" x14ac:dyDescent="0.3">
      <c r="C2590" s="3"/>
    </row>
    <row r="2591" spans="3:3" x14ac:dyDescent="0.3">
      <c r="C2591" s="3"/>
    </row>
    <row r="2592" spans="3:3" x14ac:dyDescent="0.3">
      <c r="C2592" s="3"/>
    </row>
    <row r="2593" spans="3:3" x14ac:dyDescent="0.3">
      <c r="C2593" s="3"/>
    </row>
    <row r="2594" spans="3:3" x14ac:dyDescent="0.3">
      <c r="C2594" s="3"/>
    </row>
    <row r="2595" spans="3:3" x14ac:dyDescent="0.3">
      <c r="C2595" s="3"/>
    </row>
    <row r="2596" spans="3:3" x14ac:dyDescent="0.3">
      <c r="C2596" s="3"/>
    </row>
    <row r="2597" spans="3:3" x14ac:dyDescent="0.3">
      <c r="C2597" s="3"/>
    </row>
    <row r="2598" spans="3:3" x14ac:dyDescent="0.3">
      <c r="C2598" s="3"/>
    </row>
    <row r="2599" spans="3:3" x14ac:dyDescent="0.3">
      <c r="C2599" s="3"/>
    </row>
    <row r="2600" spans="3:3" x14ac:dyDescent="0.3">
      <c r="C2600" s="3"/>
    </row>
    <row r="2601" spans="3:3" x14ac:dyDescent="0.3">
      <c r="C2601" s="3"/>
    </row>
    <row r="2602" spans="3:3" x14ac:dyDescent="0.3">
      <c r="C2602" s="3"/>
    </row>
    <row r="2603" spans="3:3" x14ac:dyDescent="0.3">
      <c r="C2603" s="3"/>
    </row>
    <row r="2604" spans="3:3" x14ac:dyDescent="0.3">
      <c r="C2604" s="3"/>
    </row>
    <row r="2605" spans="3:3" x14ac:dyDescent="0.3">
      <c r="C2605" s="3"/>
    </row>
    <row r="2606" spans="3:3" x14ac:dyDescent="0.3">
      <c r="C2606" s="3"/>
    </row>
    <row r="2607" spans="3:3" x14ac:dyDescent="0.3">
      <c r="C2607" s="3"/>
    </row>
    <row r="2608" spans="3:3" x14ac:dyDescent="0.3">
      <c r="C2608" s="3"/>
    </row>
    <row r="2609" spans="3:3" x14ac:dyDescent="0.3">
      <c r="C2609" s="3"/>
    </row>
    <row r="2610" spans="3:3" x14ac:dyDescent="0.3">
      <c r="C2610" s="3"/>
    </row>
    <row r="2611" spans="3:3" x14ac:dyDescent="0.3">
      <c r="C2611" s="3"/>
    </row>
    <row r="2612" spans="3:3" x14ac:dyDescent="0.3">
      <c r="C2612" s="3"/>
    </row>
    <row r="2613" spans="3:3" x14ac:dyDescent="0.3">
      <c r="C2613" s="3"/>
    </row>
    <row r="2614" spans="3:3" x14ac:dyDescent="0.3">
      <c r="C2614" s="3"/>
    </row>
    <row r="2615" spans="3:3" x14ac:dyDescent="0.3">
      <c r="C2615" s="3"/>
    </row>
    <row r="2616" spans="3:3" x14ac:dyDescent="0.3">
      <c r="C2616" s="3"/>
    </row>
    <row r="2617" spans="3:3" x14ac:dyDescent="0.3">
      <c r="C2617" s="3"/>
    </row>
    <row r="2618" spans="3:3" x14ac:dyDescent="0.3">
      <c r="C2618" s="3"/>
    </row>
    <row r="2619" spans="3:3" x14ac:dyDescent="0.3">
      <c r="C2619" s="3"/>
    </row>
    <row r="2620" spans="3:3" x14ac:dyDescent="0.3">
      <c r="C2620" s="3"/>
    </row>
    <row r="2621" spans="3:3" x14ac:dyDescent="0.3">
      <c r="C2621" s="3"/>
    </row>
    <row r="2622" spans="3:3" x14ac:dyDescent="0.3">
      <c r="C2622" s="3"/>
    </row>
    <row r="2623" spans="3:3" x14ac:dyDescent="0.3">
      <c r="C2623" s="3"/>
    </row>
    <row r="2624" spans="3:3" x14ac:dyDescent="0.3">
      <c r="C2624" s="3"/>
    </row>
    <row r="2625" spans="3:3" x14ac:dyDescent="0.3">
      <c r="C2625" s="3"/>
    </row>
    <row r="2626" spans="3:3" x14ac:dyDescent="0.3">
      <c r="C2626" s="3"/>
    </row>
    <row r="2627" spans="3:3" x14ac:dyDescent="0.3">
      <c r="C2627" s="3"/>
    </row>
    <row r="2628" spans="3:3" x14ac:dyDescent="0.3">
      <c r="C2628" s="3"/>
    </row>
    <row r="2629" spans="3:3" x14ac:dyDescent="0.3">
      <c r="C2629" s="3"/>
    </row>
    <row r="2630" spans="3:3" x14ac:dyDescent="0.3">
      <c r="C2630" s="3"/>
    </row>
    <row r="2631" spans="3:3" x14ac:dyDescent="0.3">
      <c r="C2631" s="3"/>
    </row>
    <row r="2632" spans="3:3" x14ac:dyDescent="0.3">
      <c r="C2632" s="3"/>
    </row>
    <row r="2633" spans="3:3" x14ac:dyDescent="0.3">
      <c r="C2633" s="3"/>
    </row>
    <row r="2634" spans="3:3" x14ac:dyDescent="0.3">
      <c r="C2634" s="3"/>
    </row>
    <row r="2635" spans="3:3" x14ac:dyDescent="0.3">
      <c r="C2635" s="3"/>
    </row>
    <row r="2636" spans="3:3" x14ac:dyDescent="0.3">
      <c r="C2636" s="3"/>
    </row>
    <row r="2637" spans="3:3" x14ac:dyDescent="0.3">
      <c r="C2637" s="3"/>
    </row>
    <row r="2638" spans="3:3" x14ac:dyDescent="0.3">
      <c r="C2638" s="3"/>
    </row>
    <row r="2639" spans="3:3" x14ac:dyDescent="0.3">
      <c r="C2639" s="3"/>
    </row>
    <row r="2640" spans="3:3" x14ac:dyDescent="0.3">
      <c r="C2640" s="3"/>
    </row>
    <row r="2641" spans="3:3" x14ac:dyDescent="0.3">
      <c r="C2641" s="3"/>
    </row>
    <row r="2642" spans="3:3" x14ac:dyDescent="0.3">
      <c r="C2642" s="3"/>
    </row>
    <row r="2643" spans="3:3" x14ac:dyDescent="0.3">
      <c r="C2643" s="3"/>
    </row>
    <row r="2644" spans="3:3" x14ac:dyDescent="0.3">
      <c r="C2644" s="3"/>
    </row>
    <row r="2645" spans="3:3" x14ac:dyDescent="0.3">
      <c r="C2645" s="3"/>
    </row>
    <row r="2646" spans="3:3" x14ac:dyDescent="0.3">
      <c r="C2646" s="3"/>
    </row>
    <row r="2647" spans="3:3" x14ac:dyDescent="0.3">
      <c r="C2647" s="3"/>
    </row>
    <row r="2648" spans="3:3" x14ac:dyDescent="0.3">
      <c r="C2648" s="3"/>
    </row>
    <row r="2649" spans="3:3" x14ac:dyDescent="0.3">
      <c r="C2649" s="3"/>
    </row>
    <row r="2650" spans="3:3" x14ac:dyDescent="0.3">
      <c r="C2650" s="3"/>
    </row>
    <row r="2651" spans="3:3" x14ac:dyDescent="0.3">
      <c r="C2651" s="3"/>
    </row>
    <row r="2652" spans="3:3" x14ac:dyDescent="0.3">
      <c r="C2652" s="3"/>
    </row>
    <row r="2653" spans="3:3" x14ac:dyDescent="0.3">
      <c r="C2653" s="3"/>
    </row>
    <row r="2654" spans="3:3" x14ac:dyDescent="0.3">
      <c r="C2654" s="3"/>
    </row>
    <row r="2655" spans="3:3" x14ac:dyDescent="0.3">
      <c r="C2655" s="3"/>
    </row>
    <row r="2656" spans="3:3" x14ac:dyDescent="0.3">
      <c r="C2656" s="3"/>
    </row>
    <row r="2657" spans="3:3" x14ac:dyDescent="0.3">
      <c r="C2657" s="3"/>
    </row>
    <row r="2658" spans="3:3" x14ac:dyDescent="0.3">
      <c r="C2658" s="3"/>
    </row>
    <row r="2659" spans="3:3" x14ac:dyDescent="0.3">
      <c r="C2659" s="3"/>
    </row>
    <row r="2660" spans="3:3" x14ac:dyDescent="0.3">
      <c r="C2660" s="3"/>
    </row>
    <row r="2661" spans="3:3" x14ac:dyDescent="0.3">
      <c r="C2661" s="3"/>
    </row>
    <row r="2662" spans="3:3" x14ac:dyDescent="0.3">
      <c r="C2662" s="3"/>
    </row>
    <row r="2663" spans="3:3" x14ac:dyDescent="0.3">
      <c r="C2663" s="3"/>
    </row>
    <row r="2664" spans="3:3" x14ac:dyDescent="0.3">
      <c r="C2664" s="3"/>
    </row>
    <row r="2665" spans="3:3" x14ac:dyDescent="0.3">
      <c r="C2665" s="3"/>
    </row>
    <row r="2666" spans="3:3" x14ac:dyDescent="0.3">
      <c r="C2666" s="3"/>
    </row>
    <row r="2667" spans="3:3" x14ac:dyDescent="0.3">
      <c r="C2667" s="3"/>
    </row>
    <row r="2668" spans="3:3" x14ac:dyDescent="0.3">
      <c r="C2668" s="3"/>
    </row>
    <row r="2669" spans="3:3" x14ac:dyDescent="0.3">
      <c r="C2669" s="3"/>
    </row>
    <row r="2670" spans="3:3" x14ac:dyDescent="0.3">
      <c r="C2670" s="3"/>
    </row>
    <row r="2671" spans="3:3" x14ac:dyDescent="0.3">
      <c r="C2671" s="3"/>
    </row>
    <row r="2672" spans="3:3" x14ac:dyDescent="0.3">
      <c r="C2672" s="3"/>
    </row>
    <row r="2673" spans="3:3" x14ac:dyDescent="0.3">
      <c r="C2673" s="3"/>
    </row>
    <row r="2674" spans="3:3" x14ac:dyDescent="0.3">
      <c r="C2674" s="3"/>
    </row>
    <row r="2675" spans="3:3" x14ac:dyDescent="0.3">
      <c r="C2675" s="3"/>
    </row>
    <row r="2676" spans="3:3" x14ac:dyDescent="0.3">
      <c r="C2676" s="3"/>
    </row>
    <row r="2677" spans="3:3" x14ac:dyDescent="0.3">
      <c r="C2677" s="3"/>
    </row>
    <row r="2678" spans="3:3" x14ac:dyDescent="0.3">
      <c r="C2678" s="3"/>
    </row>
    <row r="2679" spans="3:3" x14ac:dyDescent="0.3">
      <c r="C2679" s="3"/>
    </row>
    <row r="2680" spans="3:3" x14ac:dyDescent="0.3">
      <c r="C2680" s="3"/>
    </row>
    <row r="2681" spans="3:3" x14ac:dyDescent="0.3">
      <c r="C2681" s="3"/>
    </row>
    <row r="2682" spans="3:3" x14ac:dyDescent="0.3">
      <c r="C2682" s="3"/>
    </row>
    <row r="2683" spans="3:3" x14ac:dyDescent="0.3">
      <c r="C2683" s="3"/>
    </row>
    <row r="2684" spans="3:3" x14ac:dyDescent="0.3">
      <c r="C2684" s="3"/>
    </row>
    <row r="2685" spans="3:3" x14ac:dyDescent="0.3">
      <c r="C2685" s="3"/>
    </row>
    <row r="2686" spans="3:3" x14ac:dyDescent="0.3">
      <c r="C2686" s="3"/>
    </row>
    <row r="2687" spans="3:3" x14ac:dyDescent="0.3">
      <c r="C2687" s="3"/>
    </row>
    <row r="2688" spans="3:3" x14ac:dyDescent="0.3">
      <c r="C2688" s="3"/>
    </row>
    <row r="2689" spans="3:3" x14ac:dyDescent="0.3">
      <c r="C2689" s="3"/>
    </row>
    <row r="2690" spans="3:3" x14ac:dyDescent="0.3">
      <c r="C2690" s="3"/>
    </row>
    <row r="2691" spans="3:3" x14ac:dyDescent="0.3">
      <c r="C2691" s="3"/>
    </row>
    <row r="2692" spans="3:3" x14ac:dyDescent="0.3">
      <c r="C2692" s="3"/>
    </row>
    <row r="2693" spans="3:3" x14ac:dyDescent="0.3">
      <c r="C2693" s="3"/>
    </row>
    <row r="2694" spans="3:3" x14ac:dyDescent="0.3">
      <c r="C2694" s="3"/>
    </row>
    <row r="2695" spans="3:3" x14ac:dyDescent="0.3">
      <c r="C2695" s="3"/>
    </row>
    <row r="2696" spans="3:3" x14ac:dyDescent="0.3">
      <c r="C2696" s="3"/>
    </row>
    <row r="2697" spans="3:3" x14ac:dyDescent="0.3">
      <c r="C2697" s="3"/>
    </row>
    <row r="2698" spans="3:3" x14ac:dyDescent="0.3">
      <c r="C2698" s="3"/>
    </row>
    <row r="2699" spans="3:3" x14ac:dyDescent="0.3">
      <c r="C2699" s="3"/>
    </row>
    <row r="2700" spans="3:3" x14ac:dyDescent="0.3">
      <c r="C2700" s="3"/>
    </row>
    <row r="2701" spans="3:3" x14ac:dyDescent="0.3">
      <c r="C2701" s="3"/>
    </row>
    <row r="2702" spans="3:3" x14ac:dyDescent="0.3">
      <c r="C2702" s="3"/>
    </row>
    <row r="2703" spans="3:3" x14ac:dyDescent="0.3">
      <c r="C2703" s="3"/>
    </row>
    <row r="2704" spans="3:3" x14ac:dyDescent="0.3">
      <c r="C2704" s="3"/>
    </row>
    <row r="2705" spans="3:3" x14ac:dyDescent="0.3">
      <c r="C2705" s="3"/>
    </row>
    <row r="2706" spans="3:3" x14ac:dyDescent="0.3">
      <c r="C2706" s="3"/>
    </row>
    <row r="2707" spans="3:3" x14ac:dyDescent="0.3">
      <c r="C2707" s="3"/>
    </row>
    <row r="2708" spans="3:3" x14ac:dyDescent="0.3">
      <c r="C2708" s="3"/>
    </row>
    <row r="2709" spans="3:3" x14ac:dyDescent="0.3">
      <c r="C2709" s="3"/>
    </row>
    <row r="2710" spans="3:3" x14ac:dyDescent="0.3">
      <c r="C2710" s="3"/>
    </row>
    <row r="2711" spans="3:3" x14ac:dyDescent="0.3">
      <c r="C2711" s="3"/>
    </row>
    <row r="2712" spans="3:3" x14ac:dyDescent="0.3">
      <c r="C2712" s="3"/>
    </row>
    <row r="2713" spans="3:3" x14ac:dyDescent="0.3">
      <c r="C2713" s="3"/>
    </row>
    <row r="2714" spans="3:3" x14ac:dyDescent="0.3">
      <c r="C2714" s="3"/>
    </row>
    <row r="2715" spans="3:3" x14ac:dyDescent="0.3">
      <c r="C2715" s="3"/>
    </row>
    <row r="2716" spans="3:3" x14ac:dyDescent="0.3">
      <c r="C2716" s="3"/>
    </row>
    <row r="2717" spans="3:3" x14ac:dyDescent="0.3">
      <c r="C2717" s="3"/>
    </row>
    <row r="2718" spans="3:3" x14ac:dyDescent="0.3">
      <c r="C2718" s="3"/>
    </row>
    <row r="2719" spans="3:3" x14ac:dyDescent="0.3">
      <c r="C2719" s="3"/>
    </row>
    <row r="2720" spans="3:3" x14ac:dyDescent="0.3">
      <c r="C2720" s="3"/>
    </row>
    <row r="2721" spans="3:3" x14ac:dyDescent="0.3">
      <c r="C2721" s="3"/>
    </row>
    <row r="2722" spans="3:3" x14ac:dyDescent="0.3">
      <c r="C2722" s="3"/>
    </row>
    <row r="2723" spans="3:3" x14ac:dyDescent="0.3">
      <c r="C2723" s="3"/>
    </row>
    <row r="2724" spans="3:3" x14ac:dyDescent="0.3">
      <c r="C2724" s="3"/>
    </row>
    <row r="2725" spans="3:3" x14ac:dyDescent="0.3">
      <c r="C2725" s="3"/>
    </row>
    <row r="2726" spans="3:3" x14ac:dyDescent="0.3">
      <c r="C2726" s="3"/>
    </row>
    <row r="2727" spans="3:3" x14ac:dyDescent="0.3">
      <c r="C2727" s="3"/>
    </row>
    <row r="2728" spans="3:3" x14ac:dyDescent="0.3">
      <c r="C2728" s="3"/>
    </row>
    <row r="2729" spans="3:3" x14ac:dyDescent="0.3">
      <c r="C2729" s="3"/>
    </row>
    <row r="2730" spans="3:3" x14ac:dyDescent="0.3">
      <c r="C2730" s="3"/>
    </row>
    <row r="2731" spans="3:3" x14ac:dyDescent="0.3">
      <c r="C2731" s="3"/>
    </row>
    <row r="2732" spans="3:3" x14ac:dyDescent="0.3">
      <c r="C2732" s="3"/>
    </row>
    <row r="2733" spans="3:3" x14ac:dyDescent="0.3">
      <c r="C2733" s="3"/>
    </row>
    <row r="2734" spans="3:3" x14ac:dyDescent="0.3">
      <c r="C2734" s="3"/>
    </row>
    <row r="2735" spans="3:3" x14ac:dyDescent="0.3">
      <c r="C2735" s="3"/>
    </row>
    <row r="2736" spans="3:3" x14ac:dyDescent="0.3">
      <c r="C2736" s="3"/>
    </row>
    <row r="2737" spans="3:3" x14ac:dyDescent="0.3">
      <c r="C2737" s="3"/>
    </row>
    <row r="2738" spans="3:3" x14ac:dyDescent="0.3">
      <c r="C2738" s="3"/>
    </row>
    <row r="2739" spans="3:3" x14ac:dyDescent="0.3">
      <c r="C2739" s="3"/>
    </row>
    <row r="2740" spans="3:3" x14ac:dyDescent="0.3">
      <c r="C2740" s="3"/>
    </row>
    <row r="2741" spans="3:3" x14ac:dyDescent="0.3">
      <c r="C2741" s="3"/>
    </row>
    <row r="2742" spans="3:3" x14ac:dyDescent="0.3">
      <c r="C2742" s="3"/>
    </row>
    <row r="2743" spans="3:3" x14ac:dyDescent="0.3">
      <c r="C2743" s="3"/>
    </row>
    <row r="2744" spans="3:3" x14ac:dyDescent="0.3">
      <c r="C2744" s="3"/>
    </row>
    <row r="2745" spans="3:3" x14ac:dyDescent="0.3">
      <c r="C2745" s="3"/>
    </row>
    <row r="2746" spans="3:3" x14ac:dyDescent="0.3">
      <c r="C2746" s="3"/>
    </row>
    <row r="2747" spans="3:3" x14ac:dyDescent="0.3">
      <c r="C2747" s="3"/>
    </row>
    <row r="2748" spans="3:3" x14ac:dyDescent="0.3">
      <c r="C2748" s="3"/>
    </row>
    <row r="2749" spans="3:3" x14ac:dyDescent="0.3">
      <c r="C2749" s="3"/>
    </row>
    <row r="2750" spans="3:3" x14ac:dyDescent="0.3">
      <c r="C2750" s="3"/>
    </row>
    <row r="2751" spans="3:3" x14ac:dyDescent="0.3">
      <c r="C2751" s="3"/>
    </row>
    <row r="2752" spans="3:3" x14ac:dyDescent="0.3">
      <c r="C2752" s="3"/>
    </row>
    <row r="2753" spans="3:3" x14ac:dyDescent="0.3">
      <c r="C2753" s="3"/>
    </row>
    <row r="2754" spans="3:3" x14ac:dyDescent="0.3">
      <c r="C2754" s="3"/>
    </row>
    <row r="2755" spans="3:3" x14ac:dyDescent="0.3">
      <c r="C2755" s="3"/>
    </row>
    <row r="2756" spans="3:3" x14ac:dyDescent="0.3">
      <c r="C2756" s="3"/>
    </row>
    <row r="2757" spans="3:3" x14ac:dyDescent="0.3">
      <c r="C2757" s="3"/>
    </row>
    <row r="2758" spans="3:3" x14ac:dyDescent="0.3">
      <c r="C2758" s="3"/>
    </row>
    <row r="2759" spans="3:3" x14ac:dyDescent="0.3">
      <c r="C2759" s="3"/>
    </row>
    <row r="2760" spans="3:3" x14ac:dyDescent="0.3">
      <c r="C2760" s="3"/>
    </row>
    <row r="2761" spans="3:3" x14ac:dyDescent="0.3">
      <c r="C2761" s="3"/>
    </row>
    <row r="2762" spans="3:3" x14ac:dyDescent="0.3">
      <c r="C2762" s="3"/>
    </row>
    <row r="2763" spans="3:3" x14ac:dyDescent="0.3">
      <c r="C2763" s="3"/>
    </row>
    <row r="2764" spans="3:3" x14ac:dyDescent="0.3">
      <c r="C2764" s="3"/>
    </row>
    <row r="2765" spans="3:3" x14ac:dyDescent="0.3">
      <c r="C2765" s="3"/>
    </row>
    <row r="2766" spans="3:3" x14ac:dyDescent="0.3">
      <c r="C2766" s="3"/>
    </row>
    <row r="2767" spans="3:3" x14ac:dyDescent="0.3">
      <c r="C2767" s="3"/>
    </row>
    <row r="2768" spans="3:3" x14ac:dyDescent="0.3">
      <c r="C2768" s="3"/>
    </row>
    <row r="2769" spans="3:3" x14ac:dyDescent="0.3">
      <c r="C2769" s="3"/>
    </row>
    <row r="2770" spans="3:3" x14ac:dyDescent="0.3">
      <c r="C2770" s="3"/>
    </row>
    <row r="2771" spans="3:3" x14ac:dyDescent="0.3">
      <c r="C2771" s="3"/>
    </row>
    <row r="2772" spans="3:3" x14ac:dyDescent="0.3">
      <c r="C2772" s="3"/>
    </row>
    <row r="2773" spans="3:3" x14ac:dyDescent="0.3">
      <c r="C2773" s="3"/>
    </row>
    <row r="2774" spans="3:3" x14ac:dyDescent="0.3">
      <c r="C2774" s="3"/>
    </row>
    <row r="2775" spans="3:3" x14ac:dyDescent="0.3">
      <c r="C2775" s="3"/>
    </row>
    <row r="2776" spans="3:3" x14ac:dyDescent="0.3">
      <c r="C2776" s="3"/>
    </row>
    <row r="2777" spans="3:3" x14ac:dyDescent="0.3">
      <c r="C2777" s="3"/>
    </row>
    <row r="2778" spans="3:3" x14ac:dyDescent="0.3">
      <c r="C2778" s="3"/>
    </row>
    <row r="2779" spans="3:3" x14ac:dyDescent="0.3">
      <c r="C2779" s="3"/>
    </row>
    <row r="2780" spans="3:3" x14ac:dyDescent="0.3">
      <c r="C2780" s="3"/>
    </row>
    <row r="2781" spans="3:3" x14ac:dyDescent="0.3">
      <c r="C2781" s="3"/>
    </row>
    <row r="2782" spans="3:3" x14ac:dyDescent="0.3">
      <c r="C2782" s="3"/>
    </row>
    <row r="2783" spans="3:3" x14ac:dyDescent="0.3">
      <c r="C2783" s="3"/>
    </row>
    <row r="2784" spans="3:3" x14ac:dyDescent="0.3">
      <c r="C2784" s="3"/>
    </row>
    <row r="2785" spans="3:3" x14ac:dyDescent="0.3">
      <c r="C2785" s="3"/>
    </row>
    <row r="2786" spans="3:3" x14ac:dyDescent="0.3">
      <c r="C2786" s="3"/>
    </row>
    <row r="2787" spans="3:3" x14ac:dyDescent="0.3">
      <c r="C2787" s="3"/>
    </row>
    <row r="2788" spans="3:3" x14ac:dyDescent="0.3">
      <c r="C2788" s="3"/>
    </row>
    <row r="2789" spans="3:3" x14ac:dyDescent="0.3">
      <c r="C2789" s="3"/>
    </row>
    <row r="2790" spans="3:3" x14ac:dyDescent="0.3">
      <c r="C2790" s="3"/>
    </row>
    <row r="2791" spans="3:3" x14ac:dyDescent="0.3">
      <c r="C2791" s="3"/>
    </row>
    <row r="2792" spans="3:3" x14ac:dyDescent="0.3">
      <c r="C2792" s="3"/>
    </row>
    <row r="2793" spans="3:3" x14ac:dyDescent="0.3">
      <c r="C2793" s="3"/>
    </row>
    <row r="2794" spans="3:3" x14ac:dyDescent="0.3">
      <c r="C2794" s="3"/>
    </row>
    <row r="2795" spans="3:3" x14ac:dyDescent="0.3">
      <c r="C2795" s="3"/>
    </row>
    <row r="2796" spans="3:3" x14ac:dyDescent="0.3">
      <c r="C2796" s="3"/>
    </row>
    <row r="2797" spans="3:3" x14ac:dyDescent="0.3">
      <c r="C2797" s="3"/>
    </row>
    <row r="2798" spans="3:3" x14ac:dyDescent="0.3">
      <c r="C2798" s="3"/>
    </row>
    <row r="2799" spans="3:3" x14ac:dyDescent="0.3">
      <c r="C2799" s="3"/>
    </row>
    <row r="2800" spans="3:3" x14ac:dyDescent="0.3">
      <c r="C2800" s="3"/>
    </row>
    <row r="2801" spans="3:3" x14ac:dyDescent="0.3">
      <c r="C2801" s="3"/>
    </row>
    <row r="2802" spans="3:3" x14ac:dyDescent="0.3">
      <c r="C2802" s="3"/>
    </row>
    <row r="2803" spans="3:3" x14ac:dyDescent="0.3">
      <c r="C2803" s="3"/>
    </row>
    <row r="2804" spans="3:3" x14ac:dyDescent="0.3">
      <c r="C2804" s="3"/>
    </row>
    <row r="2805" spans="3:3" x14ac:dyDescent="0.3">
      <c r="C2805" s="3"/>
    </row>
    <row r="2806" spans="3:3" x14ac:dyDescent="0.3">
      <c r="C2806" s="3"/>
    </row>
    <row r="2807" spans="3:3" x14ac:dyDescent="0.3">
      <c r="C2807" s="3"/>
    </row>
    <row r="2808" spans="3:3" x14ac:dyDescent="0.3">
      <c r="C2808" s="3"/>
    </row>
    <row r="2809" spans="3:3" x14ac:dyDescent="0.3">
      <c r="C2809" s="3"/>
    </row>
    <row r="2810" spans="3:3" x14ac:dyDescent="0.3">
      <c r="C2810" s="3"/>
    </row>
    <row r="2811" spans="3:3" x14ac:dyDescent="0.3">
      <c r="C2811" s="3"/>
    </row>
    <row r="2812" spans="3:3" x14ac:dyDescent="0.3">
      <c r="C2812" s="3"/>
    </row>
    <row r="2813" spans="3:3" x14ac:dyDescent="0.3">
      <c r="C2813" s="3"/>
    </row>
    <row r="2814" spans="3:3" x14ac:dyDescent="0.3">
      <c r="C2814" s="3"/>
    </row>
    <row r="2815" spans="3:3" x14ac:dyDescent="0.3">
      <c r="C2815" s="3"/>
    </row>
    <row r="2816" spans="3:3" x14ac:dyDescent="0.3">
      <c r="C2816" s="3"/>
    </row>
    <row r="2817" spans="3:3" x14ac:dyDescent="0.3">
      <c r="C2817" s="3"/>
    </row>
    <row r="2818" spans="3:3" x14ac:dyDescent="0.3">
      <c r="C2818" s="3"/>
    </row>
    <row r="2819" spans="3:3" x14ac:dyDescent="0.3">
      <c r="C2819" s="3"/>
    </row>
    <row r="2820" spans="3:3" x14ac:dyDescent="0.3">
      <c r="C2820" s="3"/>
    </row>
    <row r="2821" spans="3:3" x14ac:dyDescent="0.3">
      <c r="C2821" s="3"/>
    </row>
    <row r="2822" spans="3:3" x14ac:dyDescent="0.3">
      <c r="C2822" s="3"/>
    </row>
    <row r="2823" spans="3:3" x14ac:dyDescent="0.3">
      <c r="C2823" s="3"/>
    </row>
  </sheetData>
  <sortState xmlns:xlrd2="http://schemas.microsoft.com/office/spreadsheetml/2017/richdata2" ref="A2:K2501">
    <sortCondition ref="B1:B2501"/>
  </sortState>
  <conditionalFormatting sqref="K2:K2501">
    <cfRule type="top10" dxfId="1" priority="1" percent="1" bottom="1" rank="10"/>
    <cfRule type="top10" dxfId="0" priority="2" percent="1" rank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E2501"/>
  <sheetViews>
    <sheetView topLeftCell="A2475" workbookViewId="0">
      <selection activeCell="E1" sqref="E1"/>
    </sheetView>
  </sheetViews>
  <sheetFormatPr defaultRowHeight="14.4" x14ac:dyDescent="0.3"/>
  <cols>
    <col min="1" max="1" width="13.5546875" bestFit="1" customWidth="1"/>
    <col min="2" max="2" width="18.6640625" bestFit="1" customWidth="1"/>
    <col min="3" max="3" width="9.33203125" bestFit="1" customWidth="1"/>
    <col min="4" max="4" width="6.44140625" bestFit="1" customWidth="1"/>
    <col min="5" max="5" width="10.77734375" bestFit="1" customWidth="1"/>
  </cols>
  <sheetData>
    <row r="1" spans="1:5" x14ac:dyDescent="0.3">
      <c r="A1" s="4" t="s">
        <v>1</v>
      </c>
      <c r="B1" s="4" t="s">
        <v>113</v>
      </c>
      <c r="C1" s="4" t="s">
        <v>148</v>
      </c>
      <c r="D1" s="4" t="s">
        <v>149</v>
      </c>
      <c r="E1" s="4" t="s">
        <v>152</v>
      </c>
    </row>
    <row r="2" spans="1:5" x14ac:dyDescent="0.3">
      <c r="A2">
        <v>1</v>
      </c>
      <c r="B2" s="1" t="s">
        <v>99</v>
      </c>
      <c r="C2" t="s">
        <v>150</v>
      </c>
      <c r="D2">
        <v>31</v>
      </c>
      <c r="E2" t="s">
        <v>153</v>
      </c>
    </row>
    <row r="3" spans="1:5" x14ac:dyDescent="0.3">
      <c r="A3">
        <v>2</v>
      </c>
      <c r="B3" s="1" t="s">
        <v>104</v>
      </c>
      <c r="C3" t="s">
        <v>150</v>
      </c>
      <c r="D3">
        <v>49</v>
      </c>
      <c r="E3" t="s">
        <v>153</v>
      </c>
    </row>
    <row r="4" spans="1:5" x14ac:dyDescent="0.3">
      <c r="A4">
        <v>3</v>
      </c>
      <c r="B4" s="1" t="s">
        <v>98</v>
      </c>
      <c r="C4" t="s">
        <v>150</v>
      </c>
      <c r="D4">
        <v>39</v>
      </c>
      <c r="E4" t="s">
        <v>153</v>
      </c>
    </row>
    <row r="5" spans="1:5" x14ac:dyDescent="0.3">
      <c r="A5">
        <v>4</v>
      </c>
      <c r="B5" s="1" t="s">
        <v>100</v>
      </c>
      <c r="C5" t="s">
        <v>150</v>
      </c>
      <c r="D5" s="15">
        <v>39.666666666666664</v>
      </c>
      <c r="E5" t="s">
        <v>153</v>
      </c>
    </row>
    <row r="6" spans="1:5" x14ac:dyDescent="0.3">
      <c r="A6">
        <v>5</v>
      </c>
      <c r="B6" s="1" t="s">
        <v>107</v>
      </c>
      <c r="C6" t="s">
        <v>150</v>
      </c>
      <c r="D6">
        <v>81</v>
      </c>
      <c r="E6" t="s">
        <v>153</v>
      </c>
    </row>
    <row r="7" spans="1:5" x14ac:dyDescent="0.3">
      <c r="A7">
        <v>6</v>
      </c>
      <c r="B7" s="1" t="s">
        <v>98</v>
      </c>
      <c r="C7" t="s">
        <v>151</v>
      </c>
      <c r="D7">
        <v>62</v>
      </c>
      <c r="E7" t="s">
        <v>153</v>
      </c>
    </row>
    <row r="8" spans="1:5" x14ac:dyDescent="0.3">
      <c r="A8">
        <v>7</v>
      </c>
      <c r="B8" s="1" t="s">
        <v>105</v>
      </c>
      <c r="C8" t="s">
        <v>150</v>
      </c>
      <c r="D8">
        <v>76</v>
      </c>
      <c r="E8" t="s">
        <v>153</v>
      </c>
    </row>
    <row r="9" spans="1:5" x14ac:dyDescent="0.3">
      <c r="A9">
        <v>8</v>
      </c>
      <c r="B9" s="1" t="s">
        <v>99</v>
      </c>
      <c r="C9" t="s">
        <v>151</v>
      </c>
      <c r="D9">
        <v>70</v>
      </c>
      <c r="E9" t="s">
        <v>153</v>
      </c>
    </row>
    <row r="10" spans="1:5" x14ac:dyDescent="0.3">
      <c r="A10">
        <v>9</v>
      </c>
      <c r="B10" s="1" t="s">
        <v>99</v>
      </c>
      <c r="C10" t="s">
        <v>151</v>
      </c>
      <c r="D10">
        <v>75</v>
      </c>
      <c r="E10" t="s">
        <v>153</v>
      </c>
    </row>
    <row r="11" spans="1:5" x14ac:dyDescent="0.3">
      <c r="A11">
        <v>10</v>
      </c>
      <c r="B11" s="1" t="s">
        <v>102</v>
      </c>
      <c r="C11" t="s">
        <v>151</v>
      </c>
      <c r="D11">
        <v>32</v>
      </c>
      <c r="E11" t="s">
        <v>153</v>
      </c>
    </row>
    <row r="12" spans="1:5" x14ac:dyDescent="0.3">
      <c r="A12">
        <v>11</v>
      </c>
      <c r="B12" s="1" t="s">
        <v>98</v>
      </c>
      <c r="C12" t="s">
        <v>151</v>
      </c>
      <c r="D12">
        <v>82</v>
      </c>
      <c r="E12" t="s">
        <v>153</v>
      </c>
    </row>
    <row r="13" spans="1:5" x14ac:dyDescent="0.3">
      <c r="A13">
        <v>12</v>
      </c>
      <c r="B13" s="1" t="s">
        <v>104</v>
      </c>
      <c r="C13" t="s">
        <v>151</v>
      </c>
      <c r="D13">
        <v>65</v>
      </c>
      <c r="E13" t="s">
        <v>153</v>
      </c>
    </row>
    <row r="14" spans="1:5" x14ac:dyDescent="0.3">
      <c r="A14">
        <v>13</v>
      </c>
      <c r="B14" s="1" t="s">
        <v>104</v>
      </c>
      <c r="C14" t="s">
        <v>151</v>
      </c>
      <c r="D14">
        <v>84</v>
      </c>
      <c r="E14" t="s">
        <v>153</v>
      </c>
    </row>
    <row r="15" spans="1:5" x14ac:dyDescent="0.3">
      <c r="A15">
        <v>14</v>
      </c>
      <c r="B15" s="1" t="s">
        <v>100</v>
      </c>
      <c r="C15" t="s">
        <v>150</v>
      </c>
      <c r="D15">
        <v>64</v>
      </c>
      <c r="E15" t="s">
        <v>153</v>
      </c>
    </row>
    <row r="16" spans="1:5" x14ac:dyDescent="0.3">
      <c r="A16">
        <v>15</v>
      </c>
      <c r="B16" s="1" t="s">
        <v>108</v>
      </c>
      <c r="C16" t="s">
        <v>151</v>
      </c>
      <c r="D16">
        <v>48</v>
      </c>
      <c r="E16" t="s">
        <v>153</v>
      </c>
    </row>
    <row r="17" spans="1:5" x14ac:dyDescent="0.3">
      <c r="A17">
        <v>16</v>
      </c>
      <c r="B17" s="1" t="s">
        <v>102</v>
      </c>
      <c r="C17" t="s">
        <v>151</v>
      </c>
      <c r="D17">
        <v>81</v>
      </c>
      <c r="E17" t="s">
        <v>153</v>
      </c>
    </row>
    <row r="18" spans="1:5" x14ac:dyDescent="0.3">
      <c r="A18">
        <v>17</v>
      </c>
      <c r="B18" s="1" t="s">
        <v>98</v>
      </c>
      <c r="C18" t="s">
        <v>150</v>
      </c>
      <c r="D18">
        <v>63</v>
      </c>
      <c r="E18" t="s">
        <v>153</v>
      </c>
    </row>
    <row r="19" spans="1:5" x14ac:dyDescent="0.3">
      <c r="A19">
        <v>18</v>
      </c>
      <c r="B19" s="1" t="s">
        <v>98</v>
      </c>
      <c r="C19" t="s">
        <v>151</v>
      </c>
      <c r="D19">
        <v>85</v>
      </c>
      <c r="E19" t="s">
        <v>153</v>
      </c>
    </row>
    <row r="20" spans="1:5" x14ac:dyDescent="0.3">
      <c r="A20">
        <v>19</v>
      </c>
      <c r="B20" s="1" t="s">
        <v>98</v>
      </c>
      <c r="C20" t="s">
        <v>151</v>
      </c>
      <c r="D20">
        <v>35</v>
      </c>
      <c r="E20" t="s">
        <v>153</v>
      </c>
    </row>
    <row r="21" spans="1:5" x14ac:dyDescent="0.3">
      <c r="A21">
        <v>20</v>
      </c>
      <c r="B21" s="1" t="s">
        <v>98</v>
      </c>
      <c r="C21" t="s">
        <v>151</v>
      </c>
      <c r="D21">
        <v>38</v>
      </c>
      <c r="E21" t="s">
        <v>153</v>
      </c>
    </row>
    <row r="22" spans="1:5" x14ac:dyDescent="0.3">
      <c r="A22">
        <v>21</v>
      </c>
      <c r="B22" s="1" t="s">
        <v>104</v>
      </c>
      <c r="C22" t="s">
        <v>151</v>
      </c>
      <c r="D22">
        <v>68</v>
      </c>
      <c r="E22" t="s">
        <v>153</v>
      </c>
    </row>
    <row r="23" spans="1:5" x14ac:dyDescent="0.3">
      <c r="A23">
        <v>22</v>
      </c>
      <c r="B23" s="1" t="s">
        <v>104</v>
      </c>
      <c r="C23" t="s">
        <v>151</v>
      </c>
      <c r="D23">
        <v>78</v>
      </c>
      <c r="E23" t="s">
        <v>153</v>
      </c>
    </row>
    <row r="24" spans="1:5" x14ac:dyDescent="0.3">
      <c r="A24">
        <v>23</v>
      </c>
      <c r="B24" s="1" t="s">
        <v>104</v>
      </c>
      <c r="C24" t="s">
        <v>151</v>
      </c>
      <c r="D24">
        <v>62</v>
      </c>
      <c r="E24" t="s">
        <v>153</v>
      </c>
    </row>
    <row r="25" spans="1:5" x14ac:dyDescent="0.3">
      <c r="A25">
        <v>24</v>
      </c>
      <c r="B25" s="1" t="s">
        <v>104</v>
      </c>
      <c r="C25" t="s">
        <v>151</v>
      </c>
      <c r="D25">
        <v>47</v>
      </c>
      <c r="E25" t="s">
        <v>153</v>
      </c>
    </row>
    <row r="26" spans="1:5" x14ac:dyDescent="0.3">
      <c r="A26">
        <v>25</v>
      </c>
      <c r="B26" s="1" t="s">
        <v>98</v>
      </c>
      <c r="C26" t="s">
        <v>150</v>
      </c>
      <c r="D26">
        <v>59</v>
      </c>
      <c r="E26" t="s">
        <v>153</v>
      </c>
    </row>
    <row r="27" spans="1:5" x14ac:dyDescent="0.3">
      <c r="A27">
        <v>26</v>
      </c>
      <c r="B27" s="1" t="s">
        <v>99</v>
      </c>
      <c r="C27" t="s">
        <v>150</v>
      </c>
      <c r="D27">
        <v>27</v>
      </c>
      <c r="E27" t="s">
        <v>153</v>
      </c>
    </row>
    <row r="28" spans="1:5" x14ac:dyDescent="0.3">
      <c r="A28">
        <v>27</v>
      </c>
      <c r="B28" s="1" t="s">
        <v>98</v>
      </c>
      <c r="C28" t="s">
        <v>151</v>
      </c>
      <c r="D28">
        <v>66</v>
      </c>
      <c r="E28" t="s">
        <v>153</v>
      </c>
    </row>
    <row r="29" spans="1:5" x14ac:dyDescent="0.3">
      <c r="A29">
        <v>28</v>
      </c>
      <c r="B29" s="1" t="s">
        <v>105</v>
      </c>
      <c r="C29" t="s">
        <v>150</v>
      </c>
      <c r="D29">
        <v>77</v>
      </c>
      <c r="E29" t="s">
        <v>153</v>
      </c>
    </row>
    <row r="30" spans="1:5" x14ac:dyDescent="0.3">
      <c r="A30">
        <v>29</v>
      </c>
      <c r="B30" s="1" t="s">
        <v>104</v>
      </c>
      <c r="C30" t="s">
        <v>151</v>
      </c>
      <c r="D30">
        <v>19</v>
      </c>
      <c r="E30" t="s">
        <v>153</v>
      </c>
    </row>
    <row r="31" spans="1:5" x14ac:dyDescent="0.3">
      <c r="A31">
        <v>30</v>
      </c>
      <c r="B31" s="1" t="s">
        <v>99</v>
      </c>
      <c r="C31" t="s">
        <v>151</v>
      </c>
      <c r="D31">
        <v>72</v>
      </c>
      <c r="E31" t="s">
        <v>153</v>
      </c>
    </row>
    <row r="32" spans="1:5" x14ac:dyDescent="0.3">
      <c r="A32">
        <v>31</v>
      </c>
      <c r="B32" s="1" t="s">
        <v>98</v>
      </c>
      <c r="C32" t="s">
        <v>150</v>
      </c>
      <c r="D32">
        <v>22</v>
      </c>
      <c r="E32" t="s">
        <v>153</v>
      </c>
    </row>
    <row r="33" spans="1:5" x14ac:dyDescent="0.3">
      <c r="A33">
        <v>32</v>
      </c>
      <c r="B33" s="1" t="s">
        <v>104</v>
      </c>
      <c r="C33" t="s">
        <v>151</v>
      </c>
      <c r="D33">
        <v>55</v>
      </c>
      <c r="E33" t="s">
        <v>153</v>
      </c>
    </row>
    <row r="34" spans="1:5" x14ac:dyDescent="0.3">
      <c r="A34">
        <v>33</v>
      </c>
      <c r="B34" s="1" t="s">
        <v>104</v>
      </c>
      <c r="C34" t="s">
        <v>150</v>
      </c>
      <c r="D34">
        <v>53</v>
      </c>
      <c r="E34" t="s">
        <v>153</v>
      </c>
    </row>
    <row r="35" spans="1:5" x14ac:dyDescent="0.3">
      <c r="A35">
        <v>34</v>
      </c>
      <c r="B35" s="1" t="s">
        <v>100</v>
      </c>
      <c r="C35" t="s">
        <v>151</v>
      </c>
      <c r="D35">
        <v>20</v>
      </c>
      <c r="E35" t="s">
        <v>153</v>
      </c>
    </row>
    <row r="36" spans="1:5" x14ac:dyDescent="0.3">
      <c r="A36">
        <v>35</v>
      </c>
      <c r="B36" s="1" t="s">
        <v>100</v>
      </c>
      <c r="C36" t="s">
        <v>150</v>
      </c>
      <c r="D36">
        <v>19</v>
      </c>
      <c r="E36" t="s">
        <v>153</v>
      </c>
    </row>
    <row r="37" spans="1:5" x14ac:dyDescent="0.3">
      <c r="A37">
        <v>36</v>
      </c>
      <c r="B37" s="1" t="s">
        <v>98</v>
      </c>
      <c r="C37" t="s">
        <v>150</v>
      </c>
      <c r="D37">
        <v>63</v>
      </c>
      <c r="E37" t="s">
        <v>153</v>
      </c>
    </row>
    <row r="38" spans="1:5" x14ac:dyDescent="0.3">
      <c r="A38">
        <v>37</v>
      </c>
      <c r="B38" s="1" t="s">
        <v>104</v>
      </c>
      <c r="C38" t="s">
        <v>150</v>
      </c>
      <c r="D38">
        <v>35</v>
      </c>
      <c r="E38" t="s">
        <v>153</v>
      </c>
    </row>
    <row r="39" spans="1:5" x14ac:dyDescent="0.3">
      <c r="A39">
        <v>38</v>
      </c>
      <c r="B39" s="1" t="s">
        <v>103</v>
      </c>
      <c r="C39" t="s">
        <v>150</v>
      </c>
      <c r="D39">
        <v>53</v>
      </c>
      <c r="E39" t="s">
        <v>153</v>
      </c>
    </row>
    <row r="40" spans="1:5" x14ac:dyDescent="0.3">
      <c r="A40">
        <v>39</v>
      </c>
      <c r="B40" s="1" t="s">
        <v>98</v>
      </c>
      <c r="C40" t="s">
        <v>151</v>
      </c>
      <c r="D40">
        <v>46</v>
      </c>
      <c r="E40" t="s">
        <v>153</v>
      </c>
    </row>
    <row r="41" spans="1:5" x14ac:dyDescent="0.3">
      <c r="A41">
        <v>40</v>
      </c>
      <c r="B41" s="1" t="s">
        <v>100</v>
      </c>
      <c r="C41" t="s">
        <v>151</v>
      </c>
      <c r="D41">
        <v>37</v>
      </c>
      <c r="E41" t="s">
        <v>153</v>
      </c>
    </row>
    <row r="42" spans="1:5" x14ac:dyDescent="0.3">
      <c r="A42">
        <v>41</v>
      </c>
      <c r="B42" s="1" t="s">
        <v>100</v>
      </c>
      <c r="C42" t="s">
        <v>151</v>
      </c>
      <c r="D42">
        <v>42</v>
      </c>
      <c r="E42" t="s">
        <v>153</v>
      </c>
    </row>
    <row r="43" spans="1:5" x14ac:dyDescent="0.3">
      <c r="A43">
        <v>42</v>
      </c>
      <c r="B43" s="1" t="s">
        <v>104</v>
      </c>
      <c r="C43" t="s">
        <v>151</v>
      </c>
      <c r="D43">
        <v>43</v>
      </c>
      <c r="E43" t="s">
        <v>153</v>
      </c>
    </row>
    <row r="44" spans="1:5" x14ac:dyDescent="0.3">
      <c r="A44">
        <v>43</v>
      </c>
      <c r="B44" s="1" t="s">
        <v>105</v>
      </c>
      <c r="C44" t="s">
        <v>151</v>
      </c>
      <c r="D44">
        <v>55</v>
      </c>
      <c r="E44" t="s">
        <v>153</v>
      </c>
    </row>
    <row r="45" spans="1:5" x14ac:dyDescent="0.3">
      <c r="A45">
        <v>44</v>
      </c>
      <c r="B45" s="1" t="s">
        <v>105</v>
      </c>
      <c r="C45" t="s">
        <v>150</v>
      </c>
      <c r="D45">
        <v>90</v>
      </c>
      <c r="E45" t="s">
        <v>153</v>
      </c>
    </row>
    <row r="46" spans="1:5" x14ac:dyDescent="0.3">
      <c r="A46">
        <v>45</v>
      </c>
      <c r="B46" s="1" t="s">
        <v>98</v>
      </c>
      <c r="C46" t="s">
        <v>150</v>
      </c>
      <c r="D46">
        <v>89</v>
      </c>
      <c r="E46" t="s">
        <v>153</v>
      </c>
    </row>
    <row r="47" spans="1:5" x14ac:dyDescent="0.3">
      <c r="A47">
        <v>46</v>
      </c>
      <c r="B47" s="1" t="s">
        <v>101</v>
      </c>
      <c r="C47" t="s">
        <v>151</v>
      </c>
      <c r="D47">
        <v>66</v>
      </c>
      <c r="E47" t="s">
        <v>153</v>
      </c>
    </row>
    <row r="48" spans="1:5" x14ac:dyDescent="0.3">
      <c r="A48">
        <v>47</v>
      </c>
      <c r="B48" s="1" t="s">
        <v>104</v>
      </c>
      <c r="C48" t="s">
        <v>150</v>
      </c>
      <c r="D48">
        <v>25</v>
      </c>
      <c r="E48" t="s">
        <v>153</v>
      </c>
    </row>
    <row r="49" spans="1:5" x14ac:dyDescent="0.3">
      <c r="A49">
        <v>48</v>
      </c>
      <c r="B49" s="1" t="s">
        <v>98</v>
      </c>
      <c r="C49" t="s">
        <v>151</v>
      </c>
      <c r="D49">
        <v>66</v>
      </c>
      <c r="E49" t="s">
        <v>153</v>
      </c>
    </row>
    <row r="50" spans="1:5" x14ac:dyDescent="0.3">
      <c r="A50">
        <v>49</v>
      </c>
      <c r="B50" s="1" t="s">
        <v>99</v>
      </c>
      <c r="C50" t="s">
        <v>151</v>
      </c>
      <c r="D50">
        <v>30</v>
      </c>
      <c r="E50" t="s">
        <v>153</v>
      </c>
    </row>
    <row r="51" spans="1:5" x14ac:dyDescent="0.3">
      <c r="A51">
        <v>50</v>
      </c>
      <c r="B51" s="1" t="s">
        <v>102</v>
      </c>
      <c r="C51" t="s">
        <v>151</v>
      </c>
      <c r="D51">
        <v>83</v>
      </c>
      <c r="E51" t="s">
        <v>153</v>
      </c>
    </row>
    <row r="52" spans="1:5" x14ac:dyDescent="0.3">
      <c r="A52">
        <v>51</v>
      </c>
      <c r="B52" s="1" t="s">
        <v>98</v>
      </c>
      <c r="C52" t="s">
        <v>151</v>
      </c>
      <c r="D52">
        <v>63</v>
      </c>
      <c r="E52" t="s">
        <v>153</v>
      </c>
    </row>
    <row r="53" spans="1:5" x14ac:dyDescent="0.3">
      <c r="A53">
        <v>52</v>
      </c>
      <c r="B53" s="1" t="s">
        <v>98</v>
      </c>
      <c r="C53" t="s">
        <v>151</v>
      </c>
      <c r="D53">
        <v>75</v>
      </c>
      <c r="E53" t="s">
        <v>153</v>
      </c>
    </row>
    <row r="54" spans="1:5" x14ac:dyDescent="0.3">
      <c r="A54">
        <v>53</v>
      </c>
      <c r="B54" s="1" t="s">
        <v>106</v>
      </c>
      <c r="C54" t="s">
        <v>150</v>
      </c>
      <c r="D54">
        <v>62</v>
      </c>
      <c r="E54" t="s">
        <v>153</v>
      </c>
    </row>
    <row r="55" spans="1:5" x14ac:dyDescent="0.3">
      <c r="A55">
        <v>54</v>
      </c>
      <c r="B55" s="1" t="s">
        <v>112</v>
      </c>
      <c r="C55" t="s">
        <v>151</v>
      </c>
      <c r="D55">
        <v>52</v>
      </c>
      <c r="E55" t="s">
        <v>153</v>
      </c>
    </row>
    <row r="56" spans="1:5" x14ac:dyDescent="0.3">
      <c r="A56">
        <v>55</v>
      </c>
      <c r="B56" s="1" t="s">
        <v>107</v>
      </c>
      <c r="C56" t="s">
        <v>151</v>
      </c>
      <c r="D56">
        <v>32</v>
      </c>
      <c r="E56" t="s">
        <v>153</v>
      </c>
    </row>
    <row r="57" spans="1:5" x14ac:dyDescent="0.3">
      <c r="A57">
        <v>56</v>
      </c>
      <c r="B57" s="1" t="s">
        <v>100</v>
      </c>
      <c r="C57" t="s">
        <v>151</v>
      </c>
      <c r="D57">
        <v>32</v>
      </c>
      <c r="E57" t="s">
        <v>153</v>
      </c>
    </row>
    <row r="58" spans="1:5" x14ac:dyDescent="0.3">
      <c r="A58">
        <v>57</v>
      </c>
      <c r="B58" s="1" t="s">
        <v>112</v>
      </c>
      <c r="C58" t="s">
        <v>150</v>
      </c>
      <c r="D58">
        <v>79</v>
      </c>
      <c r="E58" t="s">
        <v>153</v>
      </c>
    </row>
    <row r="59" spans="1:5" x14ac:dyDescent="0.3">
      <c r="A59">
        <v>58</v>
      </c>
      <c r="B59" s="1" t="s">
        <v>108</v>
      </c>
      <c r="C59" t="s">
        <v>150</v>
      </c>
      <c r="D59">
        <v>29</v>
      </c>
      <c r="E59" t="s">
        <v>153</v>
      </c>
    </row>
    <row r="60" spans="1:5" x14ac:dyDescent="0.3">
      <c r="A60">
        <v>59</v>
      </c>
      <c r="B60" s="1" t="s">
        <v>100</v>
      </c>
      <c r="C60" t="s">
        <v>151</v>
      </c>
      <c r="D60">
        <v>70</v>
      </c>
      <c r="E60" t="s">
        <v>153</v>
      </c>
    </row>
    <row r="61" spans="1:5" x14ac:dyDescent="0.3">
      <c r="A61">
        <v>60</v>
      </c>
      <c r="B61" s="1" t="s">
        <v>98</v>
      </c>
      <c r="C61" t="s">
        <v>150</v>
      </c>
      <c r="D61">
        <v>60</v>
      </c>
      <c r="E61" t="s">
        <v>153</v>
      </c>
    </row>
    <row r="62" spans="1:5" x14ac:dyDescent="0.3">
      <c r="A62">
        <v>61</v>
      </c>
      <c r="B62" s="1" t="s">
        <v>104</v>
      </c>
      <c r="C62" t="s">
        <v>151</v>
      </c>
      <c r="D62">
        <v>47</v>
      </c>
      <c r="E62" t="s">
        <v>153</v>
      </c>
    </row>
    <row r="63" spans="1:5" x14ac:dyDescent="0.3">
      <c r="A63">
        <v>62</v>
      </c>
      <c r="B63" s="1" t="s">
        <v>98</v>
      </c>
      <c r="C63" t="s">
        <v>151</v>
      </c>
      <c r="D63">
        <v>42</v>
      </c>
      <c r="E63" t="s">
        <v>153</v>
      </c>
    </row>
    <row r="64" spans="1:5" x14ac:dyDescent="0.3">
      <c r="A64">
        <v>63</v>
      </c>
      <c r="B64" s="1" t="s">
        <v>102</v>
      </c>
      <c r="C64" t="s">
        <v>150</v>
      </c>
      <c r="D64">
        <v>23</v>
      </c>
      <c r="E64" t="s">
        <v>153</v>
      </c>
    </row>
    <row r="65" spans="1:5" x14ac:dyDescent="0.3">
      <c r="A65">
        <v>64</v>
      </c>
      <c r="B65" s="1" t="s">
        <v>98</v>
      </c>
      <c r="C65" t="s">
        <v>150</v>
      </c>
      <c r="D65">
        <v>74</v>
      </c>
      <c r="E65" t="s">
        <v>153</v>
      </c>
    </row>
    <row r="66" spans="1:5" x14ac:dyDescent="0.3">
      <c r="A66">
        <v>65</v>
      </c>
      <c r="B66" s="1" t="s">
        <v>104</v>
      </c>
      <c r="C66" t="s">
        <v>151</v>
      </c>
      <c r="D66">
        <v>37</v>
      </c>
      <c r="E66" t="s">
        <v>153</v>
      </c>
    </row>
    <row r="67" spans="1:5" x14ac:dyDescent="0.3">
      <c r="A67">
        <v>66</v>
      </c>
      <c r="B67" s="1" t="s">
        <v>100</v>
      </c>
      <c r="C67" t="s">
        <v>150</v>
      </c>
      <c r="D67">
        <v>30</v>
      </c>
      <c r="E67" t="s">
        <v>153</v>
      </c>
    </row>
    <row r="68" spans="1:5" x14ac:dyDescent="0.3">
      <c r="A68">
        <v>67</v>
      </c>
      <c r="B68" s="1" t="s">
        <v>106</v>
      </c>
      <c r="C68" t="s">
        <v>150</v>
      </c>
      <c r="D68">
        <v>51</v>
      </c>
      <c r="E68" t="s">
        <v>153</v>
      </c>
    </row>
    <row r="69" spans="1:5" x14ac:dyDescent="0.3">
      <c r="A69">
        <v>68</v>
      </c>
      <c r="B69" s="1" t="s">
        <v>101</v>
      </c>
      <c r="C69" t="s">
        <v>151</v>
      </c>
      <c r="D69">
        <v>42</v>
      </c>
      <c r="E69" t="s">
        <v>153</v>
      </c>
    </row>
    <row r="70" spans="1:5" x14ac:dyDescent="0.3">
      <c r="A70">
        <v>69</v>
      </c>
      <c r="B70" s="1" t="s">
        <v>98</v>
      </c>
      <c r="C70" t="s">
        <v>150</v>
      </c>
      <c r="D70">
        <v>39</v>
      </c>
      <c r="E70" t="s">
        <v>153</v>
      </c>
    </row>
    <row r="71" spans="1:5" x14ac:dyDescent="0.3">
      <c r="A71">
        <v>70</v>
      </c>
      <c r="B71" s="1" t="s">
        <v>104</v>
      </c>
      <c r="C71" t="s">
        <v>150</v>
      </c>
      <c r="D71">
        <v>38</v>
      </c>
      <c r="E71" t="s">
        <v>153</v>
      </c>
    </row>
    <row r="72" spans="1:5" x14ac:dyDescent="0.3">
      <c r="A72">
        <v>71</v>
      </c>
      <c r="B72" s="1" t="s">
        <v>112</v>
      </c>
      <c r="C72" t="s">
        <v>150</v>
      </c>
      <c r="D72">
        <v>48</v>
      </c>
      <c r="E72" t="s">
        <v>153</v>
      </c>
    </row>
    <row r="73" spans="1:5" x14ac:dyDescent="0.3">
      <c r="A73">
        <v>72</v>
      </c>
      <c r="B73" s="1" t="s">
        <v>104</v>
      </c>
      <c r="C73" t="s">
        <v>151</v>
      </c>
      <c r="D73">
        <v>18</v>
      </c>
      <c r="E73" t="s">
        <v>153</v>
      </c>
    </row>
    <row r="74" spans="1:5" x14ac:dyDescent="0.3">
      <c r="A74">
        <v>73</v>
      </c>
      <c r="B74" s="1" t="s">
        <v>108</v>
      </c>
      <c r="C74" t="s">
        <v>151</v>
      </c>
      <c r="D74">
        <v>34</v>
      </c>
      <c r="E74" t="s">
        <v>153</v>
      </c>
    </row>
    <row r="75" spans="1:5" x14ac:dyDescent="0.3">
      <c r="A75">
        <v>74</v>
      </c>
      <c r="B75" s="1" t="s">
        <v>98</v>
      </c>
      <c r="C75" t="s">
        <v>151</v>
      </c>
      <c r="D75">
        <v>28</v>
      </c>
      <c r="E75" t="s">
        <v>153</v>
      </c>
    </row>
    <row r="76" spans="1:5" x14ac:dyDescent="0.3">
      <c r="A76">
        <v>75</v>
      </c>
      <c r="B76" s="1" t="s">
        <v>100</v>
      </c>
      <c r="C76" t="s">
        <v>151</v>
      </c>
      <c r="D76">
        <v>36</v>
      </c>
      <c r="E76" t="s">
        <v>153</v>
      </c>
    </row>
    <row r="77" spans="1:5" x14ac:dyDescent="0.3">
      <c r="A77">
        <v>76</v>
      </c>
      <c r="B77" s="1" t="s">
        <v>98</v>
      </c>
      <c r="C77" t="s">
        <v>150</v>
      </c>
      <c r="D77">
        <v>56</v>
      </c>
      <c r="E77" t="s">
        <v>153</v>
      </c>
    </row>
    <row r="78" spans="1:5" x14ac:dyDescent="0.3">
      <c r="A78">
        <v>77</v>
      </c>
      <c r="B78" s="1" t="s">
        <v>98</v>
      </c>
      <c r="C78" t="s">
        <v>150</v>
      </c>
      <c r="D78">
        <v>38</v>
      </c>
      <c r="E78" t="s">
        <v>153</v>
      </c>
    </row>
    <row r="79" spans="1:5" x14ac:dyDescent="0.3">
      <c r="A79">
        <v>78</v>
      </c>
      <c r="B79" s="1" t="s">
        <v>100</v>
      </c>
      <c r="C79" t="s">
        <v>150</v>
      </c>
      <c r="D79">
        <v>68</v>
      </c>
      <c r="E79" t="s">
        <v>153</v>
      </c>
    </row>
    <row r="80" spans="1:5" x14ac:dyDescent="0.3">
      <c r="A80">
        <v>79</v>
      </c>
      <c r="B80" s="1" t="s">
        <v>112</v>
      </c>
      <c r="C80" t="s">
        <v>151</v>
      </c>
      <c r="D80">
        <v>28</v>
      </c>
      <c r="E80" t="s">
        <v>153</v>
      </c>
    </row>
    <row r="81" spans="1:5" x14ac:dyDescent="0.3">
      <c r="A81">
        <v>80</v>
      </c>
      <c r="B81" s="1" t="s">
        <v>98</v>
      </c>
      <c r="C81" t="s">
        <v>150</v>
      </c>
      <c r="D81">
        <v>37</v>
      </c>
      <c r="E81" t="s">
        <v>153</v>
      </c>
    </row>
    <row r="82" spans="1:5" x14ac:dyDescent="0.3">
      <c r="A82">
        <v>81</v>
      </c>
      <c r="B82" s="1" t="s">
        <v>98</v>
      </c>
      <c r="C82" t="s">
        <v>150</v>
      </c>
      <c r="D82">
        <v>86</v>
      </c>
      <c r="E82" t="s">
        <v>153</v>
      </c>
    </row>
    <row r="83" spans="1:5" x14ac:dyDescent="0.3">
      <c r="A83">
        <v>82</v>
      </c>
      <c r="B83" s="1" t="s">
        <v>104</v>
      </c>
      <c r="C83" t="s">
        <v>151</v>
      </c>
      <c r="D83">
        <v>28</v>
      </c>
      <c r="E83" t="s">
        <v>153</v>
      </c>
    </row>
    <row r="84" spans="1:5" x14ac:dyDescent="0.3">
      <c r="A84">
        <v>83</v>
      </c>
      <c r="B84" s="1" t="s">
        <v>106</v>
      </c>
      <c r="C84" t="s">
        <v>151</v>
      </c>
      <c r="D84">
        <v>31</v>
      </c>
      <c r="E84" t="s">
        <v>153</v>
      </c>
    </row>
    <row r="85" spans="1:5" x14ac:dyDescent="0.3">
      <c r="A85">
        <v>84</v>
      </c>
      <c r="B85" s="1" t="s">
        <v>98</v>
      </c>
      <c r="C85" t="s">
        <v>150</v>
      </c>
      <c r="D85">
        <v>85</v>
      </c>
      <c r="E85" t="s">
        <v>153</v>
      </c>
    </row>
    <row r="86" spans="1:5" x14ac:dyDescent="0.3">
      <c r="A86">
        <v>85</v>
      </c>
      <c r="B86" s="1" t="s">
        <v>106</v>
      </c>
      <c r="C86" t="s">
        <v>150</v>
      </c>
      <c r="D86">
        <v>20</v>
      </c>
      <c r="E86" t="s">
        <v>153</v>
      </c>
    </row>
    <row r="87" spans="1:5" x14ac:dyDescent="0.3">
      <c r="A87">
        <v>86</v>
      </c>
      <c r="B87" s="1" t="s">
        <v>106</v>
      </c>
      <c r="C87" t="s">
        <v>151</v>
      </c>
      <c r="D87">
        <v>89</v>
      </c>
      <c r="E87" t="s">
        <v>153</v>
      </c>
    </row>
    <row r="88" spans="1:5" x14ac:dyDescent="0.3">
      <c r="A88">
        <v>87</v>
      </c>
      <c r="B88" s="1" t="s">
        <v>112</v>
      </c>
      <c r="C88" t="s">
        <v>150</v>
      </c>
      <c r="D88">
        <v>62</v>
      </c>
      <c r="E88" t="s">
        <v>153</v>
      </c>
    </row>
    <row r="89" spans="1:5" x14ac:dyDescent="0.3">
      <c r="A89">
        <v>88</v>
      </c>
      <c r="B89" s="1" t="s">
        <v>98</v>
      </c>
      <c r="C89" t="s">
        <v>150</v>
      </c>
      <c r="D89">
        <v>76</v>
      </c>
      <c r="E89" t="s">
        <v>153</v>
      </c>
    </row>
    <row r="90" spans="1:5" x14ac:dyDescent="0.3">
      <c r="A90">
        <v>89</v>
      </c>
      <c r="B90" s="1" t="s">
        <v>106</v>
      </c>
      <c r="C90" t="s">
        <v>150</v>
      </c>
      <c r="D90">
        <v>33</v>
      </c>
      <c r="E90" t="s">
        <v>153</v>
      </c>
    </row>
    <row r="91" spans="1:5" x14ac:dyDescent="0.3">
      <c r="A91">
        <v>90</v>
      </c>
      <c r="B91" s="1" t="s">
        <v>98</v>
      </c>
      <c r="C91" t="s">
        <v>151</v>
      </c>
      <c r="D91">
        <v>48</v>
      </c>
      <c r="E91" t="s">
        <v>153</v>
      </c>
    </row>
    <row r="92" spans="1:5" x14ac:dyDescent="0.3">
      <c r="A92">
        <v>91</v>
      </c>
      <c r="B92" s="1" t="s">
        <v>104</v>
      </c>
      <c r="C92" t="s">
        <v>150</v>
      </c>
      <c r="D92">
        <v>61</v>
      </c>
      <c r="E92" t="s">
        <v>153</v>
      </c>
    </row>
    <row r="93" spans="1:5" x14ac:dyDescent="0.3">
      <c r="A93">
        <v>92</v>
      </c>
      <c r="B93" s="1" t="s">
        <v>107</v>
      </c>
      <c r="C93" t="s">
        <v>150</v>
      </c>
      <c r="D93">
        <v>75</v>
      </c>
      <c r="E93" t="s">
        <v>153</v>
      </c>
    </row>
    <row r="94" spans="1:5" x14ac:dyDescent="0.3">
      <c r="A94">
        <v>93</v>
      </c>
      <c r="B94" s="1" t="s">
        <v>104</v>
      </c>
      <c r="C94" t="s">
        <v>150</v>
      </c>
      <c r="D94">
        <v>87</v>
      </c>
      <c r="E94" t="s">
        <v>153</v>
      </c>
    </row>
    <row r="95" spans="1:5" x14ac:dyDescent="0.3">
      <c r="A95">
        <v>94</v>
      </c>
      <c r="B95" s="1" t="s">
        <v>107</v>
      </c>
      <c r="C95" t="s">
        <v>150</v>
      </c>
      <c r="D95">
        <v>65</v>
      </c>
      <c r="E95" t="s">
        <v>153</v>
      </c>
    </row>
    <row r="96" spans="1:5" x14ac:dyDescent="0.3">
      <c r="A96">
        <v>95</v>
      </c>
      <c r="B96" s="1" t="s">
        <v>112</v>
      </c>
      <c r="C96" t="s">
        <v>150</v>
      </c>
      <c r="D96">
        <v>50</v>
      </c>
      <c r="E96" t="s">
        <v>153</v>
      </c>
    </row>
    <row r="97" spans="1:5" x14ac:dyDescent="0.3">
      <c r="A97">
        <v>96</v>
      </c>
      <c r="B97" s="1" t="s">
        <v>98</v>
      </c>
      <c r="C97" t="s">
        <v>150</v>
      </c>
      <c r="D97">
        <v>43</v>
      </c>
      <c r="E97" t="s">
        <v>153</v>
      </c>
    </row>
    <row r="98" spans="1:5" x14ac:dyDescent="0.3">
      <c r="A98">
        <v>97</v>
      </c>
      <c r="B98" s="1" t="s">
        <v>98</v>
      </c>
      <c r="C98" t="s">
        <v>151</v>
      </c>
      <c r="D98">
        <v>84</v>
      </c>
      <c r="E98" t="s">
        <v>153</v>
      </c>
    </row>
    <row r="99" spans="1:5" x14ac:dyDescent="0.3">
      <c r="A99">
        <v>98</v>
      </c>
      <c r="B99" s="1" t="s">
        <v>107</v>
      </c>
      <c r="C99" t="s">
        <v>150</v>
      </c>
      <c r="D99">
        <v>35</v>
      </c>
      <c r="E99" t="s">
        <v>153</v>
      </c>
    </row>
    <row r="100" spans="1:5" x14ac:dyDescent="0.3">
      <c r="A100">
        <v>99</v>
      </c>
      <c r="B100" s="1" t="s">
        <v>100</v>
      </c>
      <c r="C100" t="s">
        <v>151</v>
      </c>
      <c r="D100">
        <v>79</v>
      </c>
      <c r="E100" t="s">
        <v>153</v>
      </c>
    </row>
    <row r="101" spans="1:5" x14ac:dyDescent="0.3">
      <c r="A101">
        <v>100</v>
      </c>
      <c r="B101" s="1" t="s">
        <v>110</v>
      </c>
      <c r="C101" t="s">
        <v>150</v>
      </c>
      <c r="D101">
        <v>85</v>
      </c>
      <c r="E101" t="s">
        <v>153</v>
      </c>
    </row>
    <row r="102" spans="1:5" x14ac:dyDescent="0.3">
      <c r="A102">
        <v>101</v>
      </c>
      <c r="B102" s="1" t="s">
        <v>98</v>
      </c>
      <c r="C102" t="s">
        <v>151</v>
      </c>
      <c r="D102">
        <v>63</v>
      </c>
      <c r="E102" t="s">
        <v>153</v>
      </c>
    </row>
    <row r="103" spans="1:5" x14ac:dyDescent="0.3">
      <c r="A103">
        <v>102</v>
      </c>
      <c r="B103" s="1" t="s">
        <v>98</v>
      </c>
      <c r="C103" t="s">
        <v>151</v>
      </c>
      <c r="D103">
        <v>43</v>
      </c>
      <c r="E103" t="s">
        <v>153</v>
      </c>
    </row>
    <row r="104" spans="1:5" x14ac:dyDescent="0.3">
      <c r="A104">
        <v>103</v>
      </c>
      <c r="B104" s="1" t="s">
        <v>112</v>
      </c>
      <c r="C104" t="s">
        <v>150</v>
      </c>
      <c r="D104">
        <v>24</v>
      </c>
      <c r="E104" t="s">
        <v>153</v>
      </c>
    </row>
    <row r="105" spans="1:5" x14ac:dyDescent="0.3">
      <c r="A105">
        <v>104</v>
      </c>
      <c r="B105" s="1" t="s">
        <v>100</v>
      </c>
      <c r="C105" t="s">
        <v>150</v>
      </c>
      <c r="D105">
        <v>46</v>
      </c>
      <c r="E105" t="s">
        <v>153</v>
      </c>
    </row>
    <row r="106" spans="1:5" x14ac:dyDescent="0.3">
      <c r="A106">
        <v>105</v>
      </c>
      <c r="B106" s="1" t="s">
        <v>98</v>
      </c>
      <c r="C106" t="s">
        <v>150</v>
      </c>
      <c r="D106">
        <v>80</v>
      </c>
      <c r="E106" t="s">
        <v>153</v>
      </c>
    </row>
    <row r="107" spans="1:5" x14ac:dyDescent="0.3">
      <c r="A107">
        <v>106</v>
      </c>
      <c r="B107" s="1" t="s">
        <v>100</v>
      </c>
      <c r="C107" t="s">
        <v>151</v>
      </c>
      <c r="D107">
        <v>40</v>
      </c>
      <c r="E107" t="s">
        <v>153</v>
      </c>
    </row>
    <row r="108" spans="1:5" x14ac:dyDescent="0.3">
      <c r="A108">
        <v>107</v>
      </c>
      <c r="B108" s="1" t="s">
        <v>98</v>
      </c>
      <c r="C108" t="s">
        <v>150</v>
      </c>
      <c r="D108">
        <v>48</v>
      </c>
      <c r="E108" t="s">
        <v>153</v>
      </c>
    </row>
    <row r="109" spans="1:5" x14ac:dyDescent="0.3">
      <c r="A109">
        <v>108</v>
      </c>
      <c r="B109" s="1" t="s">
        <v>104</v>
      </c>
      <c r="C109" t="s">
        <v>150</v>
      </c>
      <c r="D109">
        <v>63</v>
      </c>
      <c r="E109" t="s">
        <v>153</v>
      </c>
    </row>
    <row r="110" spans="1:5" x14ac:dyDescent="0.3">
      <c r="A110">
        <v>109</v>
      </c>
      <c r="B110" s="1" t="s">
        <v>98</v>
      </c>
      <c r="C110" t="s">
        <v>151</v>
      </c>
      <c r="D110">
        <v>32</v>
      </c>
      <c r="E110" t="s">
        <v>153</v>
      </c>
    </row>
    <row r="111" spans="1:5" x14ac:dyDescent="0.3">
      <c r="A111">
        <v>110</v>
      </c>
      <c r="B111" s="1" t="s">
        <v>98</v>
      </c>
      <c r="C111" t="s">
        <v>150</v>
      </c>
      <c r="D111">
        <v>78</v>
      </c>
      <c r="E111" t="s">
        <v>153</v>
      </c>
    </row>
    <row r="112" spans="1:5" x14ac:dyDescent="0.3">
      <c r="A112">
        <v>111</v>
      </c>
      <c r="B112" s="1" t="s">
        <v>112</v>
      </c>
      <c r="C112" t="s">
        <v>151</v>
      </c>
      <c r="D112">
        <v>27</v>
      </c>
      <c r="E112" t="s">
        <v>153</v>
      </c>
    </row>
    <row r="113" spans="1:5" x14ac:dyDescent="0.3">
      <c r="A113">
        <v>112</v>
      </c>
      <c r="B113" s="1" t="s">
        <v>98</v>
      </c>
      <c r="C113" t="s">
        <v>150</v>
      </c>
      <c r="D113">
        <v>70</v>
      </c>
      <c r="E113" t="s">
        <v>153</v>
      </c>
    </row>
    <row r="114" spans="1:5" x14ac:dyDescent="0.3">
      <c r="A114">
        <v>113</v>
      </c>
      <c r="B114" s="1" t="s">
        <v>98</v>
      </c>
      <c r="C114" t="s">
        <v>151</v>
      </c>
      <c r="D114">
        <v>72</v>
      </c>
      <c r="E114" t="s">
        <v>153</v>
      </c>
    </row>
    <row r="115" spans="1:5" x14ac:dyDescent="0.3">
      <c r="A115">
        <v>114</v>
      </c>
      <c r="B115" s="1" t="s">
        <v>98</v>
      </c>
      <c r="C115" t="s">
        <v>150</v>
      </c>
      <c r="D115">
        <v>38</v>
      </c>
      <c r="E115" t="s">
        <v>153</v>
      </c>
    </row>
    <row r="116" spans="1:5" x14ac:dyDescent="0.3">
      <c r="A116">
        <v>115</v>
      </c>
      <c r="B116" s="1" t="s">
        <v>98</v>
      </c>
      <c r="C116" t="s">
        <v>151</v>
      </c>
      <c r="D116">
        <v>64</v>
      </c>
      <c r="E116" t="s">
        <v>153</v>
      </c>
    </row>
    <row r="117" spans="1:5" x14ac:dyDescent="0.3">
      <c r="A117">
        <v>116</v>
      </c>
      <c r="B117" s="1" t="s">
        <v>107</v>
      </c>
      <c r="C117" t="s">
        <v>150</v>
      </c>
      <c r="D117">
        <v>88</v>
      </c>
      <c r="E117" t="s">
        <v>153</v>
      </c>
    </row>
    <row r="118" spans="1:5" x14ac:dyDescent="0.3">
      <c r="A118">
        <v>117</v>
      </c>
      <c r="B118" s="1" t="s">
        <v>112</v>
      </c>
      <c r="C118" t="s">
        <v>151</v>
      </c>
      <c r="D118">
        <v>28</v>
      </c>
      <c r="E118" t="s">
        <v>153</v>
      </c>
    </row>
    <row r="119" spans="1:5" x14ac:dyDescent="0.3">
      <c r="A119">
        <v>118</v>
      </c>
      <c r="B119" s="1" t="s">
        <v>98</v>
      </c>
      <c r="C119" t="s">
        <v>151</v>
      </c>
      <c r="D119">
        <v>25</v>
      </c>
      <c r="E119" t="s">
        <v>153</v>
      </c>
    </row>
    <row r="120" spans="1:5" x14ac:dyDescent="0.3">
      <c r="A120">
        <v>119</v>
      </c>
      <c r="B120" s="1" t="s">
        <v>100</v>
      </c>
      <c r="C120" t="s">
        <v>151</v>
      </c>
      <c r="D120">
        <v>90</v>
      </c>
      <c r="E120" t="s">
        <v>153</v>
      </c>
    </row>
    <row r="121" spans="1:5" x14ac:dyDescent="0.3">
      <c r="A121">
        <v>120</v>
      </c>
      <c r="B121" s="1" t="s">
        <v>98</v>
      </c>
      <c r="C121" t="s">
        <v>150</v>
      </c>
      <c r="D121">
        <v>77</v>
      </c>
      <c r="E121" t="s">
        <v>153</v>
      </c>
    </row>
    <row r="122" spans="1:5" x14ac:dyDescent="0.3">
      <c r="A122">
        <v>121</v>
      </c>
      <c r="B122" s="1" t="s">
        <v>112</v>
      </c>
      <c r="C122" t="s">
        <v>151</v>
      </c>
      <c r="D122">
        <v>25</v>
      </c>
      <c r="E122" t="s">
        <v>153</v>
      </c>
    </row>
    <row r="123" spans="1:5" x14ac:dyDescent="0.3">
      <c r="A123">
        <v>122</v>
      </c>
      <c r="B123" s="1" t="s">
        <v>104</v>
      </c>
      <c r="C123" t="s">
        <v>150</v>
      </c>
      <c r="D123">
        <v>41</v>
      </c>
      <c r="E123" t="s">
        <v>153</v>
      </c>
    </row>
    <row r="124" spans="1:5" x14ac:dyDescent="0.3">
      <c r="A124">
        <v>123</v>
      </c>
      <c r="B124" s="1" t="s">
        <v>101</v>
      </c>
      <c r="C124" t="s">
        <v>151</v>
      </c>
      <c r="D124">
        <v>69</v>
      </c>
      <c r="E124" t="s">
        <v>153</v>
      </c>
    </row>
    <row r="125" spans="1:5" x14ac:dyDescent="0.3">
      <c r="A125">
        <v>124</v>
      </c>
      <c r="B125" s="1" t="s">
        <v>112</v>
      </c>
      <c r="C125" t="s">
        <v>151</v>
      </c>
      <c r="D125">
        <v>52</v>
      </c>
      <c r="E125" t="s">
        <v>153</v>
      </c>
    </row>
    <row r="126" spans="1:5" x14ac:dyDescent="0.3">
      <c r="A126">
        <v>125</v>
      </c>
      <c r="B126" s="1" t="s">
        <v>104</v>
      </c>
      <c r="C126" t="s">
        <v>151</v>
      </c>
      <c r="D126">
        <v>58</v>
      </c>
      <c r="E126" t="s">
        <v>153</v>
      </c>
    </row>
    <row r="127" spans="1:5" x14ac:dyDescent="0.3">
      <c r="A127">
        <v>126</v>
      </c>
      <c r="B127" s="1" t="s">
        <v>98</v>
      </c>
      <c r="C127" t="s">
        <v>151</v>
      </c>
      <c r="D127">
        <v>67</v>
      </c>
      <c r="E127" t="s">
        <v>153</v>
      </c>
    </row>
    <row r="128" spans="1:5" x14ac:dyDescent="0.3">
      <c r="A128">
        <v>127</v>
      </c>
      <c r="B128" s="1" t="s">
        <v>107</v>
      </c>
      <c r="C128" t="s">
        <v>151</v>
      </c>
      <c r="D128">
        <v>57</v>
      </c>
      <c r="E128" t="s">
        <v>153</v>
      </c>
    </row>
    <row r="129" spans="1:5" x14ac:dyDescent="0.3">
      <c r="A129">
        <v>128</v>
      </c>
      <c r="B129" s="1" t="s">
        <v>98</v>
      </c>
      <c r="C129" t="s">
        <v>151</v>
      </c>
      <c r="D129">
        <v>55</v>
      </c>
      <c r="E129" t="s">
        <v>153</v>
      </c>
    </row>
    <row r="130" spans="1:5" x14ac:dyDescent="0.3">
      <c r="A130">
        <v>129</v>
      </c>
      <c r="B130" s="1" t="s">
        <v>98</v>
      </c>
      <c r="C130" t="s">
        <v>151</v>
      </c>
      <c r="D130">
        <v>21</v>
      </c>
      <c r="E130" t="s">
        <v>153</v>
      </c>
    </row>
    <row r="131" spans="1:5" x14ac:dyDescent="0.3">
      <c r="A131">
        <v>130</v>
      </c>
      <c r="B131" s="1" t="s">
        <v>98</v>
      </c>
      <c r="C131" t="s">
        <v>151</v>
      </c>
      <c r="D131">
        <v>50</v>
      </c>
      <c r="E131" t="s">
        <v>153</v>
      </c>
    </row>
    <row r="132" spans="1:5" x14ac:dyDescent="0.3">
      <c r="A132">
        <v>131</v>
      </c>
      <c r="B132" s="1" t="s">
        <v>106</v>
      </c>
      <c r="C132" t="s">
        <v>151</v>
      </c>
      <c r="D132">
        <v>90</v>
      </c>
      <c r="E132" t="s">
        <v>153</v>
      </c>
    </row>
    <row r="133" spans="1:5" x14ac:dyDescent="0.3">
      <c r="A133">
        <v>132</v>
      </c>
      <c r="B133" s="1" t="s">
        <v>104</v>
      </c>
      <c r="C133" t="s">
        <v>151</v>
      </c>
      <c r="D133">
        <v>50</v>
      </c>
      <c r="E133" t="s">
        <v>153</v>
      </c>
    </row>
    <row r="134" spans="1:5" x14ac:dyDescent="0.3">
      <c r="A134">
        <v>133</v>
      </c>
      <c r="B134" s="1" t="s">
        <v>107</v>
      </c>
      <c r="C134" t="s">
        <v>151</v>
      </c>
      <c r="D134">
        <v>71</v>
      </c>
      <c r="E134" t="s">
        <v>153</v>
      </c>
    </row>
    <row r="135" spans="1:5" x14ac:dyDescent="0.3">
      <c r="A135">
        <v>134</v>
      </c>
      <c r="B135" s="1" t="s">
        <v>100</v>
      </c>
      <c r="C135" t="s">
        <v>150</v>
      </c>
      <c r="D135">
        <v>82</v>
      </c>
      <c r="E135" t="s">
        <v>153</v>
      </c>
    </row>
    <row r="136" spans="1:5" x14ac:dyDescent="0.3">
      <c r="A136">
        <v>135</v>
      </c>
      <c r="B136" s="1" t="s">
        <v>104</v>
      </c>
      <c r="C136" t="s">
        <v>151</v>
      </c>
      <c r="D136">
        <v>27</v>
      </c>
      <c r="E136" t="s">
        <v>153</v>
      </c>
    </row>
    <row r="137" spans="1:5" x14ac:dyDescent="0.3">
      <c r="A137">
        <v>136</v>
      </c>
      <c r="B137" s="1" t="s">
        <v>98</v>
      </c>
      <c r="C137" t="s">
        <v>151</v>
      </c>
      <c r="D137">
        <v>36</v>
      </c>
      <c r="E137" t="s">
        <v>153</v>
      </c>
    </row>
    <row r="138" spans="1:5" x14ac:dyDescent="0.3">
      <c r="A138">
        <v>137</v>
      </c>
      <c r="B138" s="1" t="s">
        <v>112</v>
      </c>
      <c r="C138" t="s">
        <v>150</v>
      </c>
      <c r="D138">
        <v>25</v>
      </c>
      <c r="E138" t="s">
        <v>153</v>
      </c>
    </row>
    <row r="139" spans="1:5" x14ac:dyDescent="0.3">
      <c r="A139">
        <v>138</v>
      </c>
      <c r="B139" s="1" t="s">
        <v>98</v>
      </c>
      <c r="C139" t="s">
        <v>151</v>
      </c>
      <c r="D139">
        <v>27</v>
      </c>
      <c r="E139" t="s">
        <v>153</v>
      </c>
    </row>
    <row r="140" spans="1:5" x14ac:dyDescent="0.3">
      <c r="A140">
        <v>139</v>
      </c>
      <c r="B140" s="1" t="s">
        <v>98</v>
      </c>
      <c r="C140" t="s">
        <v>151</v>
      </c>
      <c r="D140">
        <v>75</v>
      </c>
      <c r="E140" t="s">
        <v>153</v>
      </c>
    </row>
    <row r="141" spans="1:5" x14ac:dyDescent="0.3">
      <c r="A141">
        <v>140</v>
      </c>
      <c r="B141" s="1" t="s">
        <v>98</v>
      </c>
      <c r="C141" t="s">
        <v>150</v>
      </c>
      <c r="D141">
        <v>58</v>
      </c>
      <c r="E141" t="s">
        <v>153</v>
      </c>
    </row>
    <row r="142" spans="1:5" x14ac:dyDescent="0.3">
      <c r="A142">
        <v>141</v>
      </c>
      <c r="B142" s="1" t="s">
        <v>98</v>
      </c>
      <c r="C142" t="s">
        <v>150</v>
      </c>
      <c r="D142">
        <v>38</v>
      </c>
      <c r="E142" t="s">
        <v>153</v>
      </c>
    </row>
    <row r="143" spans="1:5" x14ac:dyDescent="0.3">
      <c r="A143">
        <v>142</v>
      </c>
      <c r="B143" s="1" t="s">
        <v>112</v>
      </c>
      <c r="C143" t="s">
        <v>150</v>
      </c>
      <c r="D143">
        <v>77</v>
      </c>
      <c r="E143" t="s">
        <v>153</v>
      </c>
    </row>
    <row r="144" spans="1:5" x14ac:dyDescent="0.3">
      <c r="A144">
        <v>143</v>
      </c>
      <c r="B144" s="1" t="s">
        <v>98</v>
      </c>
      <c r="C144" t="s">
        <v>150</v>
      </c>
      <c r="D144">
        <v>46</v>
      </c>
      <c r="E144" t="s">
        <v>153</v>
      </c>
    </row>
    <row r="145" spans="1:5" x14ac:dyDescent="0.3">
      <c r="A145">
        <v>144</v>
      </c>
      <c r="B145" s="1" t="s">
        <v>107</v>
      </c>
      <c r="C145" t="s">
        <v>150</v>
      </c>
      <c r="D145">
        <v>27</v>
      </c>
      <c r="E145" t="s">
        <v>153</v>
      </c>
    </row>
    <row r="146" spans="1:5" x14ac:dyDescent="0.3">
      <c r="A146">
        <v>145</v>
      </c>
      <c r="B146" s="1" t="s">
        <v>106</v>
      </c>
      <c r="C146" t="s">
        <v>150</v>
      </c>
      <c r="D146">
        <v>18</v>
      </c>
      <c r="E146" t="s">
        <v>153</v>
      </c>
    </row>
    <row r="147" spans="1:5" x14ac:dyDescent="0.3">
      <c r="A147">
        <v>146</v>
      </c>
      <c r="B147" s="1" t="s">
        <v>102</v>
      </c>
      <c r="C147" t="s">
        <v>150</v>
      </c>
      <c r="D147">
        <v>85</v>
      </c>
      <c r="E147" t="s">
        <v>153</v>
      </c>
    </row>
    <row r="148" spans="1:5" x14ac:dyDescent="0.3">
      <c r="A148">
        <v>147</v>
      </c>
      <c r="B148" s="1" t="s">
        <v>98</v>
      </c>
      <c r="C148" t="s">
        <v>151</v>
      </c>
      <c r="D148">
        <v>29</v>
      </c>
      <c r="E148" t="s">
        <v>153</v>
      </c>
    </row>
    <row r="149" spans="1:5" x14ac:dyDescent="0.3">
      <c r="A149">
        <v>148</v>
      </c>
      <c r="B149" s="1" t="s">
        <v>104</v>
      </c>
      <c r="C149" t="s">
        <v>151</v>
      </c>
      <c r="D149">
        <v>33</v>
      </c>
      <c r="E149" t="s">
        <v>153</v>
      </c>
    </row>
    <row r="150" spans="1:5" x14ac:dyDescent="0.3">
      <c r="A150">
        <v>149</v>
      </c>
      <c r="B150" s="1" t="s">
        <v>107</v>
      </c>
      <c r="C150" t="s">
        <v>151</v>
      </c>
      <c r="D150">
        <v>73</v>
      </c>
      <c r="E150" t="s">
        <v>153</v>
      </c>
    </row>
    <row r="151" spans="1:5" x14ac:dyDescent="0.3">
      <c r="A151">
        <v>150</v>
      </c>
      <c r="B151" s="1" t="s">
        <v>98</v>
      </c>
      <c r="C151" t="s">
        <v>151</v>
      </c>
      <c r="D151">
        <v>31</v>
      </c>
      <c r="E151" t="s">
        <v>153</v>
      </c>
    </row>
    <row r="152" spans="1:5" x14ac:dyDescent="0.3">
      <c r="A152">
        <v>151</v>
      </c>
      <c r="B152" s="1" t="s">
        <v>108</v>
      </c>
      <c r="C152" t="s">
        <v>150</v>
      </c>
      <c r="D152">
        <v>76</v>
      </c>
      <c r="E152" t="s">
        <v>153</v>
      </c>
    </row>
    <row r="153" spans="1:5" x14ac:dyDescent="0.3">
      <c r="A153">
        <v>152</v>
      </c>
      <c r="B153" s="1" t="s">
        <v>106</v>
      </c>
      <c r="C153" t="s">
        <v>151</v>
      </c>
      <c r="D153">
        <v>26</v>
      </c>
      <c r="E153" t="s">
        <v>153</v>
      </c>
    </row>
    <row r="154" spans="1:5" x14ac:dyDescent="0.3">
      <c r="A154">
        <v>153</v>
      </c>
      <c r="B154" s="1" t="s">
        <v>98</v>
      </c>
      <c r="C154" t="s">
        <v>150</v>
      </c>
      <c r="D154">
        <v>19</v>
      </c>
      <c r="E154" t="s">
        <v>153</v>
      </c>
    </row>
    <row r="155" spans="1:5" x14ac:dyDescent="0.3">
      <c r="A155">
        <v>154</v>
      </c>
      <c r="B155" s="1" t="s">
        <v>106</v>
      </c>
      <c r="C155" t="s">
        <v>150</v>
      </c>
      <c r="D155">
        <v>37</v>
      </c>
      <c r="E155" t="s">
        <v>153</v>
      </c>
    </row>
    <row r="156" spans="1:5" x14ac:dyDescent="0.3">
      <c r="A156">
        <v>155</v>
      </c>
      <c r="B156" s="1" t="s">
        <v>112</v>
      </c>
      <c r="C156" t="s">
        <v>150</v>
      </c>
      <c r="D156">
        <v>56</v>
      </c>
      <c r="E156" t="s">
        <v>153</v>
      </c>
    </row>
    <row r="157" spans="1:5" x14ac:dyDescent="0.3">
      <c r="A157">
        <v>156</v>
      </c>
      <c r="B157" s="1" t="s">
        <v>99</v>
      </c>
      <c r="C157" t="s">
        <v>151</v>
      </c>
      <c r="D157">
        <v>32</v>
      </c>
      <c r="E157" t="s">
        <v>153</v>
      </c>
    </row>
    <row r="158" spans="1:5" x14ac:dyDescent="0.3">
      <c r="A158">
        <v>157</v>
      </c>
      <c r="B158" s="1" t="s">
        <v>100</v>
      </c>
      <c r="C158" t="s">
        <v>151</v>
      </c>
      <c r="D158">
        <v>50</v>
      </c>
      <c r="E158" t="s">
        <v>153</v>
      </c>
    </row>
    <row r="159" spans="1:5" x14ac:dyDescent="0.3">
      <c r="A159">
        <v>158</v>
      </c>
      <c r="B159" s="1" t="s">
        <v>98</v>
      </c>
      <c r="C159" t="s">
        <v>151</v>
      </c>
      <c r="D159">
        <v>41</v>
      </c>
      <c r="E159" t="s">
        <v>153</v>
      </c>
    </row>
    <row r="160" spans="1:5" x14ac:dyDescent="0.3">
      <c r="A160">
        <v>159</v>
      </c>
      <c r="B160" s="1" t="s">
        <v>98</v>
      </c>
      <c r="C160" t="s">
        <v>150</v>
      </c>
      <c r="D160">
        <v>25</v>
      </c>
      <c r="E160" t="s">
        <v>153</v>
      </c>
    </row>
    <row r="161" spans="1:5" x14ac:dyDescent="0.3">
      <c r="A161">
        <v>160</v>
      </c>
      <c r="B161" s="1" t="s">
        <v>98</v>
      </c>
      <c r="C161" t="s">
        <v>150</v>
      </c>
      <c r="D161">
        <v>48</v>
      </c>
      <c r="E161" t="s">
        <v>153</v>
      </c>
    </row>
    <row r="162" spans="1:5" x14ac:dyDescent="0.3">
      <c r="A162">
        <v>161</v>
      </c>
      <c r="B162" s="1" t="s">
        <v>99</v>
      </c>
      <c r="C162" t="s">
        <v>151</v>
      </c>
      <c r="D162">
        <v>68</v>
      </c>
      <c r="E162" t="s">
        <v>153</v>
      </c>
    </row>
    <row r="163" spans="1:5" x14ac:dyDescent="0.3">
      <c r="A163">
        <v>162</v>
      </c>
      <c r="B163" s="1" t="s">
        <v>98</v>
      </c>
      <c r="C163" t="s">
        <v>151</v>
      </c>
      <c r="D163">
        <v>63</v>
      </c>
      <c r="E163" t="s">
        <v>153</v>
      </c>
    </row>
    <row r="164" spans="1:5" x14ac:dyDescent="0.3">
      <c r="A164">
        <v>163</v>
      </c>
      <c r="B164" s="1" t="s">
        <v>98</v>
      </c>
      <c r="C164" t="s">
        <v>151</v>
      </c>
      <c r="D164">
        <v>81</v>
      </c>
      <c r="E164" t="s">
        <v>153</v>
      </c>
    </row>
    <row r="165" spans="1:5" x14ac:dyDescent="0.3">
      <c r="A165">
        <v>164</v>
      </c>
      <c r="B165" s="1" t="s">
        <v>98</v>
      </c>
      <c r="C165" t="s">
        <v>150</v>
      </c>
      <c r="D165">
        <v>36</v>
      </c>
      <c r="E165" t="s">
        <v>153</v>
      </c>
    </row>
    <row r="166" spans="1:5" x14ac:dyDescent="0.3">
      <c r="A166">
        <v>165</v>
      </c>
      <c r="B166" s="1" t="s">
        <v>109</v>
      </c>
      <c r="C166" t="s">
        <v>150</v>
      </c>
      <c r="D166">
        <v>32</v>
      </c>
      <c r="E166" t="s">
        <v>153</v>
      </c>
    </row>
    <row r="167" spans="1:5" x14ac:dyDescent="0.3">
      <c r="A167">
        <v>166</v>
      </c>
      <c r="B167" s="1" t="s">
        <v>99</v>
      </c>
      <c r="C167" t="s">
        <v>150</v>
      </c>
      <c r="D167">
        <v>27</v>
      </c>
      <c r="E167" t="s">
        <v>153</v>
      </c>
    </row>
    <row r="168" spans="1:5" x14ac:dyDescent="0.3">
      <c r="A168">
        <v>167</v>
      </c>
      <c r="B168" s="1" t="s">
        <v>100</v>
      </c>
      <c r="C168" t="s">
        <v>151</v>
      </c>
      <c r="D168">
        <v>27</v>
      </c>
      <c r="E168" t="s">
        <v>153</v>
      </c>
    </row>
    <row r="169" spans="1:5" x14ac:dyDescent="0.3">
      <c r="A169">
        <v>168</v>
      </c>
      <c r="B169" s="1" t="s">
        <v>99</v>
      </c>
      <c r="C169" t="s">
        <v>151</v>
      </c>
      <c r="D169">
        <v>55</v>
      </c>
      <c r="E169" t="s">
        <v>153</v>
      </c>
    </row>
    <row r="170" spans="1:5" x14ac:dyDescent="0.3">
      <c r="A170">
        <v>169</v>
      </c>
      <c r="B170" s="1" t="s">
        <v>99</v>
      </c>
      <c r="C170" t="s">
        <v>151</v>
      </c>
      <c r="D170">
        <v>42</v>
      </c>
      <c r="E170" t="s">
        <v>153</v>
      </c>
    </row>
    <row r="171" spans="1:5" x14ac:dyDescent="0.3">
      <c r="A171">
        <v>170</v>
      </c>
      <c r="B171" s="1" t="s">
        <v>106</v>
      </c>
      <c r="C171" t="s">
        <v>150</v>
      </c>
      <c r="D171">
        <v>83</v>
      </c>
      <c r="E171" t="s">
        <v>153</v>
      </c>
    </row>
    <row r="172" spans="1:5" x14ac:dyDescent="0.3">
      <c r="A172">
        <v>171</v>
      </c>
      <c r="B172" s="1" t="s">
        <v>98</v>
      </c>
      <c r="C172" t="s">
        <v>150</v>
      </c>
      <c r="D172">
        <v>31</v>
      </c>
      <c r="E172" t="s">
        <v>153</v>
      </c>
    </row>
    <row r="173" spans="1:5" x14ac:dyDescent="0.3">
      <c r="A173">
        <v>172</v>
      </c>
      <c r="B173" s="1" t="s">
        <v>98</v>
      </c>
      <c r="C173" t="s">
        <v>150</v>
      </c>
      <c r="D173">
        <v>36</v>
      </c>
      <c r="E173" t="s">
        <v>153</v>
      </c>
    </row>
    <row r="174" spans="1:5" x14ac:dyDescent="0.3">
      <c r="A174">
        <v>173</v>
      </c>
      <c r="B174" s="1" t="s">
        <v>112</v>
      </c>
      <c r="C174" t="s">
        <v>150</v>
      </c>
      <c r="D174">
        <v>59</v>
      </c>
      <c r="E174" t="s">
        <v>153</v>
      </c>
    </row>
    <row r="175" spans="1:5" x14ac:dyDescent="0.3">
      <c r="A175">
        <v>174</v>
      </c>
      <c r="B175" s="1" t="s">
        <v>106</v>
      </c>
      <c r="C175" t="s">
        <v>150</v>
      </c>
      <c r="D175">
        <v>68</v>
      </c>
      <c r="E175" t="s">
        <v>153</v>
      </c>
    </row>
    <row r="176" spans="1:5" x14ac:dyDescent="0.3">
      <c r="A176">
        <v>175</v>
      </c>
      <c r="B176" s="1" t="s">
        <v>98</v>
      </c>
      <c r="C176" t="s">
        <v>150</v>
      </c>
      <c r="D176">
        <v>70</v>
      </c>
      <c r="E176" t="s">
        <v>153</v>
      </c>
    </row>
    <row r="177" spans="1:5" x14ac:dyDescent="0.3">
      <c r="A177">
        <v>176</v>
      </c>
      <c r="B177" s="1" t="s">
        <v>99</v>
      </c>
      <c r="C177" t="s">
        <v>150</v>
      </c>
      <c r="D177">
        <v>46</v>
      </c>
      <c r="E177" t="s">
        <v>153</v>
      </c>
    </row>
    <row r="178" spans="1:5" x14ac:dyDescent="0.3">
      <c r="A178">
        <v>177</v>
      </c>
      <c r="B178" s="1" t="s">
        <v>112</v>
      </c>
      <c r="C178" t="s">
        <v>150</v>
      </c>
      <c r="D178">
        <v>75</v>
      </c>
      <c r="E178" t="s">
        <v>153</v>
      </c>
    </row>
    <row r="179" spans="1:5" x14ac:dyDescent="0.3">
      <c r="A179">
        <v>178</v>
      </c>
      <c r="B179" s="1" t="s">
        <v>112</v>
      </c>
      <c r="C179" t="s">
        <v>151</v>
      </c>
      <c r="D179">
        <v>24</v>
      </c>
      <c r="E179" t="s">
        <v>153</v>
      </c>
    </row>
    <row r="180" spans="1:5" x14ac:dyDescent="0.3">
      <c r="A180">
        <v>179</v>
      </c>
      <c r="B180" s="1" t="s">
        <v>99</v>
      </c>
      <c r="C180" t="s">
        <v>151</v>
      </c>
      <c r="D180">
        <v>27</v>
      </c>
      <c r="E180" t="s">
        <v>153</v>
      </c>
    </row>
    <row r="181" spans="1:5" x14ac:dyDescent="0.3">
      <c r="A181">
        <v>180</v>
      </c>
      <c r="B181" s="1" t="s">
        <v>98</v>
      </c>
      <c r="C181" t="s">
        <v>151</v>
      </c>
      <c r="D181">
        <v>81</v>
      </c>
      <c r="E181" t="s">
        <v>153</v>
      </c>
    </row>
    <row r="182" spans="1:5" x14ac:dyDescent="0.3">
      <c r="A182">
        <v>181</v>
      </c>
      <c r="B182" s="1" t="s">
        <v>103</v>
      </c>
      <c r="C182" t="s">
        <v>151</v>
      </c>
      <c r="D182">
        <v>28</v>
      </c>
      <c r="E182" t="s">
        <v>153</v>
      </c>
    </row>
    <row r="183" spans="1:5" x14ac:dyDescent="0.3">
      <c r="A183">
        <v>182</v>
      </c>
      <c r="B183" s="1" t="s">
        <v>100</v>
      </c>
      <c r="C183" t="s">
        <v>150</v>
      </c>
      <c r="D183">
        <v>77</v>
      </c>
      <c r="E183" t="s">
        <v>153</v>
      </c>
    </row>
    <row r="184" spans="1:5" x14ac:dyDescent="0.3">
      <c r="A184">
        <v>183</v>
      </c>
      <c r="B184" s="1" t="s">
        <v>112</v>
      </c>
      <c r="C184" t="s">
        <v>150</v>
      </c>
      <c r="D184">
        <v>66</v>
      </c>
      <c r="E184" t="s">
        <v>153</v>
      </c>
    </row>
    <row r="185" spans="1:5" x14ac:dyDescent="0.3">
      <c r="A185">
        <v>184</v>
      </c>
      <c r="B185" s="1" t="s">
        <v>105</v>
      </c>
      <c r="C185" t="s">
        <v>150</v>
      </c>
      <c r="D185">
        <v>79</v>
      </c>
      <c r="E185" t="s">
        <v>153</v>
      </c>
    </row>
    <row r="186" spans="1:5" x14ac:dyDescent="0.3">
      <c r="A186">
        <v>185</v>
      </c>
      <c r="B186" s="1" t="s">
        <v>103</v>
      </c>
      <c r="C186" t="s">
        <v>150</v>
      </c>
      <c r="D186">
        <v>86</v>
      </c>
      <c r="E186" t="s">
        <v>153</v>
      </c>
    </row>
    <row r="187" spans="1:5" x14ac:dyDescent="0.3">
      <c r="A187">
        <v>186</v>
      </c>
      <c r="B187" s="1" t="s">
        <v>105</v>
      </c>
      <c r="C187" t="s">
        <v>151</v>
      </c>
      <c r="D187">
        <v>63</v>
      </c>
      <c r="E187" t="s">
        <v>153</v>
      </c>
    </row>
    <row r="188" spans="1:5" x14ac:dyDescent="0.3">
      <c r="A188">
        <v>187</v>
      </c>
      <c r="B188" s="1" t="s">
        <v>99</v>
      </c>
      <c r="C188" t="s">
        <v>151</v>
      </c>
      <c r="D188">
        <v>68</v>
      </c>
      <c r="E188" t="s">
        <v>153</v>
      </c>
    </row>
    <row r="189" spans="1:5" x14ac:dyDescent="0.3">
      <c r="A189">
        <v>188</v>
      </c>
      <c r="B189" s="1" t="s">
        <v>112</v>
      </c>
      <c r="C189" t="s">
        <v>151</v>
      </c>
      <c r="D189">
        <v>72</v>
      </c>
      <c r="E189" t="s">
        <v>153</v>
      </c>
    </row>
    <row r="190" spans="1:5" x14ac:dyDescent="0.3">
      <c r="A190">
        <v>189</v>
      </c>
      <c r="B190" s="1" t="s">
        <v>98</v>
      </c>
      <c r="C190" t="s">
        <v>151</v>
      </c>
      <c r="D190">
        <v>59</v>
      </c>
      <c r="E190" t="s">
        <v>153</v>
      </c>
    </row>
    <row r="191" spans="1:5" x14ac:dyDescent="0.3">
      <c r="A191">
        <v>190</v>
      </c>
      <c r="B191" s="1" t="s">
        <v>99</v>
      </c>
      <c r="C191" t="s">
        <v>150</v>
      </c>
      <c r="D191">
        <v>71</v>
      </c>
      <c r="E191" t="s">
        <v>153</v>
      </c>
    </row>
    <row r="192" spans="1:5" x14ac:dyDescent="0.3">
      <c r="A192">
        <v>191</v>
      </c>
      <c r="B192" s="1" t="s">
        <v>108</v>
      </c>
      <c r="C192" t="s">
        <v>151</v>
      </c>
      <c r="D192">
        <v>23</v>
      </c>
      <c r="E192" t="s">
        <v>153</v>
      </c>
    </row>
    <row r="193" spans="1:5" x14ac:dyDescent="0.3">
      <c r="A193">
        <v>192</v>
      </c>
      <c r="B193" s="1" t="s">
        <v>98</v>
      </c>
      <c r="C193" t="s">
        <v>151</v>
      </c>
      <c r="D193">
        <v>66</v>
      </c>
      <c r="E193" t="s">
        <v>153</v>
      </c>
    </row>
    <row r="194" spans="1:5" x14ac:dyDescent="0.3">
      <c r="A194">
        <v>193</v>
      </c>
      <c r="B194" s="1" t="s">
        <v>112</v>
      </c>
      <c r="C194" t="s">
        <v>151</v>
      </c>
      <c r="D194">
        <v>84</v>
      </c>
      <c r="E194" t="s">
        <v>153</v>
      </c>
    </row>
    <row r="195" spans="1:5" x14ac:dyDescent="0.3">
      <c r="A195">
        <v>194</v>
      </c>
      <c r="B195" s="1" t="s">
        <v>112</v>
      </c>
      <c r="C195" t="s">
        <v>151</v>
      </c>
      <c r="D195">
        <v>64</v>
      </c>
      <c r="E195" t="s">
        <v>153</v>
      </c>
    </row>
    <row r="196" spans="1:5" x14ac:dyDescent="0.3">
      <c r="A196">
        <v>195</v>
      </c>
      <c r="B196" s="1" t="s">
        <v>98</v>
      </c>
      <c r="C196" t="s">
        <v>151</v>
      </c>
      <c r="D196">
        <v>51</v>
      </c>
      <c r="E196" t="s">
        <v>153</v>
      </c>
    </row>
    <row r="197" spans="1:5" x14ac:dyDescent="0.3">
      <c r="A197">
        <v>196</v>
      </c>
      <c r="B197" s="1" t="s">
        <v>98</v>
      </c>
      <c r="C197" t="s">
        <v>150</v>
      </c>
      <c r="D197">
        <v>77</v>
      </c>
      <c r="E197" t="s">
        <v>153</v>
      </c>
    </row>
    <row r="198" spans="1:5" x14ac:dyDescent="0.3">
      <c r="A198">
        <v>197</v>
      </c>
      <c r="B198" s="1" t="s">
        <v>98</v>
      </c>
      <c r="C198" t="s">
        <v>150</v>
      </c>
      <c r="D198">
        <v>38</v>
      </c>
      <c r="E198" t="s">
        <v>153</v>
      </c>
    </row>
    <row r="199" spans="1:5" x14ac:dyDescent="0.3">
      <c r="A199">
        <v>198</v>
      </c>
      <c r="B199" s="1" t="s">
        <v>98</v>
      </c>
      <c r="C199" t="s">
        <v>150</v>
      </c>
      <c r="D199">
        <v>30</v>
      </c>
      <c r="E199" t="s">
        <v>153</v>
      </c>
    </row>
    <row r="200" spans="1:5" x14ac:dyDescent="0.3">
      <c r="A200">
        <v>199</v>
      </c>
      <c r="B200" s="1" t="s">
        <v>100</v>
      </c>
      <c r="C200" t="s">
        <v>151</v>
      </c>
      <c r="D200">
        <v>67</v>
      </c>
      <c r="E200" t="s">
        <v>153</v>
      </c>
    </row>
    <row r="201" spans="1:5" x14ac:dyDescent="0.3">
      <c r="A201">
        <v>200</v>
      </c>
      <c r="B201" s="1" t="s">
        <v>106</v>
      </c>
      <c r="C201" t="s">
        <v>150</v>
      </c>
      <c r="D201">
        <v>27</v>
      </c>
      <c r="E201" t="s">
        <v>153</v>
      </c>
    </row>
    <row r="202" spans="1:5" x14ac:dyDescent="0.3">
      <c r="A202">
        <v>201</v>
      </c>
      <c r="B202" s="1" t="s">
        <v>100</v>
      </c>
      <c r="C202" t="s">
        <v>151</v>
      </c>
      <c r="D202">
        <v>50</v>
      </c>
      <c r="E202" t="s">
        <v>153</v>
      </c>
    </row>
    <row r="203" spans="1:5" x14ac:dyDescent="0.3">
      <c r="A203">
        <v>202</v>
      </c>
      <c r="B203" s="1" t="s">
        <v>98</v>
      </c>
      <c r="C203" t="s">
        <v>150</v>
      </c>
      <c r="D203">
        <v>86</v>
      </c>
      <c r="E203" t="s">
        <v>153</v>
      </c>
    </row>
    <row r="204" spans="1:5" x14ac:dyDescent="0.3">
      <c r="A204">
        <v>203</v>
      </c>
      <c r="B204" s="1" t="s">
        <v>101</v>
      </c>
      <c r="C204" t="s">
        <v>151</v>
      </c>
      <c r="D204">
        <v>75</v>
      </c>
      <c r="E204" t="s">
        <v>153</v>
      </c>
    </row>
    <row r="205" spans="1:5" x14ac:dyDescent="0.3">
      <c r="A205">
        <v>204</v>
      </c>
      <c r="B205" s="1" t="s">
        <v>99</v>
      </c>
      <c r="C205" t="s">
        <v>150</v>
      </c>
      <c r="D205">
        <v>89</v>
      </c>
      <c r="E205" t="s">
        <v>153</v>
      </c>
    </row>
    <row r="206" spans="1:5" x14ac:dyDescent="0.3">
      <c r="A206">
        <v>205</v>
      </c>
      <c r="B206" s="1" t="s">
        <v>106</v>
      </c>
      <c r="C206" t="s">
        <v>151</v>
      </c>
      <c r="D206">
        <v>45</v>
      </c>
      <c r="E206" t="s">
        <v>153</v>
      </c>
    </row>
    <row r="207" spans="1:5" x14ac:dyDescent="0.3">
      <c r="A207">
        <v>206</v>
      </c>
      <c r="B207" s="1" t="s">
        <v>98</v>
      </c>
      <c r="C207" t="s">
        <v>151</v>
      </c>
      <c r="D207">
        <v>56</v>
      </c>
      <c r="E207" t="s">
        <v>153</v>
      </c>
    </row>
    <row r="208" spans="1:5" x14ac:dyDescent="0.3">
      <c r="A208">
        <v>207</v>
      </c>
      <c r="B208" s="1" t="s">
        <v>107</v>
      </c>
      <c r="C208" t="s">
        <v>150</v>
      </c>
      <c r="D208">
        <v>76</v>
      </c>
      <c r="E208" t="s">
        <v>153</v>
      </c>
    </row>
    <row r="209" spans="1:5" x14ac:dyDescent="0.3">
      <c r="A209">
        <v>208</v>
      </c>
      <c r="B209" s="1" t="s">
        <v>98</v>
      </c>
      <c r="C209" t="s">
        <v>151</v>
      </c>
      <c r="D209">
        <v>19</v>
      </c>
      <c r="E209" t="s">
        <v>153</v>
      </c>
    </row>
    <row r="210" spans="1:5" x14ac:dyDescent="0.3">
      <c r="A210">
        <v>209</v>
      </c>
      <c r="B210" s="1" t="s">
        <v>99</v>
      </c>
      <c r="C210" t="s">
        <v>150</v>
      </c>
      <c r="D210">
        <v>79</v>
      </c>
      <c r="E210" t="s">
        <v>153</v>
      </c>
    </row>
    <row r="211" spans="1:5" x14ac:dyDescent="0.3">
      <c r="A211">
        <v>210</v>
      </c>
      <c r="B211" s="1" t="s">
        <v>98</v>
      </c>
      <c r="C211" t="s">
        <v>150</v>
      </c>
      <c r="D211">
        <v>59</v>
      </c>
      <c r="E211" t="s">
        <v>153</v>
      </c>
    </row>
    <row r="212" spans="1:5" x14ac:dyDescent="0.3">
      <c r="A212">
        <v>211</v>
      </c>
      <c r="B212" s="1" t="s">
        <v>99</v>
      </c>
      <c r="C212" t="s">
        <v>151</v>
      </c>
      <c r="D212">
        <v>79</v>
      </c>
      <c r="E212" t="s">
        <v>153</v>
      </c>
    </row>
    <row r="213" spans="1:5" x14ac:dyDescent="0.3">
      <c r="A213">
        <v>212</v>
      </c>
      <c r="B213" s="1" t="s">
        <v>108</v>
      </c>
      <c r="C213" t="s">
        <v>151</v>
      </c>
      <c r="D213">
        <v>19</v>
      </c>
      <c r="E213" t="s">
        <v>153</v>
      </c>
    </row>
    <row r="214" spans="1:5" x14ac:dyDescent="0.3">
      <c r="A214">
        <v>213</v>
      </c>
      <c r="B214" s="1" t="s">
        <v>98</v>
      </c>
      <c r="C214" t="s">
        <v>151</v>
      </c>
      <c r="D214">
        <v>52</v>
      </c>
      <c r="E214" t="s">
        <v>153</v>
      </c>
    </row>
    <row r="215" spans="1:5" x14ac:dyDescent="0.3">
      <c r="A215">
        <v>214</v>
      </c>
      <c r="B215" s="1" t="s">
        <v>98</v>
      </c>
      <c r="C215" t="s">
        <v>151</v>
      </c>
      <c r="D215">
        <v>18</v>
      </c>
      <c r="E215" t="s">
        <v>153</v>
      </c>
    </row>
    <row r="216" spans="1:5" x14ac:dyDescent="0.3">
      <c r="A216">
        <v>215</v>
      </c>
      <c r="B216" s="1" t="s">
        <v>98</v>
      </c>
      <c r="C216" t="s">
        <v>150</v>
      </c>
      <c r="D216">
        <v>60</v>
      </c>
      <c r="E216" t="s">
        <v>153</v>
      </c>
    </row>
    <row r="217" spans="1:5" x14ac:dyDescent="0.3">
      <c r="A217">
        <v>216</v>
      </c>
      <c r="B217" s="1" t="s">
        <v>112</v>
      </c>
      <c r="C217" t="s">
        <v>150</v>
      </c>
      <c r="D217">
        <v>45</v>
      </c>
      <c r="E217" t="s">
        <v>153</v>
      </c>
    </row>
    <row r="218" spans="1:5" x14ac:dyDescent="0.3">
      <c r="A218">
        <v>217</v>
      </c>
      <c r="B218" s="1" t="s">
        <v>98</v>
      </c>
      <c r="C218" t="s">
        <v>151</v>
      </c>
      <c r="D218">
        <v>60</v>
      </c>
      <c r="E218" t="s">
        <v>153</v>
      </c>
    </row>
    <row r="219" spans="1:5" x14ac:dyDescent="0.3">
      <c r="A219">
        <v>218</v>
      </c>
      <c r="B219" s="1" t="s">
        <v>99</v>
      </c>
      <c r="C219" t="s">
        <v>151</v>
      </c>
      <c r="D219">
        <v>34</v>
      </c>
      <c r="E219" t="s">
        <v>153</v>
      </c>
    </row>
    <row r="220" spans="1:5" x14ac:dyDescent="0.3">
      <c r="A220">
        <v>219</v>
      </c>
      <c r="B220" s="1" t="s">
        <v>98</v>
      </c>
      <c r="C220" t="s">
        <v>150</v>
      </c>
      <c r="D220">
        <v>36</v>
      </c>
      <c r="E220" t="s">
        <v>153</v>
      </c>
    </row>
    <row r="221" spans="1:5" x14ac:dyDescent="0.3">
      <c r="A221">
        <v>220</v>
      </c>
      <c r="B221" s="1" t="s">
        <v>100</v>
      </c>
      <c r="C221" t="s">
        <v>150</v>
      </c>
      <c r="D221">
        <v>71</v>
      </c>
      <c r="E221" t="s">
        <v>153</v>
      </c>
    </row>
    <row r="222" spans="1:5" x14ac:dyDescent="0.3">
      <c r="A222">
        <v>221</v>
      </c>
      <c r="B222" s="1" t="s">
        <v>100</v>
      </c>
      <c r="C222" t="s">
        <v>150</v>
      </c>
      <c r="D222">
        <v>64</v>
      </c>
      <c r="E222" t="s">
        <v>153</v>
      </c>
    </row>
    <row r="223" spans="1:5" x14ac:dyDescent="0.3">
      <c r="A223">
        <v>222</v>
      </c>
      <c r="B223" s="1" t="s">
        <v>102</v>
      </c>
      <c r="C223" t="s">
        <v>150</v>
      </c>
      <c r="D223">
        <v>37</v>
      </c>
      <c r="E223" t="s">
        <v>153</v>
      </c>
    </row>
    <row r="224" spans="1:5" x14ac:dyDescent="0.3">
      <c r="A224">
        <v>223</v>
      </c>
      <c r="B224" s="1" t="s">
        <v>112</v>
      </c>
      <c r="C224" t="s">
        <v>150</v>
      </c>
      <c r="D224">
        <v>41</v>
      </c>
      <c r="E224" t="s">
        <v>153</v>
      </c>
    </row>
    <row r="225" spans="1:5" x14ac:dyDescent="0.3">
      <c r="A225">
        <v>224</v>
      </c>
      <c r="B225" s="1" t="s">
        <v>112</v>
      </c>
      <c r="C225" t="s">
        <v>150</v>
      </c>
      <c r="D225">
        <v>64</v>
      </c>
      <c r="E225" t="s">
        <v>153</v>
      </c>
    </row>
    <row r="226" spans="1:5" x14ac:dyDescent="0.3">
      <c r="A226">
        <v>225</v>
      </c>
      <c r="B226" s="1" t="s">
        <v>105</v>
      </c>
      <c r="C226" t="s">
        <v>151</v>
      </c>
      <c r="D226">
        <v>83</v>
      </c>
      <c r="E226" t="s">
        <v>153</v>
      </c>
    </row>
    <row r="227" spans="1:5" x14ac:dyDescent="0.3">
      <c r="A227">
        <v>226</v>
      </c>
      <c r="B227" s="1" t="s">
        <v>98</v>
      </c>
      <c r="C227" t="s">
        <v>150</v>
      </c>
      <c r="D227">
        <v>31</v>
      </c>
      <c r="E227" t="s">
        <v>153</v>
      </c>
    </row>
    <row r="228" spans="1:5" x14ac:dyDescent="0.3">
      <c r="A228">
        <v>227</v>
      </c>
      <c r="B228" s="1" t="s">
        <v>98</v>
      </c>
      <c r="C228" t="s">
        <v>151</v>
      </c>
      <c r="D228">
        <v>77</v>
      </c>
      <c r="E228" t="s">
        <v>153</v>
      </c>
    </row>
    <row r="229" spans="1:5" x14ac:dyDescent="0.3">
      <c r="A229">
        <v>228</v>
      </c>
      <c r="B229" s="1" t="s">
        <v>99</v>
      </c>
      <c r="C229" t="s">
        <v>151</v>
      </c>
      <c r="D229">
        <v>34</v>
      </c>
      <c r="E229" t="s">
        <v>153</v>
      </c>
    </row>
    <row r="230" spans="1:5" x14ac:dyDescent="0.3">
      <c r="A230">
        <v>229</v>
      </c>
      <c r="B230" s="1" t="s">
        <v>99</v>
      </c>
      <c r="C230" t="s">
        <v>150</v>
      </c>
      <c r="D230">
        <v>54</v>
      </c>
      <c r="E230" t="s">
        <v>153</v>
      </c>
    </row>
    <row r="231" spans="1:5" x14ac:dyDescent="0.3">
      <c r="A231">
        <v>230</v>
      </c>
      <c r="B231" s="1" t="s">
        <v>98</v>
      </c>
      <c r="C231" t="s">
        <v>150</v>
      </c>
      <c r="D231">
        <v>79</v>
      </c>
      <c r="E231" t="s">
        <v>153</v>
      </c>
    </row>
    <row r="232" spans="1:5" x14ac:dyDescent="0.3">
      <c r="A232">
        <v>231</v>
      </c>
      <c r="B232" s="1" t="s">
        <v>98</v>
      </c>
      <c r="C232" t="s">
        <v>150</v>
      </c>
      <c r="D232">
        <v>41</v>
      </c>
      <c r="E232" t="s">
        <v>153</v>
      </c>
    </row>
    <row r="233" spans="1:5" x14ac:dyDescent="0.3">
      <c r="A233">
        <v>232</v>
      </c>
      <c r="B233" s="1" t="s">
        <v>98</v>
      </c>
      <c r="C233" t="s">
        <v>151</v>
      </c>
      <c r="D233">
        <v>45</v>
      </c>
      <c r="E233" t="s">
        <v>153</v>
      </c>
    </row>
    <row r="234" spans="1:5" x14ac:dyDescent="0.3">
      <c r="A234">
        <v>233</v>
      </c>
      <c r="B234" s="1" t="s">
        <v>106</v>
      </c>
      <c r="C234" t="s">
        <v>151</v>
      </c>
      <c r="D234">
        <v>30</v>
      </c>
      <c r="E234" t="s">
        <v>153</v>
      </c>
    </row>
    <row r="235" spans="1:5" x14ac:dyDescent="0.3">
      <c r="A235">
        <v>234</v>
      </c>
      <c r="B235" s="1" t="s">
        <v>103</v>
      </c>
      <c r="C235" t="s">
        <v>150</v>
      </c>
      <c r="D235">
        <v>37</v>
      </c>
      <c r="E235" t="s">
        <v>153</v>
      </c>
    </row>
    <row r="236" spans="1:5" x14ac:dyDescent="0.3">
      <c r="A236">
        <v>235</v>
      </c>
      <c r="B236" s="1" t="s">
        <v>98</v>
      </c>
      <c r="C236" t="s">
        <v>150</v>
      </c>
      <c r="D236">
        <v>41</v>
      </c>
      <c r="E236" t="s">
        <v>153</v>
      </c>
    </row>
    <row r="237" spans="1:5" x14ac:dyDescent="0.3">
      <c r="A237">
        <v>236</v>
      </c>
      <c r="B237" s="1" t="s">
        <v>98</v>
      </c>
      <c r="C237" t="s">
        <v>151</v>
      </c>
      <c r="D237">
        <v>80</v>
      </c>
      <c r="E237" t="s">
        <v>153</v>
      </c>
    </row>
    <row r="238" spans="1:5" x14ac:dyDescent="0.3">
      <c r="A238">
        <v>237</v>
      </c>
      <c r="B238" s="1" t="s">
        <v>99</v>
      </c>
      <c r="C238" t="s">
        <v>151</v>
      </c>
      <c r="D238">
        <v>57</v>
      </c>
      <c r="E238" t="s">
        <v>153</v>
      </c>
    </row>
    <row r="239" spans="1:5" x14ac:dyDescent="0.3">
      <c r="A239">
        <v>238</v>
      </c>
      <c r="B239" s="1" t="s">
        <v>106</v>
      </c>
      <c r="C239" t="s">
        <v>150</v>
      </c>
      <c r="D239">
        <v>41</v>
      </c>
      <c r="E239" t="s">
        <v>153</v>
      </c>
    </row>
    <row r="240" spans="1:5" x14ac:dyDescent="0.3">
      <c r="A240">
        <v>239</v>
      </c>
      <c r="B240" s="1" t="s">
        <v>112</v>
      </c>
      <c r="C240" t="s">
        <v>151</v>
      </c>
      <c r="D240">
        <v>77</v>
      </c>
      <c r="E240" t="s">
        <v>153</v>
      </c>
    </row>
    <row r="241" spans="1:5" x14ac:dyDescent="0.3">
      <c r="A241">
        <v>240</v>
      </c>
      <c r="B241" s="1" t="s">
        <v>98</v>
      </c>
      <c r="C241" t="s">
        <v>150</v>
      </c>
      <c r="D241">
        <v>63</v>
      </c>
      <c r="E241" t="s">
        <v>153</v>
      </c>
    </row>
    <row r="242" spans="1:5" x14ac:dyDescent="0.3">
      <c r="A242">
        <v>241</v>
      </c>
      <c r="B242" s="1" t="s">
        <v>98</v>
      </c>
      <c r="C242" t="s">
        <v>151</v>
      </c>
      <c r="D242">
        <v>22</v>
      </c>
      <c r="E242" t="s">
        <v>153</v>
      </c>
    </row>
    <row r="243" spans="1:5" x14ac:dyDescent="0.3">
      <c r="A243">
        <v>242</v>
      </c>
      <c r="B243" s="1" t="s">
        <v>98</v>
      </c>
      <c r="C243" t="s">
        <v>151</v>
      </c>
      <c r="D243">
        <v>87</v>
      </c>
      <c r="E243" t="s">
        <v>153</v>
      </c>
    </row>
    <row r="244" spans="1:5" x14ac:dyDescent="0.3">
      <c r="A244">
        <v>243</v>
      </c>
      <c r="B244" s="1" t="s">
        <v>98</v>
      </c>
      <c r="C244" t="s">
        <v>150</v>
      </c>
      <c r="D244">
        <v>18</v>
      </c>
      <c r="E244" t="s">
        <v>153</v>
      </c>
    </row>
    <row r="245" spans="1:5" x14ac:dyDescent="0.3">
      <c r="A245">
        <v>244</v>
      </c>
      <c r="B245" s="1" t="s">
        <v>105</v>
      </c>
      <c r="C245" t="s">
        <v>151</v>
      </c>
      <c r="D245">
        <v>69</v>
      </c>
      <c r="E245" t="s">
        <v>153</v>
      </c>
    </row>
    <row r="246" spans="1:5" x14ac:dyDescent="0.3">
      <c r="A246">
        <v>245</v>
      </c>
      <c r="B246" s="1" t="s">
        <v>112</v>
      </c>
      <c r="C246" t="s">
        <v>150</v>
      </c>
      <c r="D246">
        <v>63</v>
      </c>
      <c r="E246" t="s">
        <v>153</v>
      </c>
    </row>
    <row r="247" spans="1:5" x14ac:dyDescent="0.3">
      <c r="A247">
        <v>246</v>
      </c>
      <c r="B247" s="1" t="s">
        <v>99</v>
      </c>
      <c r="C247" t="s">
        <v>151</v>
      </c>
      <c r="D247">
        <v>67</v>
      </c>
      <c r="E247" t="s">
        <v>153</v>
      </c>
    </row>
    <row r="248" spans="1:5" x14ac:dyDescent="0.3">
      <c r="A248">
        <v>247</v>
      </c>
      <c r="B248" s="1" t="s">
        <v>99</v>
      </c>
      <c r="C248" t="s">
        <v>150</v>
      </c>
      <c r="D248">
        <v>45</v>
      </c>
      <c r="E248" t="s">
        <v>153</v>
      </c>
    </row>
    <row r="249" spans="1:5" x14ac:dyDescent="0.3">
      <c r="A249">
        <v>248</v>
      </c>
      <c r="B249" s="1" t="s">
        <v>98</v>
      </c>
      <c r="C249" t="s">
        <v>151</v>
      </c>
      <c r="D249">
        <v>47</v>
      </c>
      <c r="E249" t="s">
        <v>153</v>
      </c>
    </row>
    <row r="250" spans="1:5" x14ac:dyDescent="0.3">
      <c r="A250">
        <v>249</v>
      </c>
      <c r="B250" s="1" t="s">
        <v>98</v>
      </c>
      <c r="C250" t="s">
        <v>150</v>
      </c>
      <c r="D250">
        <v>58</v>
      </c>
      <c r="E250" t="s">
        <v>153</v>
      </c>
    </row>
    <row r="251" spans="1:5" x14ac:dyDescent="0.3">
      <c r="A251">
        <v>250</v>
      </c>
      <c r="B251" s="1" t="s">
        <v>112</v>
      </c>
      <c r="C251" t="s">
        <v>151</v>
      </c>
      <c r="D251">
        <v>51</v>
      </c>
      <c r="E251" t="s">
        <v>153</v>
      </c>
    </row>
    <row r="252" spans="1:5" x14ac:dyDescent="0.3">
      <c r="A252">
        <v>251</v>
      </c>
      <c r="B252" s="1" t="s">
        <v>99</v>
      </c>
      <c r="C252" t="s">
        <v>150</v>
      </c>
      <c r="D252">
        <v>49</v>
      </c>
      <c r="E252" t="s">
        <v>153</v>
      </c>
    </row>
    <row r="253" spans="1:5" x14ac:dyDescent="0.3">
      <c r="A253">
        <v>252</v>
      </c>
      <c r="B253" s="1" t="s">
        <v>98</v>
      </c>
      <c r="C253" t="s">
        <v>151</v>
      </c>
      <c r="D253">
        <v>89</v>
      </c>
      <c r="E253" t="s">
        <v>153</v>
      </c>
    </row>
    <row r="254" spans="1:5" x14ac:dyDescent="0.3">
      <c r="A254">
        <v>253</v>
      </c>
      <c r="B254" s="1" t="s">
        <v>99</v>
      </c>
      <c r="C254" t="s">
        <v>151</v>
      </c>
      <c r="D254">
        <v>67</v>
      </c>
      <c r="E254" t="s">
        <v>153</v>
      </c>
    </row>
    <row r="255" spans="1:5" x14ac:dyDescent="0.3">
      <c r="A255">
        <v>254</v>
      </c>
      <c r="B255" s="1" t="s">
        <v>99</v>
      </c>
      <c r="C255" t="s">
        <v>151</v>
      </c>
      <c r="D255">
        <v>88</v>
      </c>
      <c r="E255" t="s">
        <v>153</v>
      </c>
    </row>
    <row r="256" spans="1:5" x14ac:dyDescent="0.3">
      <c r="A256">
        <v>255</v>
      </c>
      <c r="B256" s="1" t="s">
        <v>106</v>
      </c>
      <c r="C256" t="s">
        <v>150</v>
      </c>
      <c r="D256">
        <v>62</v>
      </c>
      <c r="E256" t="s">
        <v>153</v>
      </c>
    </row>
    <row r="257" spans="1:5" x14ac:dyDescent="0.3">
      <c r="A257">
        <v>256</v>
      </c>
      <c r="B257" s="1" t="s">
        <v>100</v>
      </c>
      <c r="C257" t="s">
        <v>150</v>
      </c>
      <c r="D257">
        <v>72</v>
      </c>
      <c r="E257" t="s">
        <v>153</v>
      </c>
    </row>
    <row r="258" spans="1:5" x14ac:dyDescent="0.3">
      <c r="A258">
        <v>257</v>
      </c>
      <c r="B258" s="1" t="s">
        <v>98</v>
      </c>
      <c r="C258" t="s">
        <v>150</v>
      </c>
      <c r="D258">
        <v>32</v>
      </c>
      <c r="E258" t="s">
        <v>153</v>
      </c>
    </row>
    <row r="259" spans="1:5" x14ac:dyDescent="0.3">
      <c r="A259">
        <v>258</v>
      </c>
      <c r="B259" s="1" t="s">
        <v>112</v>
      </c>
      <c r="C259" t="s">
        <v>151</v>
      </c>
      <c r="D259">
        <v>40</v>
      </c>
      <c r="E259" t="s">
        <v>153</v>
      </c>
    </row>
    <row r="260" spans="1:5" x14ac:dyDescent="0.3">
      <c r="A260">
        <v>259</v>
      </c>
      <c r="B260" s="1" t="s">
        <v>112</v>
      </c>
      <c r="C260" t="s">
        <v>150</v>
      </c>
      <c r="D260">
        <v>58</v>
      </c>
      <c r="E260" t="s">
        <v>153</v>
      </c>
    </row>
    <row r="261" spans="1:5" x14ac:dyDescent="0.3">
      <c r="A261">
        <v>260</v>
      </c>
      <c r="B261" s="1" t="s">
        <v>98</v>
      </c>
      <c r="C261" t="s">
        <v>151</v>
      </c>
      <c r="D261">
        <v>88</v>
      </c>
      <c r="E261" t="s">
        <v>153</v>
      </c>
    </row>
    <row r="262" spans="1:5" x14ac:dyDescent="0.3">
      <c r="A262">
        <v>261</v>
      </c>
      <c r="B262" s="1" t="s">
        <v>99</v>
      </c>
      <c r="C262" t="s">
        <v>150</v>
      </c>
      <c r="D262">
        <v>21</v>
      </c>
      <c r="E262" t="s">
        <v>153</v>
      </c>
    </row>
    <row r="263" spans="1:5" x14ac:dyDescent="0.3">
      <c r="A263">
        <v>262</v>
      </c>
      <c r="B263" s="1" t="s">
        <v>101</v>
      </c>
      <c r="C263" t="s">
        <v>150</v>
      </c>
      <c r="D263">
        <v>78</v>
      </c>
      <c r="E263" t="s">
        <v>153</v>
      </c>
    </row>
    <row r="264" spans="1:5" x14ac:dyDescent="0.3">
      <c r="A264">
        <v>263</v>
      </c>
      <c r="B264" s="1" t="s">
        <v>98</v>
      </c>
      <c r="C264" t="s">
        <v>151</v>
      </c>
      <c r="D264">
        <v>76</v>
      </c>
      <c r="E264" t="s">
        <v>153</v>
      </c>
    </row>
    <row r="265" spans="1:5" x14ac:dyDescent="0.3">
      <c r="A265">
        <v>264</v>
      </c>
      <c r="B265" s="1" t="s">
        <v>98</v>
      </c>
      <c r="C265" t="s">
        <v>150</v>
      </c>
      <c r="D265">
        <v>46</v>
      </c>
      <c r="E265" t="s">
        <v>153</v>
      </c>
    </row>
    <row r="266" spans="1:5" x14ac:dyDescent="0.3">
      <c r="A266">
        <v>265</v>
      </c>
      <c r="B266" s="1" t="s">
        <v>100</v>
      </c>
      <c r="C266" t="s">
        <v>150</v>
      </c>
      <c r="D266">
        <v>66</v>
      </c>
      <c r="E266" t="s">
        <v>153</v>
      </c>
    </row>
    <row r="267" spans="1:5" x14ac:dyDescent="0.3">
      <c r="A267">
        <v>266</v>
      </c>
      <c r="B267" s="1" t="s">
        <v>98</v>
      </c>
      <c r="C267" t="s">
        <v>151</v>
      </c>
      <c r="D267">
        <v>37</v>
      </c>
      <c r="E267" t="s">
        <v>153</v>
      </c>
    </row>
    <row r="268" spans="1:5" x14ac:dyDescent="0.3">
      <c r="A268">
        <v>267</v>
      </c>
      <c r="B268" s="1" t="s">
        <v>98</v>
      </c>
      <c r="C268" t="s">
        <v>151</v>
      </c>
      <c r="D268">
        <v>31</v>
      </c>
      <c r="E268" t="s">
        <v>153</v>
      </c>
    </row>
    <row r="269" spans="1:5" x14ac:dyDescent="0.3">
      <c r="A269">
        <v>268</v>
      </c>
      <c r="B269" s="1" t="s">
        <v>112</v>
      </c>
      <c r="C269" t="s">
        <v>150</v>
      </c>
      <c r="D269">
        <v>47</v>
      </c>
      <c r="E269" t="s">
        <v>153</v>
      </c>
    </row>
    <row r="270" spans="1:5" x14ac:dyDescent="0.3">
      <c r="A270">
        <v>269</v>
      </c>
      <c r="B270" s="1" t="s">
        <v>98</v>
      </c>
      <c r="C270" t="s">
        <v>151</v>
      </c>
      <c r="D270">
        <v>86</v>
      </c>
      <c r="E270" t="s">
        <v>153</v>
      </c>
    </row>
    <row r="271" spans="1:5" x14ac:dyDescent="0.3">
      <c r="A271">
        <v>270</v>
      </c>
      <c r="B271" s="1" t="s">
        <v>100</v>
      </c>
      <c r="C271" t="s">
        <v>151</v>
      </c>
      <c r="D271">
        <v>74</v>
      </c>
      <c r="E271" t="s">
        <v>153</v>
      </c>
    </row>
    <row r="272" spans="1:5" x14ac:dyDescent="0.3">
      <c r="A272">
        <v>271</v>
      </c>
      <c r="B272" s="1" t="s">
        <v>98</v>
      </c>
      <c r="C272" t="s">
        <v>150</v>
      </c>
      <c r="D272">
        <v>68</v>
      </c>
      <c r="E272" t="s">
        <v>153</v>
      </c>
    </row>
    <row r="273" spans="1:5" x14ac:dyDescent="0.3">
      <c r="A273">
        <v>272</v>
      </c>
      <c r="B273" s="1" t="s">
        <v>99</v>
      </c>
      <c r="C273" t="s">
        <v>150</v>
      </c>
      <c r="D273">
        <v>43</v>
      </c>
      <c r="E273" t="s">
        <v>153</v>
      </c>
    </row>
    <row r="274" spans="1:5" x14ac:dyDescent="0.3">
      <c r="A274">
        <v>273</v>
      </c>
      <c r="B274" s="1" t="s">
        <v>98</v>
      </c>
      <c r="C274" t="s">
        <v>150</v>
      </c>
      <c r="D274">
        <v>34</v>
      </c>
      <c r="E274" t="s">
        <v>153</v>
      </c>
    </row>
    <row r="275" spans="1:5" x14ac:dyDescent="0.3">
      <c r="A275">
        <v>274</v>
      </c>
      <c r="B275" s="1" t="s">
        <v>98</v>
      </c>
      <c r="C275" t="s">
        <v>150</v>
      </c>
      <c r="D275">
        <v>44</v>
      </c>
      <c r="E275" t="s">
        <v>153</v>
      </c>
    </row>
    <row r="276" spans="1:5" x14ac:dyDescent="0.3">
      <c r="A276">
        <v>275</v>
      </c>
      <c r="B276" s="1" t="s">
        <v>106</v>
      </c>
      <c r="C276" t="s">
        <v>151</v>
      </c>
      <c r="D276">
        <v>42</v>
      </c>
      <c r="E276" t="s">
        <v>153</v>
      </c>
    </row>
    <row r="277" spans="1:5" x14ac:dyDescent="0.3">
      <c r="A277">
        <v>276</v>
      </c>
      <c r="B277" s="1" t="s">
        <v>112</v>
      </c>
      <c r="C277" t="s">
        <v>151</v>
      </c>
      <c r="D277">
        <v>59</v>
      </c>
      <c r="E277" t="s">
        <v>153</v>
      </c>
    </row>
    <row r="278" spans="1:5" x14ac:dyDescent="0.3">
      <c r="A278">
        <v>277</v>
      </c>
      <c r="B278" s="1" t="s">
        <v>98</v>
      </c>
      <c r="C278" t="s">
        <v>151</v>
      </c>
      <c r="D278">
        <v>85</v>
      </c>
      <c r="E278" t="s">
        <v>153</v>
      </c>
    </row>
    <row r="279" spans="1:5" x14ac:dyDescent="0.3">
      <c r="A279">
        <v>278</v>
      </c>
      <c r="B279" s="1" t="s">
        <v>98</v>
      </c>
      <c r="C279" t="s">
        <v>151</v>
      </c>
      <c r="D279">
        <v>26</v>
      </c>
      <c r="E279" t="s">
        <v>153</v>
      </c>
    </row>
    <row r="280" spans="1:5" x14ac:dyDescent="0.3">
      <c r="A280">
        <v>279</v>
      </c>
      <c r="B280" s="1" t="s">
        <v>112</v>
      </c>
      <c r="C280" t="s">
        <v>150</v>
      </c>
      <c r="D280">
        <v>80</v>
      </c>
      <c r="E280" t="s">
        <v>153</v>
      </c>
    </row>
    <row r="281" spans="1:5" x14ac:dyDescent="0.3">
      <c r="A281">
        <v>280</v>
      </c>
      <c r="B281" s="1" t="s">
        <v>98</v>
      </c>
      <c r="C281" t="s">
        <v>150</v>
      </c>
      <c r="D281">
        <v>51</v>
      </c>
      <c r="E281" t="s">
        <v>153</v>
      </c>
    </row>
    <row r="282" spans="1:5" x14ac:dyDescent="0.3">
      <c r="A282">
        <v>281</v>
      </c>
      <c r="B282" s="1" t="s">
        <v>98</v>
      </c>
      <c r="C282" t="s">
        <v>150</v>
      </c>
      <c r="D282">
        <v>75</v>
      </c>
      <c r="E282" t="s">
        <v>153</v>
      </c>
    </row>
    <row r="283" spans="1:5" x14ac:dyDescent="0.3">
      <c r="A283">
        <v>282</v>
      </c>
      <c r="B283" s="1" t="s">
        <v>98</v>
      </c>
      <c r="C283" t="s">
        <v>151</v>
      </c>
      <c r="D283">
        <v>43</v>
      </c>
      <c r="E283" t="s">
        <v>153</v>
      </c>
    </row>
    <row r="284" spans="1:5" x14ac:dyDescent="0.3">
      <c r="A284">
        <v>283</v>
      </c>
      <c r="B284" s="1" t="s">
        <v>98</v>
      </c>
      <c r="C284" t="s">
        <v>150</v>
      </c>
      <c r="D284">
        <v>18</v>
      </c>
      <c r="E284" t="s">
        <v>153</v>
      </c>
    </row>
    <row r="285" spans="1:5" x14ac:dyDescent="0.3">
      <c r="A285">
        <v>284</v>
      </c>
      <c r="B285" s="1" t="s">
        <v>98</v>
      </c>
      <c r="C285" t="s">
        <v>150</v>
      </c>
      <c r="D285">
        <v>82</v>
      </c>
      <c r="E285" t="s">
        <v>153</v>
      </c>
    </row>
    <row r="286" spans="1:5" x14ac:dyDescent="0.3">
      <c r="A286">
        <v>285</v>
      </c>
      <c r="B286" s="1" t="s">
        <v>100</v>
      </c>
      <c r="C286" t="s">
        <v>150</v>
      </c>
      <c r="D286">
        <v>36</v>
      </c>
      <c r="E286" t="s">
        <v>153</v>
      </c>
    </row>
    <row r="287" spans="1:5" x14ac:dyDescent="0.3">
      <c r="A287">
        <v>286</v>
      </c>
      <c r="B287" s="1" t="s">
        <v>98</v>
      </c>
      <c r="C287" t="s">
        <v>150</v>
      </c>
      <c r="D287">
        <v>79</v>
      </c>
      <c r="E287" t="s">
        <v>153</v>
      </c>
    </row>
    <row r="288" spans="1:5" x14ac:dyDescent="0.3">
      <c r="A288">
        <v>287</v>
      </c>
      <c r="B288" s="1" t="s">
        <v>105</v>
      </c>
      <c r="C288" t="s">
        <v>150</v>
      </c>
      <c r="D288">
        <v>86</v>
      </c>
      <c r="E288" t="s">
        <v>153</v>
      </c>
    </row>
    <row r="289" spans="1:5" x14ac:dyDescent="0.3">
      <c r="A289">
        <v>288</v>
      </c>
      <c r="B289" s="1" t="s">
        <v>98</v>
      </c>
      <c r="C289" t="s">
        <v>150</v>
      </c>
      <c r="D289">
        <v>38</v>
      </c>
      <c r="E289" t="s">
        <v>153</v>
      </c>
    </row>
    <row r="290" spans="1:5" x14ac:dyDescent="0.3">
      <c r="A290">
        <v>289</v>
      </c>
      <c r="B290" s="1" t="s">
        <v>99</v>
      </c>
      <c r="C290" t="s">
        <v>150</v>
      </c>
      <c r="D290">
        <v>82</v>
      </c>
      <c r="E290" t="s">
        <v>153</v>
      </c>
    </row>
    <row r="291" spans="1:5" x14ac:dyDescent="0.3">
      <c r="A291">
        <v>290</v>
      </c>
      <c r="B291" s="1" t="s">
        <v>104</v>
      </c>
      <c r="C291" t="s">
        <v>151</v>
      </c>
      <c r="D291">
        <v>71</v>
      </c>
      <c r="E291" t="s">
        <v>153</v>
      </c>
    </row>
    <row r="292" spans="1:5" x14ac:dyDescent="0.3">
      <c r="A292">
        <v>291</v>
      </c>
      <c r="B292" s="1" t="s">
        <v>112</v>
      </c>
      <c r="C292" t="s">
        <v>151</v>
      </c>
      <c r="D292">
        <v>44</v>
      </c>
      <c r="E292" t="s">
        <v>153</v>
      </c>
    </row>
    <row r="293" spans="1:5" x14ac:dyDescent="0.3">
      <c r="A293">
        <v>292</v>
      </c>
      <c r="B293" s="1" t="s">
        <v>112</v>
      </c>
      <c r="C293" t="s">
        <v>150</v>
      </c>
      <c r="D293">
        <v>66</v>
      </c>
      <c r="E293" t="s">
        <v>153</v>
      </c>
    </row>
    <row r="294" spans="1:5" x14ac:dyDescent="0.3">
      <c r="A294">
        <v>293</v>
      </c>
      <c r="B294" s="1" t="s">
        <v>112</v>
      </c>
      <c r="C294" t="s">
        <v>151</v>
      </c>
      <c r="D294">
        <v>76</v>
      </c>
      <c r="E294" t="s">
        <v>153</v>
      </c>
    </row>
    <row r="295" spans="1:5" x14ac:dyDescent="0.3">
      <c r="A295">
        <v>294</v>
      </c>
      <c r="B295" s="1" t="s">
        <v>99</v>
      </c>
      <c r="C295" t="s">
        <v>151</v>
      </c>
      <c r="D295">
        <v>30</v>
      </c>
      <c r="E295" t="s">
        <v>153</v>
      </c>
    </row>
    <row r="296" spans="1:5" x14ac:dyDescent="0.3">
      <c r="A296">
        <v>295</v>
      </c>
      <c r="B296" s="1" t="s">
        <v>112</v>
      </c>
      <c r="C296" t="s">
        <v>151</v>
      </c>
      <c r="D296">
        <v>44</v>
      </c>
      <c r="E296" t="s">
        <v>153</v>
      </c>
    </row>
    <row r="297" spans="1:5" x14ac:dyDescent="0.3">
      <c r="A297">
        <v>296</v>
      </c>
      <c r="B297" s="1" t="s">
        <v>107</v>
      </c>
      <c r="C297" t="s">
        <v>151</v>
      </c>
      <c r="D297">
        <v>70</v>
      </c>
      <c r="E297" t="s">
        <v>153</v>
      </c>
    </row>
    <row r="298" spans="1:5" x14ac:dyDescent="0.3">
      <c r="A298">
        <v>297</v>
      </c>
      <c r="B298" s="1" t="s">
        <v>112</v>
      </c>
      <c r="C298" t="s">
        <v>150</v>
      </c>
      <c r="D298">
        <v>25</v>
      </c>
      <c r="E298" t="s">
        <v>153</v>
      </c>
    </row>
    <row r="299" spans="1:5" x14ac:dyDescent="0.3">
      <c r="A299">
        <v>298</v>
      </c>
      <c r="B299" s="1" t="s">
        <v>104</v>
      </c>
      <c r="C299" t="s">
        <v>150</v>
      </c>
      <c r="D299">
        <v>34</v>
      </c>
      <c r="E299" t="s">
        <v>153</v>
      </c>
    </row>
    <row r="300" spans="1:5" x14ac:dyDescent="0.3">
      <c r="A300">
        <v>299</v>
      </c>
      <c r="B300" s="1" t="s">
        <v>112</v>
      </c>
      <c r="C300" t="s">
        <v>150</v>
      </c>
      <c r="D300">
        <v>58</v>
      </c>
      <c r="E300" t="s">
        <v>153</v>
      </c>
    </row>
    <row r="301" spans="1:5" x14ac:dyDescent="0.3">
      <c r="A301">
        <v>300</v>
      </c>
      <c r="B301" s="1" t="s">
        <v>112</v>
      </c>
      <c r="C301" t="s">
        <v>151</v>
      </c>
      <c r="D301">
        <v>66</v>
      </c>
      <c r="E301" t="s">
        <v>153</v>
      </c>
    </row>
    <row r="302" spans="1:5" x14ac:dyDescent="0.3">
      <c r="A302">
        <v>301</v>
      </c>
      <c r="B302" s="1" t="s">
        <v>112</v>
      </c>
      <c r="C302" t="s">
        <v>150</v>
      </c>
      <c r="D302">
        <v>46</v>
      </c>
      <c r="E302" t="s">
        <v>153</v>
      </c>
    </row>
    <row r="303" spans="1:5" x14ac:dyDescent="0.3">
      <c r="A303">
        <v>302</v>
      </c>
      <c r="B303" s="1" t="s">
        <v>108</v>
      </c>
      <c r="C303" t="s">
        <v>151</v>
      </c>
      <c r="D303">
        <v>29</v>
      </c>
      <c r="E303" t="s">
        <v>153</v>
      </c>
    </row>
    <row r="304" spans="1:5" x14ac:dyDescent="0.3">
      <c r="A304">
        <v>303</v>
      </c>
      <c r="B304" s="1" t="s">
        <v>112</v>
      </c>
      <c r="C304" t="s">
        <v>151</v>
      </c>
      <c r="D304">
        <v>73</v>
      </c>
      <c r="E304" t="s">
        <v>153</v>
      </c>
    </row>
    <row r="305" spans="1:5" x14ac:dyDescent="0.3">
      <c r="A305">
        <v>304</v>
      </c>
      <c r="B305" s="1" t="s">
        <v>112</v>
      </c>
      <c r="C305" t="s">
        <v>151</v>
      </c>
      <c r="D305">
        <v>71</v>
      </c>
      <c r="E305" t="s">
        <v>153</v>
      </c>
    </row>
    <row r="306" spans="1:5" x14ac:dyDescent="0.3">
      <c r="A306">
        <v>305</v>
      </c>
      <c r="B306" s="1" t="s">
        <v>100</v>
      </c>
      <c r="C306" t="s">
        <v>151</v>
      </c>
      <c r="D306">
        <v>58</v>
      </c>
      <c r="E306" t="s">
        <v>153</v>
      </c>
    </row>
    <row r="307" spans="1:5" x14ac:dyDescent="0.3">
      <c r="A307">
        <v>306</v>
      </c>
      <c r="B307" s="1" t="s">
        <v>112</v>
      </c>
      <c r="C307" t="s">
        <v>151</v>
      </c>
      <c r="D307">
        <v>20</v>
      </c>
      <c r="E307" t="s">
        <v>153</v>
      </c>
    </row>
    <row r="308" spans="1:5" x14ac:dyDescent="0.3">
      <c r="A308">
        <v>307</v>
      </c>
      <c r="B308" s="1" t="s">
        <v>99</v>
      </c>
      <c r="C308" t="s">
        <v>150</v>
      </c>
      <c r="D308">
        <v>65</v>
      </c>
      <c r="E308" t="s">
        <v>153</v>
      </c>
    </row>
    <row r="309" spans="1:5" x14ac:dyDescent="0.3">
      <c r="A309">
        <v>308</v>
      </c>
      <c r="B309" s="1" t="s">
        <v>104</v>
      </c>
      <c r="C309" t="s">
        <v>151</v>
      </c>
      <c r="D309">
        <v>40</v>
      </c>
      <c r="E309" t="s">
        <v>153</v>
      </c>
    </row>
    <row r="310" spans="1:5" x14ac:dyDescent="0.3">
      <c r="A310">
        <v>309</v>
      </c>
      <c r="B310" s="1" t="s">
        <v>103</v>
      </c>
      <c r="C310" t="s">
        <v>150</v>
      </c>
      <c r="D310">
        <v>70</v>
      </c>
      <c r="E310" t="s">
        <v>153</v>
      </c>
    </row>
    <row r="311" spans="1:5" x14ac:dyDescent="0.3">
      <c r="A311">
        <v>310</v>
      </c>
      <c r="B311" s="1" t="s">
        <v>99</v>
      </c>
      <c r="C311" t="s">
        <v>150</v>
      </c>
      <c r="D311">
        <v>22</v>
      </c>
      <c r="E311" t="s">
        <v>153</v>
      </c>
    </row>
    <row r="312" spans="1:5" x14ac:dyDescent="0.3">
      <c r="A312">
        <v>311</v>
      </c>
      <c r="B312" s="1" t="s">
        <v>100</v>
      </c>
      <c r="C312" t="s">
        <v>150</v>
      </c>
      <c r="D312">
        <v>45</v>
      </c>
      <c r="E312" t="s">
        <v>153</v>
      </c>
    </row>
    <row r="313" spans="1:5" x14ac:dyDescent="0.3">
      <c r="A313">
        <v>312</v>
      </c>
      <c r="B313" s="1" t="s">
        <v>106</v>
      </c>
      <c r="C313" t="s">
        <v>150</v>
      </c>
      <c r="D313">
        <v>38</v>
      </c>
      <c r="E313" t="s">
        <v>153</v>
      </c>
    </row>
    <row r="314" spans="1:5" x14ac:dyDescent="0.3">
      <c r="A314">
        <v>313</v>
      </c>
      <c r="B314" s="1" t="s">
        <v>112</v>
      </c>
      <c r="C314" t="s">
        <v>151</v>
      </c>
      <c r="D314">
        <v>61</v>
      </c>
      <c r="E314" t="s">
        <v>153</v>
      </c>
    </row>
    <row r="315" spans="1:5" x14ac:dyDescent="0.3">
      <c r="A315">
        <v>314</v>
      </c>
      <c r="B315" s="1" t="s">
        <v>104</v>
      </c>
      <c r="C315" t="s">
        <v>150</v>
      </c>
      <c r="D315">
        <v>38</v>
      </c>
      <c r="E315" t="s">
        <v>153</v>
      </c>
    </row>
    <row r="316" spans="1:5" x14ac:dyDescent="0.3">
      <c r="A316">
        <v>315</v>
      </c>
      <c r="B316" s="1" t="s">
        <v>112</v>
      </c>
      <c r="C316" t="s">
        <v>151</v>
      </c>
      <c r="D316">
        <v>85</v>
      </c>
      <c r="E316" t="s">
        <v>153</v>
      </c>
    </row>
    <row r="317" spans="1:5" x14ac:dyDescent="0.3">
      <c r="A317">
        <v>316</v>
      </c>
      <c r="B317" s="1" t="s">
        <v>112</v>
      </c>
      <c r="C317" t="s">
        <v>151</v>
      </c>
      <c r="D317">
        <v>89</v>
      </c>
      <c r="E317" t="s">
        <v>153</v>
      </c>
    </row>
    <row r="318" spans="1:5" x14ac:dyDescent="0.3">
      <c r="A318">
        <v>317</v>
      </c>
      <c r="B318" s="1" t="s">
        <v>99</v>
      </c>
      <c r="C318" t="s">
        <v>150</v>
      </c>
      <c r="D318">
        <v>24</v>
      </c>
      <c r="E318" t="s">
        <v>153</v>
      </c>
    </row>
    <row r="319" spans="1:5" x14ac:dyDescent="0.3">
      <c r="A319">
        <v>318</v>
      </c>
      <c r="B319" s="1" t="s">
        <v>112</v>
      </c>
      <c r="C319" t="s">
        <v>151</v>
      </c>
      <c r="D319">
        <v>35</v>
      </c>
      <c r="E319" t="s">
        <v>153</v>
      </c>
    </row>
    <row r="320" spans="1:5" x14ac:dyDescent="0.3">
      <c r="A320">
        <v>319</v>
      </c>
      <c r="B320" s="1" t="s">
        <v>112</v>
      </c>
      <c r="C320" t="s">
        <v>151</v>
      </c>
      <c r="D320">
        <v>39</v>
      </c>
      <c r="E320" t="s">
        <v>153</v>
      </c>
    </row>
    <row r="321" spans="1:5" x14ac:dyDescent="0.3">
      <c r="A321">
        <v>320</v>
      </c>
      <c r="B321" s="1" t="s">
        <v>108</v>
      </c>
      <c r="C321" t="s">
        <v>150</v>
      </c>
      <c r="D321">
        <v>47</v>
      </c>
      <c r="E321" t="s">
        <v>153</v>
      </c>
    </row>
    <row r="322" spans="1:5" x14ac:dyDescent="0.3">
      <c r="A322">
        <v>321</v>
      </c>
      <c r="B322" s="1" t="s">
        <v>112</v>
      </c>
      <c r="C322" t="s">
        <v>150</v>
      </c>
      <c r="D322">
        <v>30</v>
      </c>
      <c r="E322" t="s">
        <v>153</v>
      </c>
    </row>
    <row r="323" spans="1:5" x14ac:dyDescent="0.3">
      <c r="A323">
        <v>322</v>
      </c>
      <c r="B323" s="1" t="s">
        <v>112</v>
      </c>
      <c r="C323" t="s">
        <v>150</v>
      </c>
      <c r="D323">
        <v>22</v>
      </c>
      <c r="E323" t="s">
        <v>153</v>
      </c>
    </row>
    <row r="324" spans="1:5" x14ac:dyDescent="0.3">
      <c r="A324">
        <v>323</v>
      </c>
      <c r="B324" s="1" t="s">
        <v>99</v>
      </c>
      <c r="C324" t="s">
        <v>150</v>
      </c>
      <c r="D324">
        <v>49</v>
      </c>
      <c r="E324" t="s">
        <v>153</v>
      </c>
    </row>
    <row r="325" spans="1:5" x14ac:dyDescent="0.3">
      <c r="A325">
        <v>324</v>
      </c>
      <c r="B325" s="1" t="s">
        <v>100</v>
      </c>
      <c r="C325" t="s">
        <v>151</v>
      </c>
      <c r="D325">
        <v>28</v>
      </c>
      <c r="E325" t="s">
        <v>153</v>
      </c>
    </row>
    <row r="326" spans="1:5" x14ac:dyDescent="0.3">
      <c r="A326">
        <v>325</v>
      </c>
      <c r="B326" s="1" t="s">
        <v>99</v>
      </c>
      <c r="C326" t="s">
        <v>150</v>
      </c>
      <c r="D326">
        <v>30</v>
      </c>
      <c r="E326" t="s">
        <v>153</v>
      </c>
    </row>
    <row r="327" spans="1:5" x14ac:dyDescent="0.3">
      <c r="A327">
        <v>326</v>
      </c>
      <c r="B327" s="1" t="s">
        <v>110</v>
      </c>
      <c r="C327" t="s">
        <v>150</v>
      </c>
      <c r="D327">
        <v>54</v>
      </c>
      <c r="E327" t="s">
        <v>153</v>
      </c>
    </row>
    <row r="328" spans="1:5" x14ac:dyDescent="0.3">
      <c r="A328">
        <v>327</v>
      </c>
      <c r="B328" s="1" t="s">
        <v>112</v>
      </c>
      <c r="C328" t="s">
        <v>151</v>
      </c>
      <c r="D328">
        <v>32</v>
      </c>
      <c r="E328" t="s">
        <v>153</v>
      </c>
    </row>
    <row r="329" spans="1:5" x14ac:dyDescent="0.3">
      <c r="A329">
        <v>328</v>
      </c>
      <c r="B329" s="1" t="s">
        <v>112</v>
      </c>
      <c r="C329" t="s">
        <v>150</v>
      </c>
      <c r="D329">
        <v>44</v>
      </c>
      <c r="E329" t="s">
        <v>153</v>
      </c>
    </row>
    <row r="330" spans="1:5" x14ac:dyDescent="0.3">
      <c r="A330">
        <v>329</v>
      </c>
      <c r="B330" s="1" t="s">
        <v>104</v>
      </c>
      <c r="C330" t="s">
        <v>151</v>
      </c>
      <c r="D330">
        <v>55</v>
      </c>
      <c r="E330" t="s">
        <v>153</v>
      </c>
    </row>
    <row r="331" spans="1:5" x14ac:dyDescent="0.3">
      <c r="A331">
        <v>330</v>
      </c>
      <c r="B331" s="1" t="s">
        <v>112</v>
      </c>
      <c r="C331" t="s">
        <v>151</v>
      </c>
      <c r="D331">
        <v>43</v>
      </c>
      <c r="E331" t="s">
        <v>153</v>
      </c>
    </row>
    <row r="332" spans="1:5" x14ac:dyDescent="0.3">
      <c r="A332">
        <v>331</v>
      </c>
      <c r="B332" s="1" t="s">
        <v>105</v>
      </c>
      <c r="C332" t="s">
        <v>150</v>
      </c>
      <c r="D332">
        <v>24</v>
      </c>
      <c r="E332" t="s">
        <v>153</v>
      </c>
    </row>
    <row r="333" spans="1:5" x14ac:dyDescent="0.3">
      <c r="A333">
        <v>332</v>
      </c>
      <c r="B333" s="1" t="s">
        <v>112</v>
      </c>
      <c r="C333" t="s">
        <v>150</v>
      </c>
      <c r="D333">
        <v>78</v>
      </c>
      <c r="E333" t="s">
        <v>153</v>
      </c>
    </row>
    <row r="334" spans="1:5" x14ac:dyDescent="0.3">
      <c r="A334">
        <v>333</v>
      </c>
      <c r="B334" s="1" t="s">
        <v>108</v>
      </c>
      <c r="C334" t="s">
        <v>150</v>
      </c>
      <c r="D334">
        <v>43</v>
      </c>
      <c r="E334" t="s">
        <v>153</v>
      </c>
    </row>
    <row r="335" spans="1:5" x14ac:dyDescent="0.3">
      <c r="A335">
        <v>334</v>
      </c>
      <c r="B335" s="1" t="s">
        <v>99</v>
      </c>
      <c r="C335" t="s">
        <v>150</v>
      </c>
      <c r="D335">
        <v>18</v>
      </c>
      <c r="E335" t="s">
        <v>153</v>
      </c>
    </row>
    <row r="336" spans="1:5" x14ac:dyDescent="0.3">
      <c r="A336">
        <v>335</v>
      </c>
      <c r="B336" s="1" t="s">
        <v>112</v>
      </c>
      <c r="C336" t="s">
        <v>151</v>
      </c>
      <c r="D336">
        <v>65</v>
      </c>
      <c r="E336" t="s">
        <v>153</v>
      </c>
    </row>
    <row r="337" spans="1:5" x14ac:dyDescent="0.3">
      <c r="A337">
        <v>336</v>
      </c>
      <c r="B337" s="1" t="s">
        <v>104</v>
      </c>
      <c r="C337" t="s">
        <v>151</v>
      </c>
      <c r="D337">
        <v>26</v>
      </c>
      <c r="E337" t="s">
        <v>153</v>
      </c>
    </row>
    <row r="338" spans="1:5" x14ac:dyDescent="0.3">
      <c r="A338">
        <v>337</v>
      </c>
      <c r="B338" s="1" t="s">
        <v>105</v>
      </c>
      <c r="C338" t="s">
        <v>150</v>
      </c>
      <c r="D338">
        <v>58</v>
      </c>
      <c r="E338" t="s">
        <v>153</v>
      </c>
    </row>
    <row r="339" spans="1:5" x14ac:dyDescent="0.3">
      <c r="A339">
        <v>338</v>
      </c>
      <c r="B339" s="1" t="s">
        <v>112</v>
      </c>
      <c r="C339" t="s">
        <v>151</v>
      </c>
      <c r="D339">
        <v>51</v>
      </c>
      <c r="E339" t="s">
        <v>153</v>
      </c>
    </row>
    <row r="340" spans="1:5" x14ac:dyDescent="0.3">
      <c r="A340">
        <v>339</v>
      </c>
      <c r="B340" s="1" t="s">
        <v>99</v>
      </c>
      <c r="C340" t="s">
        <v>151</v>
      </c>
      <c r="D340">
        <v>25</v>
      </c>
      <c r="E340" t="s">
        <v>153</v>
      </c>
    </row>
    <row r="341" spans="1:5" x14ac:dyDescent="0.3">
      <c r="A341">
        <v>340</v>
      </c>
      <c r="B341" s="1" t="s">
        <v>99</v>
      </c>
      <c r="C341" t="s">
        <v>150</v>
      </c>
      <c r="D341">
        <v>68</v>
      </c>
      <c r="E341" t="s">
        <v>153</v>
      </c>
    </row>
    <row r="342" spans="1:5" x14ac:dyDescent="0.3">
      <c r="A342">
        <v>341</v>
      </c>
      <c r="B342" s="1" t="s">
        <v>104</v>
      </c>
      <c r="C342" t="s">
        <v>151</v>
      </c>
      <c r="D342">
        <v>44</v>
      </c>
      <c r="E342" t="s">
        <v>153</v>
      </c>
    </row>
    <row r="343" spans="1:5" x14ac:dyDescent="0.3">
      <c r="A343">
        <v>342</v>
      </c>
      <c r="B343" s="1" t="s">
        <v>112</v>
      </c>
      <c r="C343" t="s">
        <v>151</v>
      </c>
      <c r="D343">
        <v>65</v>
      </c>
      <c r="E343" t="s">
        <v>153</v>
      </c>
    </row>
    <row r="344" spans="1:5" x14ac:dyDescent="0.3">
      <c r="A344">
        <v>343</v>
      </c>
      <c r="B344" s="1" t="s">
        <v>112</v>
      </c>
      <c r="C344" t="s">
        <v>151</v>
      </c>
      <c r="D344">
        <v>88</v>
      </c>
      <c r="E344" t="s">
        <v>153</v>
      </c>
    </row>
    <row r="345" spans="1:5" x14ac:dyDescent="0.3">
      <c r="A345">
        <v>344</v>
      </c>
      <c r="B345" s="1" t="s">
        <v>101</v>
      </c>
      <c r="C345" t="s">
        <v>151</v>
      </c>
      <c r="D345">
        <v>84</v>
      </c>
      <c r="E345" t="s">
        <v>153</v>
      </c>
    </row>
    <row r="346" spans="1:5" x14ac:dyDescent="0.3">
      <c r="A346">
        <v>345</v>
      </c>
      <c r="B346" s="1" t="s">
        <v>112</v>
      </c>
      <c r="C346" t="s">
        <v>151</v>
      </c>
      <c r="D346">
        <v>31</v>
      </c>
      <c r="E346" t="s">
        <v>153</v>
      </c>
    </row>
    <row r="347" spans="1:5" x14ac:dyDescent="0.3">
      <c r="A347">
        <v>346</v>
      </c>
      <c r="B347" s="1" t="s">
        <v>104</v>
      </c>
      <c r="C347" t="s">
        <v>151</v>
      </c>
      <c r="D347">
        <v>27</v>
      </c>
      <c r="E347" t="s">
        <v>153</v>
      </c>
    </row>
    <row r="348" spans="1:5" x14ac:dyDescent="0.3">
      <c r="A348">
        <v>347</v>
      </c>
      <c r="B348" s="1" t="s">
        <v>107</v>
      </c>
      <c r="C348" t="s">
        <v>151</v>
      </c>
      <c r="D348">
        <v>59</v>
      </c>
      <c r="E348" t="s">
        <v>153</v>
      </c>
    </row>
    <row r="349" spans="1:5" x14ac:dyDescent="0.3">
      <c r="A349">
        <v>348</v>
      </c>
      <c r="B349" s="1" t="s">
        <v>99</v>
      </c>
      <c r="C349" t="s">
        <v>150</v>
      </c>
      <c r="D349">
        <v>61</v>
      </c>
      <c r="E349" t="s">
        <v>153</v>
      </c>
    </row>
    <row r="350" spans="1:5" x14ac:dyDescent="0.3">
      <c r="A350">
        <v>349</v>
      </c>
      <c r="B350" s="1" t="s">
        <v>107</v>
      </c>
      <c r="C350" t="s">
        <v>151</v>
      </c>
      <c r="D350">
        <v>55</v>
      </c>
      <c r="E350" t="s">
        <v>153</v>
      </c>
    </row>
    <row r="351" spans="1:5" x14ac:dyDescent="0.3">
      <c r="A351">
        <v>350</v>
      </c>
      <c r="B351" s="1" t="s">
        <v>108</v>
      </c>
      <c r="C351" t="s">
        <v>151</v>
      </c>
      <c r="D351">
        <v>39</v>
      </c>
      <c r="E351" t="s">
        <v>153</v>
      </c>
    </row>
    <row r="352" spans="1:5" x14ac:dyDescent="0.3">
      <c r="A352">
        <v>351</v>
      </c>
      <c r="B352" s="1" t="s">
        <v>100</v>
      </c>
      <c r="C352" t="s">
        <v>151</v>
      </c>
      <c r="D352">
        <v>87</v>
      </c>
      <c r="E352" t="s">
        <v>153</v>
      </c>
    </row>
    <row r="353" spans="1:5" x14ac:dyDescent="0.3">
      <c r="A353">
        <v>352</v>
      </c>
      <c r="B353" s="1" t="s">
        <v>99</v>
      </c>
      <c r="C353" t="s">
        <v>150</v>
      </c>
      <c r="D353">
        <v>72</v>
      </c>
      <c r="E353" t="s">
        <v>153</v>
      </c>
    </row>
    <row r="354" spans="1:5" x14ac:dyDescent="0.3">
      <c r="A354">
        <v>353</v>
      </c>
      <c r="B354" s="1" t="s">
        <v>99</v>
      </c>
      <c r="C354" t="s">
        <v>151</v>
      </c>
      <c r="D354">
        <v>66</v>
      </c>
      <c r="E354" t="s">
        <v>153</v>
      </c>
    </row>
    <row r="355" spans="1:5" x14ac:dyDescent="0.3">
      <c r="A355">
        <v>354</v>
      </c>
      <c r="B355" s="1" t="s">
        <v>112</v>
      </c>
      <c r="C355" t="s">
        <v>150</v>
      </c>
      <c r="D355">
        <v>29</v>
      </c>
      <c r="E355" t="s">
        <v>153</v>
      </c>
    </row>
    <row r="356" spans="1:5" x14ac:dyDescent="0.3">
      <c r="A356">
        <v>355</v>
      </c>
      <c r="B356" s="1" t="s">
        <v>99</v>
      </c>
      <c r="C356" t="s">
        <v>151</v>
      </c>
      <c r="D356">
        <v>49</v>
      </c>
      <c r="E356" t="s">
        <v>153</v>
      </c>
    </row>
    <row r="357" spans="1:5" x14ac:dyDescent="0.3">
      <c r="A357">
        <v>356</v>
      </c>
      <c r="B357" s="1" t="s">
        <v>112</v>
      </c>
      <c r="C357" t="s">
        <v>150</v>
      </c>
      <c r="D357">
        <v>41</v>
      </c>
      <c r="E357" t="s">
        <v>153</v>
      </c>
    </row>
    <row r="358" spans="1:5" x14ac:dyDescent="0.3">
      <c r="A358">
        <v>357</v>
      </c>
      <c r="B358" s="1" t="s">
        <v>102</v>
      </c>
      <c r="C358" t="s">
        <v>151</v>
      </c>
      <c r="D358">
        <v>70</v>
      </c>
      <c r="E358" t="s">
        <v>153</v>
      </c>
    </row>
    <row r="359" spans="1:5" x14ac:dyDescent="0.3">
      <c r="A359">
        <v>358</v>
      </c>
      <c r="B359" s="1" t="s">
        <v>104</v>
      </c>
      <c r="C359" t="s">
        <v>150</v>
      </c>
      <c r="D359">
        <v>50</v>
      </c>
      <c r="E359" t="s">
        <v>153</v>
      </c>
    </row>
    <row r="360" spans="1:5" x14ac:dyDescent="0.3">
      <c r="A360">
        <v>359</v>
      </c>
      <c r="B360" s="1" t="s">
        <v>99</v>
      </c>
      <c r="C360" t="s">
        <v>151</v>
      </c>
      <c r="D360">
        <v>37</v>
      </c>
      <c r="E360" t="s">
        <v>153</v>
      </c>
    </row>
    <row r="361" spans="1:5" x14ac:dyDescent="0.3">
      <c r="A361">
        <v>360</v>
      </c>
      <c r="B361" s="1" t="s">
        <v>112</v>
      </c>
      <c r="C361" t="s">
        <v>150</v>
      </c>
      <c r="D361">
        <v>32</v>
      </c>
      <c r="E361" t="s">
        <v>153</v>
      </c>
    </row>
    <row r="362" spans="1:5" x14ac:dyDescent="0.3">
      <c r="A362">
        <v>361</v>
      </c>
      <c r="B362" s="1" t="s">
        <v>106</v>
      </c>
      <c r="C362" t="s">
        <v>150</v>
      </c>
      <c r="D362">
        <v>87</v>
      </c>
      <c r="E362" t="s">
        <v>153</v>
      </c>
    </row>
    <row r="363" spans="1:5" x14ac:dyDescent="0.3">
      <c r="A363">
        <v>362</v>
      </c>
      <c r="B363" s="1" t="s">
        <v>112</v>
      </c>
      <c r="C363" t="s">
        <v>150</v>
      </c>
      <c r="D363">
        <v>68</v>
      </c>
      <c r="E363" t="s">
        <v>153</v>
      </c>
    </row>
    <row r="364" spans="1:5" x14ac:dyDescent="0.3">
      <c r="A364">
        <v>363</v>
      </c>
      <c r="B364" s="1" t="s">
        <v>112</v>
      </c>
      <c r="C364" t="s">
        <v>151</v>
      </c>
      <c r="D364">
        <v>48</v>
      </c>
      <c r="E364" t="s">
        <v>153</v>
      </c>
    </row>
    <row r="365" spans="1:5" x14ac:dyDescent="0.3">
      <c r="A365">
        <v>364</v>
      </c>
      <c r="B365" s="1" t="s">
        <v>104</v>
      </c>
      <c r="C365" t="s">
        <v>150</v>
      </c>
      <c r="D365">
        <v>18</v>
      </c>
      <c r="E365" t="s">
        <v>153</v>
      </c>
    </row>
    <row r="366" spans="1:5" x14ac:dyDescent="0.3">
      <c r="A366">
        <v>365</v>
      </c>
      <c r="B366" s="1" t="s">
        <v>99</v>
      </c>
      <c r="C366" t="s">
        <v>150</v>
      </c>
      <c r="D366">
        <v>46</v>
      </c>
      <c r="E366" t="s">
        <v>153</v>
      </c>
    </row>
    <row r="367" spans="1:5" x14ac:dyDescent="0.3">
      <c r="A367">
        <v>366</v>
      </c>
      <c r="B367" s="1" t="s">
        <v>112</v>
      </c>
      <c r="C367" t="s">
        <v>151</v>
      </c>
      <c r="D367">
        <v>79</v>
      </c>
      <c r="E367" t="s">
        <v>153</v>
      </c>
    </row>
    <row r="368" spans="1:5" x14ac:dyDescent="0.3">
      <c r="A368">
        <v>367</v>
      </c>
      <c r="B368" s="1" t="s">
        <v>112</v>
      </c>
      <c r="C368" t="s">
        <v>150</v>
      </c>
      <c r="D368">
        <v>23</v>
      </c>
      <c r="E368" t="s">
        <v>153</v>
      </c>
    </row>
    <row r="369" spans="1:5" x14ac:dyDescent="0.3">
      <c r="A369">
        <v>368</v>
      </c>
      <c r="B369" s="1" t="s">
        <v>101</v>
      </c>
      <c r="C369" t="s">
        <v>151</v>
      </c>
      <c r="D369">
        <v>58</v>
      </c>
      <c r="E369" t="s">
        <v>153</v>
      </c>
    </row>
    <row r="370" spans="1:5" x14ac:dyDescent="0.3">
      <c r="A370">
        <v>369</v>
      </c>
      <c r="B370" s="1" t="s">
        <v>99</v>
      </c>
      <c r="C370" t="s">
        <v>151</v>
      </c>
      <c r="D370">
        <v>39</v>
      </c>
      <c r="E370" t="s">
        <v>153</v>
      </c>
    </row>
    <row r="371" spans="1:5" x14ac:dyDescent="0.3">
      <c r="A371">
        <v>370</v>
      </c>
      <c r="B371" s="1" t="s">
        <v>100</v>
      </c>
      <c r="C371" t="s">
        <v>151</v>
      </c>
      <c r="D371">
        <v>35</v>
      </c>
      <c r="E371" t="s">
        <v>153</v>
      </c>
    </row>
    <row r="372" spans="1:5" x14ac:dyDescent="0.3">
      <c r="A372">
        <v>371</v>
      </c>
      <c r="B372" s="1" t="s">
        <v>104</v>
      </c>
      <c r="C372" t="s">
        <v>150</v>
      </c>
      <c r="D372">
        <v>68</v>
      </c>
      <c r="E372" t="s">
        <v>153</v>
      </c>
    </row>
    <row r="373" spans="1:5" x14ac:dyDescent="0.3">
      <c r="A373">
        <v>372</v>
      </c>
      <c r="B373" s="1" t="s">
        <v>112</v>
      </c>
      <c r="C373" t="s">
        <v>150</v>
      </c>
      <c r="D373">
        <v>60</v>
      </c>
      <c r="E373" t="s">
        <v>153</v>
      </c>
    </row>
    <row r="374" spans="1:5" x14ac:dyDescent="0.3">
      <c r="A374">
        <v>373</v>
      </c>
      <c r="B374" s="1" t="s">
        <v>112</v>
      </c>
      <c r="C374" t="s">
        <v>151</v>
      </c>
      <c r="D374">
        <v>89</v>
      </c>
      <c r="E374" t="s">
        <v>153</v>
      </c>
    </row>
    <row r="375" spans="1:5" x14ac:dyDescent="0.3">
      <c r="A375">
        <v>374</v>
      </c>
      <c r="B375" s="1" t="s">
        <v>107</v>
      </c>
      <c r="C375" t="s">
        <v>150</v>
      </c>
      <c r="D375">
        <v>71</v>
      </c>
      <c r="E375" t="s">
        <v>153</v>
      </c>
    </row>
    <row r="376" spans="1:5" x14ac:dyDescent="0.3">
      <c r="A376">
        <v>375</v>
      </c>
      <c r="B376" s="1" t="s">
        <v>100</v>
      </c>
      <c r="C376" t="s">
        <v>151</v>
      </c>
      <c r="D376">
        <v>45</v>
      </c>
      <c r="E376" t="s">
        <v>153</v>
      </c>
    </row>
    <row r="377" spans="1:5" x14ac:dyDescent="0.3">
      <c r="A377">
        <v>376</v>
      </c>
      <c r="B377" s="1" t="s">
        <v>112</v>
      </c>
      <c r="C377" t="s">
        <v>151</v>
      </c>
      <c r="D377">
        <v>89</v>
      </c>
      <c r="E377" t="s">
        <v>153</v>
      </c>
    </row>
    <row r="378" spans="1:5" x14ac:dyDescent="0.3">
      <c r="A378">
        <v>377</v>
      </c>
      <c r="B378" s="1" t="s">
        <v>112</v>
      </c>
      <c r="C378" t="s">
        <v>151</v>
      </c>
      <c r="D378">
        <v>56</v>
      </c>
      <c r="E378" t="s">
        <v>153</v>
      </c>
    </row>
    <row r="379" spans="1:5" x14ac:dyDescent="0.3">
      <c r="A379">
        <v>378</v>
      </c>
      <c r="B379" s="1" t="s">
        <v>109</v>
      </c>
      <c r="C379" t="s">
        <v>150</v>
      </c>
      <c r="D379">
        <v>69</v>
      </c>
      <c r="E379" t="s">
        <v>153</v>
      </c>
    </row>
    <row r="380" spans="1:5" x14ac:dyDescent="0.3">
      <c r="A380">
        <v>379</v>
      </c>
      <c r="B380" s="1" t="s">
        <v>112</v>
      </c>
      <c r="C380" t="s">
        <v>150</v>
      </c>
      <c r="D380">
        <v>58</v>
      </c>
      <c r="E380" t="s">
        <v>153</v>
      </c>
    </row>
    <row r="381" spans="1:5" x14ac:dyDescent="0.3">
      <c r="A381">
        <v>380</v>
      </c>
      <c r="B381" s="1" t="s">
        <v>99</v>
      </c>
      <c r="C381" t="s">
        <v>151</v>
      </c>
      <c r="D381">
        <v>29</v>
      </c>
      <c r="E381" t="s">
        <v>153</v>
      </c>
    </row>
    <row r="382" spans="1:5" x14ac:dyDescent="0.3">
      <c r="A382">
        <v>381</v>
      </c>
      <c r="B382" s="1" t="s">
        <v>106</v>
      </c>
      <c r="C382" t="s">
        <v>150</v>
      </c>
      <c r="D382">
        <v>86</v>
      </c>
      <c r="E382" t="s">
        <v>153</v>
      </c>
    </row>
    <row r="383" spans="1:5" x14ac:dyDescent="0.3">
      <c r="A383">
        <v>382</v>
      </c>
      <c r="B383" s="1" t="s">
        <v>112</v>
      </c>
      <c r="C383" t="s">
        <v>150</v>
      </c>
      <c r="D383">
        <v>81</v>
      </c>
      <c r="E383" t="s">
        <v>153</v>
      </c>
    </row>
    <row r="384" spans="1:5" x14ac:dyDescent="0.3">
      <c r="A384">
        <v>383</v>
      </c>
      <c r="B384" s="1" t="s">
        <v>99</v>
      </c>
      <c r="C384" t="s">
        <v>151</v>
      </c>
      <c r="D384">
        <v>57</v>
      </c>
      <c r="E384" t="s">
        <v>153</v>
      </c>
    </row>
    <row r="385" spans="1:5" x14ac:dyDescent="0.3">
      <c r="A385">
        <v>384</v>
      </c>
      <c r="B385" s="1" t="s">
        <v>100</v>
      </c>
      <c r="C385" t="s">
        <v>150</v>
      </c>
      <c r="D385">
        <v>87</v>
      </c>
      <c r="E385" t="s">
        <v>153</v>
      </c>
    </row>
    <row r="386" spans="1:5" x14ac:dyDescent="0.3">
      <c r="A386">
        <v>385</v>
      </c>
      <c r="B386" s="1" t="s">
        <v>100</v>
      </c>
      <c r="C386" t="s">
        <v>151</v>
      </c>
      <c r="D386">
        <v>54</v>
      </c>
      <c r="E386" t="s">
        <v>153</v>
      </c>
    </row>
    <row r="387" spans="1:5" x14ac:dyDescent="0.3">
      <c r="A387">
        <v>386</v>
      </c>
      <c r="B387" s="1" t="s">
        <v>112</v>
      </c>
      <c r="C387" t="s">
        <v>151</v>
      </c>
      <c r="D387">
        <v>75</v>
      </c>
      <c r="E387" t="s">
        <v>153</v>
      </c>
    </row>
    <row r="388" spans="1:5" x14ac:dyDescent="0.3">
      <c r="A388">
        <v>387</v>
      </c>
      <c r="B388" s="1" t="s">
        <v>100</v>
      </c>
      <c r="C388" t="s">
        <v>151</v>
      </c>
      <c r="D388">
        <v>41</v>
      </c>
      <c r="E388" t="s">
        <v>153</v>
      </c>
    </row>
    <row r="389" spans="1:5" x14ac:dyDescent="0.3">
      <c r="A389">
        <v>388</v>
      </c>
      <c r="B389" s="1" t="s">
        <v>102</v>
      </c>
      <c r="C389" t="s">
        <v>150</v>
      </c>
      <c r="D389">
        <v>68</v>
      </c>
      <c r="E389" t="s">
        <v>153</v>
      </c>
    </row>
    <row r="390" spans="1:5" x14ac:dyDescent="0.3">
      <c r="A390">
        <v>389</v>
      </c>
      <c r="B390" s="1" t="s">
        <v>100</v>
      </c>
      <c r="C390" t="s">
        <v>151</v>
      </c>
      <c r="D390">
        <v>22</v>
      </c>
      <c r="E390" t="s">
        <v>153</v>
      </c>
    </row>
    <row r="391" spans="1:5" x14ac:dyDescent="0.3">
      <c r="A391">
        <v>390</v>
      </c>
      <c r="B391" s="1" t="s">
        <v>112</v>
      </c>
      <c r="C391" t="s">
        <v>150</v>
      </c>
      <c r="D391">
        <v>89</v>
      </c>
      <c r="E391" t="s">
        <v>153</v>
      </c>
    </row>
    <row r="392" spans="1:5" x14ac:dyDescent="0.3">
      <c r="A392">
        <v>391</v>
      </c>
      <c r="B392" s="1" t="s">
        <v>99</v>
      </c>
      <c r="C392" t="s">
        <v>151</v>
      </c>
      <c r="D392">
        <v>86</v>
      </c>
      <c r="E392" t="s">
        <v>153</v>
      </c>
    </row>
    <row r="393" spans="1:5" x14ac:dyDescent="0.3">
      <c r="A393">
        <v>392</v>
      </c>
      <c r="B393" s="1" t="s">
        <v>112</v>
      </c>
      <c r="C393" t="s">
        <v>150</v>
      </c>
      <c r="D393">
        <v>79</v>
      </c>
      <c r="E393" t="s">
        <v>153</v>
      </c>
    </row>
    <row r="394" spans="1:5" x14ac:dyDescent="0.3">
      <c r="A394">
        <v>393</v>
      </c>
      <c r="B394" s="1" t="s">
        <v>112</v>
      </c>
      <c r="C394" t="s">
        <v>151</v>
      </c>
      <c r="D394">
        <v>19</v>
      </c>
      <c r="E394" t="s">
        <v>153</v>
      </c>
    </row>
    <row r="395" spans="1:5" x14ac:dyDescent="0.3">
      <c r="A395">
        <v>394</v>
      </c>
      <c r="B395" s="1" t="s">
        <v>112</v>
      </c>
      <c r="C395" t="s">
        <v>151</v>
      </c>
      <c r="D395">
        <v>65</v>
      </c>
      <c r="E395" t="s">
        <v>153</v>
      </c>
    </row>
    <row r="396" spans="1:5" x14ac:dyDescent="0.3">
      <c r="A396">
        <v>395</v>
      </c>
      <c r="B396" s="1" t="s">
        <v>112</v>
      </c>
      <c r="C396" t="s">
        <v>151</v>
      </c>
      <c r="D396">
        <v>22</v>
      </c>
      <c r="E396" t="s">
        <v>153</v>
      </c>
    </row>
    <row r="397" spans="1:5" x14ac:dyDescent="0.3">
      <c r="A397">
        <v>396</v>
      </c>
      <c r="B397" s="1" t="s">
        <v>104</v>
      </c>
      <c r="C397" t="s">
        <v>151</v>
      </c>
      <c r="D397">
        <v>53</v>
      </c>
      <c r="E397" t="s">
        <v>153</v>
      </c>
    </row>
    <row r="398" spans="1:5" x14ac:dyDescent="0.3">
      <c r="A398">
        <v>397</v>
      </c>
      <c r="B398" s="1" t="s">
        <v>104</v>
      </c>
      <c r="C398" t="s">
        <v>151</v>
      </c>
      <c r="D398">
        <v>30</v>
      </c>
      <c r="E398" t="s">
        <v>153</v>
      </c>
    </row>
    <row r="399" spans="1:5" x14ac:dyDescent="0.3">
      <c r="A399">
        <v>398</v>
      </c>
      <c r="B399" s="1" t="s">
        <v>99</v>
      </c>
      <c r="C399" t="s">
        <v>150</v>
      </c>
      <c r="D399">
        <v>50</v>
      </c>
      <c r="E399" t="s">
        <v>153</v>
      </c>
    </row>
    <row r="400" spans="1:5" x14ac:dyDescent="0.3">
      <c r="A400">
        <v>399</v>
      </c>
      <c r="B400" s="1" t="s">
        <v>112</v>
      </c>
      <c r="C400" t="s">
        <v>151</v>
      </c>
      <c r="D400">
        <v>83</v>
      </c>
      <c r="E400" t="s">
        <v>153</v>
      </c>
    </row>
    <row r="401" spans="1:5" x14ac:dyDescent="0.3">
      <c r="A401">
        <v>400</v>
      </c>
      <c r="B401" s="1" t="s">
        <v>100</v>
      </c>
      <c r="C401" t="s">
        <v>150</v>
      </c>
      <c r="D401">
        <v>80</v>
      </c>
      <c r="E401" t="s">
        <v>153</v>
      </c>
    </row>
    <row r="402" spans="1:5" x14ac:dyDescent="0.3">
      <c r="A402">
        <v>401</v>
      </c>
      <c r="B402" s="1" t="s">
        <v>112</v>
      </c>
      <c r="C402" t="s">
        <v>150</v>
      </c>
      <c r="D402">
        <v>36</v>
      </c>
      <c r="E402" t="s">
        <v>153</v>
      </c>
    </row>
    <row r="403" spans="1:5" x14ac:dyDescent="0.3">
      <c r="A403">
        <v>402</v>
      </c>
      <c r="B403" s="1" t="s">
        <v>112</v>
      </c>
      <c r="C403" t="s">
        <v>150</v>
      </c>
      <c r="D403">
        <v>27</v>
      </c>
      <c r="E403" t="s">
        <v>153</v>
      </c>
    </row>
    <row r="404" spans="1:5" x14ac:dyDescent="0.3">
      <c r="A404">
        <v>403</v>
      </c>
      <c r="B404" s="1" t="s">
        <v>101</v>
      </c>
      <c r="C404" t="s">
        <v>150</v>
      </c>
      <c r="D404">
        <v>61</v>
      </c>
      <c r="E404" t="s">
        <v>153</v>
      </c>
    </row>
    <row r="405" spans="1:5" x14ac:dyDescent="0.3">
      <c r="A405">
        <v>404</v>
      </c>
      <c r="B405" s="1" t="s">
        <v>108</v>
      </c>
      <c r="C405" t="s">
        <v>151</v>
      </c>
      <c r="D405">
        <v>26</v>
      </c>
      <c r="E405" t="s">
        <v>153</v>
      </c>
    </row>
    <row r="406" spans="1:5" x14ac:dyDescent="0.3">
      <c r="A406">
        <v>405</v>
      </c>
      <c r="B406" s="1" t="s">
        <v>112</v>
      </c>
      <c r="C406" t="s">
        <v>151</v>
      </c>
      <c r="D406">
        <v>83</v>
      </c>
      <c r="E406" t="s">
        <v>153</v>
      </c>
    </row>
    <row r="407" spans="1:5" x14ac:dyDescent="0.3">
      <c r="A407">
        <v>406</v>
      </c>
      <c r="B407" s="1" t="s">
        <v>112</v>
      </c>
      <c r="C407" t="s">
        <v>151</v>
      </c>
      <c r="D407">
        <v>34</v>
      </c>
      <c r="E407" t="s">
        <v>153</v>
      </c>
    </row>
    <row r="408" spans="1:5" x14ac:dyDescent="0.3">
      <c r="A408">
        <v>407</v>
      </c>
      <c r="B408" s="1" t="s">
        <v>99</v>
      </c>
      <c r="C408" t="s">
        <v>151</v>
      </c>
      <c r="D408">
        <v>90</v>
      </c>
      <c r="E408" t="s">
        <v>153</v>
      </c>
    </row>
    <row r="409" spans="1:5" x14ac:dyDescent="0.3">
      <c r="A409">
        <v>408</v>
      </c>
      <c r="B409" s="1" t="s">
        <v>99</v>
      </c>
      <c r="C409" t="s">
        <v>150</v>
      </c>
      <c r="D409">
        <v>38</v>
      </c>
      <c r="E409" t="s">
        <v>153</v>
      </c>
    </row>
    <row r="410" spans="1:5" x14ac:dyDescent="0.3">
      <c r="A410">
        <v>409</v>
      </c>
      <c r="B410" s="1" t="s">
        <v>104</v>
      </c>
      <c r="C410" t="s">
        <v>150</v>
      </c>
      <c r="D410">
        <v>64</v>
      </c>
      <c r="E410" t="s">
        <v>153</v>
      </c>
    </row>
    <row r="411" spans="1:5" x14ac:dyDescent="0.3">
      <c r="A411">
        <v>410</v>
      </c>
      <c r="B411" s="1" t="s">
        <v>112</v>
      </c>
      <c r="C411" t="s">
        <v>151</v>
      </c>
      <c r="D411">
        <v>39</v>
      </c>
      <c r="E411" t="s">
        <v>153</v>
      </c>
    </row>
    <row r="412" spans="1:5" x14ac:dyDescent="0.3">
      <c r="A412">
        <v>411</v>
      </c>
      <c r="B412" s="1" t="s">
        <v>105</v>
      </c>
      <c r="C412" t="s">
        <v>150</v>
      </c>
      <c r="D412">
        <v>31</v>
      </c>
      <c r="E412" t="s">
        <v>153</v>
      </c>
    </row>
    <row r="413" spans="1:5" x14ac:dyDescent="0.3">
      <c r="A413">
        <v>412</v>
      </c>
      <c r="B413" s="1" t="s">
        <v>112</v>
      </c>
      <c r="C413" t="s">
        <v>151</v>
      </c>
      <c r="D413">
        <v>41</v>
      </c>
      <c r="E413" t="s">
        <v>153</v>
      </c>
    </row>
    <row r="414" spans="1:5" x14ac:dyDescent="0.3">
      <c r="A414">
        <v>413</v>
      </c>
      <c r="B414" s="1" t="s">
        <v>104</v>
      </c>
      <c r="C414" t="s">
        <v>150</v>
      </c>
      <c r="D414">
        <v>47</v>
      </c>
      <c r="E414" t="s">
        <v>153</v>
      </c>
    </row>
    <row r="415" spans="1:5" x14ac:dyDescent="0.3">
      <c r="A415">
        <v>414</v>
      </c>
      <c r="B415" s="1" t="s">
        <v>112</v>
      </c>
      <c r="C415" t="s">
        <v>150</v>
      </c>
      <c r="D415">
        <v>86</v>
      </c>
      <c r="E415" t="s">
        <v>153</v>
      </c>
    </row>
    <row r="416" spans="1:5" x14ac:dyDescent="0.3">
      <c r="A416">
        <v>415</v>
      </c>
      <c r="B416" s="1" t="s">
        <v>112</v>
      </c>
      <c r="C416" t="s">
        <v>150</v>
      </c>
      <c r="D416">
        <v>60</v>
      </c>
      <c r="E416" t="s">
        <v>153</v>
      </c>
    </row>
    <row r="417" spans="1:5" x14ac:dyDescent="0.3">
      <c r="A417">
        <v>416</v>
      </c>
      <c r="B417" s="1" t="s">
        <v>112</v>
      </c>
      <c r="C417" t="s">
        <v>151</v>
      </c>
      <c r="D417">
        <v>64</v>
      </c>
      <c r="E417" t="s">
        <v>153</v>
      </c>
    </row>
    <row r="418" spans="1:5" x14ac:dyDescent="0.3">
      <c r="A418">
        <v>417</v>
      </c>
      <c r="B418" s="1" t="s">
        <v>99</v>
      </c>
      <c r="C418" t="s">
        <v>150</v>
      </c>
      <c r="D418">
        <v>53</v>
      </c>
      <c r="E418" t="s">
        <v>153</v>
      </c>
    </row>
    <row r="419" spans="1:5" x14ac:dyDescent="0.3">
      <c r="A419">
        <v>418</v>
      </c>
      <c r="B419" s="1" t="s">
        <v>105</v>
      </c>
      <c r="C419" t="s">
        <v>151</v>
      </c>
      <c r="D419">
        <v>22</v>
      </c>
      <c r="E419" t="s">
        <v>153</v>
      </c>
    </row>
    <row r="420" spans="1:5" x14ac:dyDescent="0.3">
      <c r="A420">
        <v>419</v>
      </c>
      <c r="B420" s="1" t="s">
        <v>99</v>
      </c>
      <c r="C420" t="s">
        <v>150</v>
      </c>
      <c r="D420">
        <v>66</v>
      </c>
      <c r="E420" t="s">
        <v>153</v>
      </c>
    </row>
    <row r="421" spans="1:5" x14ac:dyDescent="0.3">
      <c r="A421">
        <v>420</v>
      </c>
      <c r="B421" s="1" t="s">
        <v>104</v>
      </c>
      <c r="C421" t="s">
        <v>151</v>
      </c>
      <c r="D421">
        <v>72</v>
      </c>
      <c r="E421" t="s">
        <v>153</v>
      </c>
    </row>
    <row r="422" spans="1:5" x14ac:dyDescent="0.3">
      <c r="A422">
        <v>421</v>
      </c>
      <c r="B422" s="1" t="s">
        <v>106</v>
      </c>
      <c r="C422" t="s">
        <v>150</v>
      </c>
      <c r="D422">
        <v>90</v>
      </c>
      <c r="E422" t="s">
        <v>153</v>
      </c>
    </row>
    <row r="423" spans="1:5" x14ac:dyDescent="0.3">
      <c r="A423">
        <v>422</v>
      </c>
      <c r="B423" s="1" t="s">
        <v>112</v>
      </c>
      <c r="C423" t="s">
        <v>151</v>
      </c>
      <c r="D423">
        <v>64</v>
      </c>
      <c r="E423" t="s">
        <v>153</v>
      </c>
    </row>
    <row r="424" spans="1:5" x14ac:dyDescent="0.3">
      <c r="A424">
        <v>423</v>
      </c>
      <c r="B424" s="1" t="s">
        <v>105</v>
      </c>
      <c r="C424" t="s">
        <v>151</v>
      </c>
      <c r="D424">
        <v>27</v>
      </c>
      <c r="E424" t="s">
        <v>153</v>
      </c>
    </row>
    <row r="425" spans="1:5" x14ac:dyDescent="0.3">
      <c r="A425">
        <v>424</v>
      </c>
      <c r="B425" s="1" t="s">
        <v>104</v>
      </c>
      <c r="C425" t="s">
        <v>150</v>
      </c>
      <c r="D425">
        <v>66</v>
      </c>
      <c r="E425" t="s">
        <v>153</v>
      </c>
    </row>
    <row r="426" spans="1:5" x14ac:dyDescent="0.3">
      <c r="A426">
        <v>425</v>
      </c>
      <c r="B426" s="1" t="s">
        <v>112</v>
      </c>
      <c r="C426" t="s">
        <v>150</v>
      </c>
      <c r="D426">
        <v>51</v>
      </c>
      <c r="E426" t="s">
        <v>153</v>
      </c>
    </row>
    <row r="427" spans="1:5" x14ac:dyDescent="0.3">
      <c r="A427">
        <v>426</v>
      </c>
      <c r="B427" s="1" t="s">
        <v>105</v>
      </c>
      <c r="C427" t="s">
        <v>151</v>
      </c>
      <c r="D427">
        <v>78</v>
      </c>
      <c r="E427" t="s">
        <v>153</v>
      </c>
    </row>
    <row r="428" spans="1:5" x14ac:dyDescent="0.3">
      <c r="A428">
        <v>427</v>
      </c>
      <c r="B428" s="1" t="s">
        <v>112</v>
      </c>
      <c r="C428" t="s">
        <v>150</v>
      </c>
      <c r="D428">
        <v>59</v>
      </c>
      <c r="E428" t="s">
        <v>153</v>
      </c>
    </row>
    <row r="429" spans="1:5" x14ac:dyDescent="0.3">
      <c r="A429">
        <v>428</v>
      </c>
      <c r="B429" s="1" t="s">
        <v>100</v>
      </c>
      <c r="C429" t="s">
        <v>151</v>
      </c>
      <c r="D429">
        <v>87</v>
      </c>
      <c r="E429" t="s">
        <v>153</v>
      </c>
    </row>
    <row r="430" spans="1:5" x14ac:dyDescent="0.3">
      <c r="A430">
        <v>429</v>
      </c>
      <c r="B430" s="1" t="s">
        <v>108</v>
      </c>
      <c r="C430" t="s">
        <v>151</v>
      </c>
      <c r="D430">
        <v>58</v>
      </c>
      <c r="E430" t="s">
        <v>153</v>
      </c>
    </row>
    <row r="431" spans="1:5" x14ac:dyDescent="0.3">
      <c r="A431">
        <v>430</v>
      </c>
      <c r="B431" s="1" t="s">
        <v>112</v>
      </c>
      <c r="C431" t="s">
        <v>150</v>
      </c>
      <c r="D431">
        <v>82</v>
      </c>
      <c r="E431" t="s">
        <v>153</v>
      </c>
    </row>
    <row r="432" spans="1:5" x14ac:dyDescent="0.3">
      <c r="A432">
        <v>431</v>
      </c>
      <c r="B432" s="1" t="s">
        <v>112</v>
      </c>
      <c r="C432" t="s">
        <v>151</v>
      </c>
      <c r="D432">
        <v>34</v>
      </c>
      <c r="E432" t="s">
        <v>153</v>
      </c>
    </row>
    <row r="433" spans="1:5" x14ac:dyDescent="0.3">
      <c r="A433">
        <v>432</v>
      </c>
      <c r="B433" s="1" t="s">
        <v>104</v>
      </c>
      <c r="C433" t="s">
        <v>151</v>
      </c>
      <c r="D433">
        <v>32</v>
      </c>
      <c r="E433" t="s">
        <v>153</v>
      </c>
    </row>
    <row r="434" spans="1:5" x14ac:dyDescent="0.3">
      <c r="A434">
        <v>433</v>
      </c>
      <c r="B434" s="1" t="s">
        <v>112</v>
      </c>
      <c r="C434" t="s">
        <v>150</v>
      </c>
      <c r="D434">
        <v>55</v>
      </c>
      <c r="E434" t="s">
        <v>153</v>
      </c>
    </row>
    <row r="435" spans="1:5" x14ac:dyDescent="0.3">
      <c r="A435">
        <v>434</v>
      </c>
      <c r="B435" s="1" t="s">
        <v>102</v>
      </c>
      <c r="C435" t="s">
        <v>150</v>
      </c>
      <c r="D435">
        <v>21</v>
      </c>
      <c r="E435" t="s">
        <v>153</v>
      </c>
    </row>
    <row r="436" spans="1:5" x14ac:dyDescent="0.3">
      <c r="A436">
        <v>435</v>
      </c>
      <c r="B436" s="1" t="s">
        <v>112</v>
      </c>
      <c r="C436" t="s">
        <v>151</v>
      </c>
      <c r="D436">
        <v>89</v>
      </c>
      <c r="E436" t="s">
        <v>153</v>
      </c>
    </row>
    <row r="437" spans="1:5" x14ac:dyDescent="0.3">
      <c r="A437">
        <v>436</v>
      </c>
      <c r="B437" s="1" t="s">
        <v>104</v>
      </c>
      <c r="C437" t="s">
        <v>150</v>
      </c>
      <c r="D437">
        <v>81</v>
      </c>
      <c r="E437" t="s">
        <v>153</v>
      </c>
    </row>
    <row r="438" spans="1:5" x14ac:dyDescent="0.3">
      <c r="A438">
        <v>437</v>
      </c>
      <c r="B438" s="1" t="s">
        <v>98</v>
      </c>
      <c r="C438" t="s">
        <v>151</v>
      </c>
      <c r="D438">
        <v>22</v>
      </c>
      <c r="E438" t="s">
        <v>153</v>
      </c>
    </row>
    <row r="439" spans="1:5" x14ac:dyDescent="0.3">
      <c r="A439">
        <v>438</v>
      </c>
      <c r="B439" s="1" t="s">
        <v>98</v>
      </c>
      <c r="C439" t="s">
        <v>150</v>
      </c>
      <c r="D439">
        <v>25</v>
      </c>
      <c r="E439" t="s">
        <v>153</v>
      </c>
    </row>
    <row r="440" spans="1:5" x14ac:dyDescent="0.3">
      <c r="A440">
        <v>439</v>
      </c>
      <c r="B440" s="1" t="s">
        <v>104</v>
      </c>
      <c r="C440" t="s">
        <v>150</v>
      </c>
      <c r="D440">
        <v>74</v>
      </c>
      <c r="E440" t="s">
        <v>153</v>
      </c>
    </row>
    <row r="441" spans="1:5" x14ac:dyDescent="0.3">
      <c r="A441">
        <v>440</v>
      </c>
      <c r="B441" s="1" t="s">
        <v>108</v>
      </c>
      <c r="C441" t="s">
        <v>150</v>
      </c>
      <c r="D441">
        <v>83</v>
      </c>
      <c r="E441" t="s">
        <v>153</v>
      </c>
    </row>
    <row r="442" spans="1:5" x14ac:dyDescent="0.3">
      <c r="A442">
        <v>441</v>
      </c>
      <c r="B442" s="1" t="s">
        <v>98</v>
      </c>
      <c r="C442" t="s">
        <v>150</v>
      </c>
      <c r="D442">
        <v>77</v>
      </c>
      <c r="E442" t="s">
        <v>153</v>
      </c>
    </row>
    <row r="443" spans="1:5" x14ac:dyDescent="0.3">
      <c r="A443">
        <v>442</v>
      </c>
      <c r="B443" s="1" t="s">
        <v>98</v>
      </c>
      <c r="C443" t="s">
        <v>150</v>
      </c>
      <c r="D443">
        <v>62</v>
      </c>
      <c r="E443" t="s">
        <v>153</v>
      </c>
    </row>
    <row r="444" spans="1:5" x14ac:dyDescent="0.3">
      <c r="A444">
        <v>443</v>
      </c>
      <c r="B444" s="1" t="s">
        <v>98</v>
      </c>
      <c r="C444" t="s">
        <v>151</v>
      </c>
      <c r="D444">
        <v>18</v>
      </c>
      <c r="E444" t="s">
        <v>153</v>
      </c>
    </row>
    <row r="445" spans="1:5" x14ac:dyDescent="0.3">
      <c r="A445">
        <v>444</v>
      </c>
      <c r="B445" s="1" t="s">
        <v>104</v>
      </c>
      <c r="C445" t="s">
        <v>151</v>
      </c>
      <c r="D445">
        <v>23</v>
      </c>
      <c r="E445" t="s">
        <v>153</v>
      </c>
    </row>
    <row r="446" spans="1:5" x14ac:dyDescent="0.3">
      <c r="A446">
        <v>445</v>
      </c>
      <c r="B446" s="1" t="s">
        <v>98</v>
      </c>
      <c r="C446" t="s">
        <v>151</v>
      </c>
      <c r="D446">
        <v>47</v>
      </c>
      <c r="E446" t="s">
        <v>153</v>
      </c>
    </row>
    <row r="447" spans="1:5" x14ac:dyDescent="0.3">
      <c r="A447">
        <v>446</v>
      </c>
      <c r="B447" s="1" t="s">
        <v>98</v>
      </c>
      <c r="C447" t="s">
        <v>150</v>
      </c>
      <c r="D447">
        <v>67</v>
      </c>
      <c r="E447" t="s">
        <v>153</v>
      </c>
    </row>
    <row r="448" spans="1:5" x14ac:dyDescent="0.3">
      <c r="A448">
        <v>447</v>
      </c>
      <c r="B448" s="1" t="s">
        <v>98</v>
      </c>
      <c r="C448" t="s">
        <v>151</v>
      </c>
      <c r="D448">
        <v>77</v>
      </c>
      <c r="E448" t="s">
        <v>153</v>
      </c>
    </row>
    <row r="449" spans="1:5" x14ac:dyDescent="0.3">
      <c r="A449">
        <v>448</v>
      </c>
      <c r="B449" s="1" t="s">
        <v>100</v>
      </c>
      <c r="C449" t="s">
        <v>150</v>
      </c>
      <c r="D449">
        <v>64</v>
      </c>
      <c r="E449" t="s">
        <v>153</v>
      </c>
    </row>
    <row r="450" spans="1:5" x14ac:dyDescent="0.3">
      <c r="A450">
        <v>449</v>
      </c>
      <c r="B450" s="1" t="s">
        <v>98</v>
      </c>
      <c r="C450" t="s">
        <v>150</v>
      </c>
      <c r="D450">
        <v>53</v>
      </c>
      <c r="E450" t="s">
        <v>153</v>
      </c>
    </row>
    <row r="451" spans="1:5" x14ac:dyDescent="0.3">
      <c r="A451">
        <v>450</v>
      </c>
      <c r="B451" s="1" t="s">
        <v>106</v>
      </c>
      <c r="C451" t="s">
        <v>151</v>
      </c>
      <c r="D451">
        <v>53</v>
      </c>
      <c r="E451" t="s">
        <v>153</v>
      </c>
    </row>
    <row r="452" spans="1:5" x14ac:dyDescent="0.3">
      <c r="A452">
        <v>451</v>
      </c>
      <c r="B452" s="1" t="s">
        <v>102</v>
      </c>
      <c r="C452" t="s">
        <v>150</v>
      </c>
      <c r="D452">
        <v>74</v>
      </c>
      <c r="E452" t="s">
        <v>153</v>
      </c>
    </row>
    <row r="453" spans="1:5" x14ac:dyDescent="0.3">
      <c r="A453">
        <v>452</v>
      </c>
      <c r="B453" s="1" t="s">
        <v>104</v>
      </c>
      <c r="C453" t="s">
        <v>150</v>
      </c>
      <c r="D453">
        <v>75</v>
      </c>
      <c r="E453" t="s">
        <v>153</v>
      </c>
    </row>
    <row r="454" spans="1:5" x14ac:dyDescent="0.3">
      <c r="A454">
        <v>453</v>
      </c>
      <c r="B454" s="1" t="s">
        <v>99</v>
      </c>
      <c r="C454" t="s">
        <v>150</v>
      </c>
      <c r="D454">
        <v>52</v>
      </c>
      <c r="E454" t="s">
        <v>153</v>
      </c>
    </row>
    <row r="455" spans="1:5" x14ac:dyDescent="0.3">
      <c r="A455">
        <v>454</v>
      </c>
      <c r="B455" s="1" t="s">
        <v>98</v>
      </c>
      <c r="C455" t="s">
        <v>151</v>
      </c>
      <c r="D455">
        <v>37</v>
      </c>
      <c r="E455" t="s">
        <v>153</v>
      </c>
    </row>
    <row r="456" spans="1:5" x14ac:dyDescent="0.3">
      <c r="A456">
        <v>455</v>
      </c>
      <c r="B456" s="1" t="s">
        <v>108</v>
      </c>
      <c r="C456" t="s">
        <v>151</v>
      </c>
      <c r="D456">
        <v>52</v>
      </c>
      <c r="E456" t="s">
        <v>153</v>
      </c>
    </row>
    <row r="457" spans="1:5" x14ac:dyDescent="0.3">
      <c r="A457">
        <v>456</v>
      </c>
      <c r="B457" s="1" t="s">
        <v>100</v>
      </c>
      <c r="C457" t="s">
        <v>150</v>
      </c>
      <c r="D457">
        <v>75</v>
      </c>
      <c r="E457" t="s">
        <v>153</v>
      </c>
    </row>
    <row r="458" spans="1:5" x14ac:dyDescent="0.3">
      <c r="A458">
        <v>457</v>
      </c>
      <c r="B458" s="1" t="s">
        <v>107</v>
      </c>
      <c r="C458" t="s">
        <v>151</v>
      </c>
      <c r="D458">
        <v>54</v>
      </c>
      <c r="E458" t="s">
        <v>153</v>
      </c>
    </row>
    <row r="459" spans="1:5" x14ac:dyDescent="0.3">
      <c r="A459">
        <v>458</v>
      </c>
      <c r="B459" s="1" t="s">
        <v>101</v>
      </c>
      <c r="C459" t="s">
        <v>150</v>
      </c>
      <c r="D459">
        <v>60</v>
      </c>
      <c r="E459" t="s">
        <v>153</v>
      </c>
    </row>
    <row r="460" spans="1:5" x14ac:dyDescent="0.3">
      <c r="A460">
        <v>459</v>
      </c>
      <c r="B460" s="1" t="s">
        <v>106</v>
      </c>
      <c r="C460" t="s">
        <v>151</v>
      </c>
      <c r="D460">
        <v>30</v>
      </c>
      <c r="E460" t="s">
        <v>153</v>
      </c>
    </row>
    <row r="461" spans="1:5" x14ac:dyDescent="0.3">
      <c r="A461">
        <v>460</v>
      </c>
      <c r="B461" s="1" t="s">
        <v>100</v>
      </c>
      <c r="C461" t="s">
        <v>151</v>
      </c>
      <c r="D461">
        <v>58</v>
      </c>
      <c r="E461" t="s">
        <v>153</v>
      </c>
    </row>
    <row r="462" spans="1:5" x14ac:dyDescent="0.3">
      <c r="A462">
        <v>461</v>
      </c>
      <c r="B462" s="1" t="s">
        <v>100</v>
      </c>
      <c r="C462" t="s">
        <v>150</v>
      </c>
      <c r="D462">
        <v>77</v>
      </c>
      <c r="E462" t="s">
        <v>153</v>
      </c>
    </row>
    <row r="463" spans="1:5" x14ac:dyDescent="0.3">
      <c r="A463">
        <v>462</v>
      </c>
      <c r="B463" s="1" t="s">
        <v>98</v>
      </c>
      <c r="C463" t="s">
        <v>151</v>
      </c>
      <c r="D463">
        <v>80</v>
      </c>
      <c r="E463" t="s">
        <v>153</v>
      </c>
    </row>
    <row r="464" spans="1:5" x14ac:dyDescent="0.3">
      <c r="A464">
        <v>463</v>
      </c>
      <c r="B464" s="1" t="s">
        <v>108</v>
      </c>
      <c r="C464" t="s">
        <v>150</v>
      </c>
      <c r="D464">
        <v>55</v>
      </c>
      <c r="E464" t="s">
        <v>153</v>
      </c>
    </row>
    <row r="465" spans="1:5" x14ac:dyDescent="0.3">
      <c r="A465">
        <v>464</v>
      </c>
      <c r="B465" s="1" t="s">
        <v>106</v>
      </c>
      <c r="C465" t="s">
        <v>151</v>
      </c>
      <c r="D465">
        <v>26</v>
      </c>
      <c r="E465" t="s">
        <v>153</v>
      </c>
    </row>
    <row r="466" spans="1:5" x14ac:dyDescent="0.3">
      <c r="A466">
        <v>465</v>
      </c>
      <c r="B466" s="1" t="s">
        <v>98</v>
      </c>
      <c r="C466" t="s">
        <v>150</v>
      </c>
      <c r="D466">
        <v>49</v>
      </c>
      <c r="E466" t="s">
        <v>153</v>
      </c>
    </row>
    <row r="467" spans="1:5" x14ac:dyDescent="0.3">
      <c r="A467">
        <v>466</v>
      </c>
      <c r="B467" s="1" t="s">
        <v>106</v>
      </c>
      <c r="C467" t="s">
        <v>151</v>
      </c>
      <c r="D467">
        <v>32</v>
      </c>
      <c r="E467" t="s">
        <v>153</v>
      </c>
    </row>
    <row r="468" spans="1:5" x14ac:dyDescent="0.3">
      <c r="A468">
        <v>467</v>
      </c>
      <c r="B468" s="1" t="s">
        <v>99</v>
      </c>
      <c r="C468" t="s">
        <v>150</v>
      </c>
      <c r="D468">
        <v>62</v>
      </c>
      <c r="E468" t="s">
        <v>153</v>
      </c>
    </row>
    <row r="469" spans="1:5" x14ac:dyDescent="0.3">
      <c r="A469">
        <v>468</v>
      </c>
      <c r="B469" s="1" t="s">
        <v>102</v>
      </c>
      <c r="C469" t="s">
        <v>150</v>
      </c>
      <c r="D469">
        <v>64</v>
      </c>
      <c r="E469" t="s">
        <v>153</v>
      </c>
    </row>
    <row r="470" spans="1:5" x14ac:dyDescent="0.3">
      <c r="A470">
        <v>469</v>
      </c>
      <c r="B470" s="1" t="s">
        <v>99</v>
      </c>
      <c r="C470" t="s">
        <v>151</v>
      </c>
      <c r="D470">
        <v>90</v>
      </c>
      <c r="E470" t="s">
        <v>153</v>
      </c>
    </row>
    <row r="471" spans="1:5" x14ac:dyDescent="0.3">
      <c r="A471">
        <v>470</v>
      </c>
      <c r="B471" s="1" t="s">
        <v>98</v>
      </c>
      <c r="C471" t="s">
        <v>151</v>
      </c>
      <c r="D471">
        <v>32</v>
      </c>
      <c r="E471" t="s">
        <v>153</v>
      </c>
    </row>
    <row r="472" spans="1:5" x14ac:dyDescent="0.3">
      <c r="A472">
        <v>471</v>
      </c>
      <c r="B472" s="1" t="s">
        <v>101</v>
      </c>
      <c r="C472" t="s">
        <v>151</v>
      </c>
      <c r="D472">
        <v>79</v>
      </c>
      <c r="E472" t="s">
        <v>153</v>
      </c>
    </row>
    <row r="473" spans="1:5" x14ac:dyDescent="0.3">
      <c r="A473">
        <v>472</v>
      </c>
      <c r="B473" s="1" t="s">
        <v>99</v>
      </c>
      <c r="C473" t="s">
        <v>150</v>
      </c>
      <c r="D473">
        <v>45</v>
      </c>
      <c r="E473" t="s">
        <v>153</v>
      </c>
    </row>
    <row r="474" spans="1:5" x14ac:dyDescent="0.3">
      <c r="A474">
        <v>473</v>
      </c>
      <c r="B474" s="1" t="s">
        <v>110</v>
      </c>
      <c r="C474" t="s">
        <v>151</v>
      </c>
      <c r="D474">
        <v>19</v>
      </c>
      <c r="E474" t="s">
        <v>153</v>
      </c>
    </row>
    <row r="475" spans="1:5" x14ac:dyDescent="0.3">
      <c r="A475">
        <v>474</v>
      </c>
      <c r="B475" s="1" t="s">
        <v>101</v>
      </c>
      <c r="C475" t="s">
        <v>150</v>
      </c>
      <c r="D475">
        <v>74</v>
      </c>
      <c r="E475" t="s">
        <v>153</v>
      </c>
    </row>
    <row r="476" spans="1:5" x14ac:dyDescent="0.3">
      <c r="A476">
        <v>475</v>
      </c>
      <c r="B476" s="1" t="s">
        <v>98</v>
      </c>
      <c r="C476" t="s">
        <v>151</v>
      </c>
      <c r="D476">
        <v>51</v>
      </c>
      <c r="E476" t="s">
        <v>153</v>
      </c>
    </row>
    <row r="477" spans="1:5" x14ac:dyDescent="0.3">
      <c r="A477">
        <v>476</v>
      </c>
      <c r="B477" s="1" t="s">
        <v>98</v>
      </c>
      <c r="C477" t="s">
        <v>151</v>
      </c>
      <c r="D477">
        <v>80</v>
      </c>
      <c r="E477" t="s">
        <v>153</v>
      </c>
    </row>
    <row r="478" spans="1:5" x14ac:dyDescent="0.3">
      <c r="A478">
        <v>477</v>
      </c>
      <c r="B478" s="1" t="s">
        <v>100</v>
      </c>
      <c r="C478" t="s">
        <v>150</v>
      </c>
      <c r="D478">
        <v>31</v>
      </c>
      <c r="E478" t="s">
        <v>153</v>
      </c>
    </row>
    <row r="479" spans="1:5" x14ac:dyDescent="0.3">
      <c r="A479">
        <v>478</v>
      </c>
      <c r="B479" s="1" t="s">
        <v>104</v>
      </c>
      <c r="C479" t="s">
        <v>151</v>
      </c>
      <c r="D479">
        <v>38</v>
      </c>
      <c r="E479" t="s">
        <v>153</v>
      </c>
    </row>
    <row r="480" spans="1:5" x14ac:dyDescent="0.3">
      <c r="A480">
        <v>479</v>
      </c>
      <c r="B480" s="1" t="s">
        <v>101</v>
      </c>
      <c r="C480" t="s">
        <v>150</v>
      </c>
      <c r="D480">
        <v>81</v>
      </c>
      <c r="E480" t="s">
        <v>153</v>
      </c>
    </row>
    <row r="481" spans="1:5" x14ac:dyDescent="0.3">
      <c r="A481">
        <v>480</v>
      </c>
      <c r="B481" s="1" t="s">
        <v>101</v>
      </c>
      <c r="C481" t="s">
        <v>150</v>
      </c>
      <c r="D481">
        <v>46</v>
      </c>
      <c r="E481" t="s">
        <v>153</v>
      </c>
    </row>
    <row r="482" spans="1:5" x14ac:dyDescent="0.3">
      <c r="A482">
        <v>481</v>
      </c>
      <c r="B482" s="1" t="s">
        <v>100</v>
      </c>
      <c r="C482" t="s">
        <v>151</v>
      </c>
      <c r="D482">
        <v>49</v>
      </c>
      <c r="E482" t="s">
        <v>153</v>
      </c>
    </row>
    <row r="483" spans="1:5" x14ac:dyDescent="0.3">
      <c r="A483">
        <v>482</v>
      </c>
      <c r="B483" s="1" t="s">
        <v>99</v>
      </c>
      <c r="C483" t="s">
        <v>150</v>
      </c>
      <c r="D483">
        <v>82</v>
      </c>
      <c r="E483" t="s">
        <v>153</v>
      </c>
    </row>
    <row r="484" spans="1:5" x14ac:dyDescent="0.3">
      <c r="A484">
        <v>483</v>
      </c>
      <c r="B484" s="1" t="s">
        <v>99</v>
      </c>
      <c r="C484" t="s">
        <v>151</v>
      </c>
      <c r="D484">
        <v>27</v>
      </c>
      <c r="E484" t="s">
        <v>153</v>
      </c>
    </row>
    <row r="485" spans="1:5" x14ac:dyDescent="0.3">
      <c r="A485">
        <v>484</v>
      </c>
      <c r="B485" s="1" t="s">
        <v>98</v>
      </c>
      <c r="C485" t="s">
        <v>151</v>
      </c>
      <c r="D485">
        <v>70</v>
      </c>
      <c r="E485" t="s">
        <v>153</v>
      </c>
    </row>
    <row r="486" spans="1:5" x14ac:dyDescent="0.3">
      <c r="A486">
        <v>485</v>
      </c>
      <c r="B486" s="1" t="s">
        <v>99</v>
      </c>
      <c r="C486" t="s">
        <v>150</v>
      </c>
      <c r="D486">
        <v>19</v>
      </c>
      <c r="E486" t="s">
        <v>153</v>
      </c>
    </row>
    <row r="487" spans="1:5" x14ac:dyDescent="0.3">
      <c r="A487">
        <v>486</v>
      </c>
      <c r="B487" s="1" t="s">
        <v>103</v>
      </c>
      <c r="C487" t="s">
        <v>151</v>
      </c>
      <c r="D487">
        <v>66</v>
      </c>
      <c r="E487" t="s">
        <v>153</v>
      </c>
    </row>
    <row r="488" spans="1:5" x14ac:dyDescent="0.3">
      <c r="A488">
        <v>487</v>
      </c>
      <c r="B488" s="1" t="s">
        <v>100</v>
      </c>
      <c r="C488" t="s">
        <v>151</v>
      </c>
      <c r="D488">
        <v>81</v>
      </c>
      <c r="E488" t="s">
        <v>153</v>
      </c>
    </row>
    <row r="489" spans="1:5" x14ac:dyDescent="0.3">
      <c r="A489">
        <v>488</v>
      </c>
      <c r="B489" s="1" t="s">
        <v>98</v>
      </c>
      <c r="C489" t="s">
        <v>151</v>
      </c>
      <c r="D489">
        <v>19</v>
      </c>
      <c r="E489" t="s">
        <v>153</v>
      </c>
    </row>
    <row r="490" spans="1:5" x14ac:dyDescent="0.3">
      <c r="A490">
        <v>489</v>
      </c>
      <c r="B490" s="1" t="s">
        <v>98</v>
      </c>
      <c r="C490" t="s">
        <v>151</v>
      </c>
      <c r="D490">
        <v>76</v>
      </c>
      <c r="E490" t="s">
        <v>153</v>
      </c>
    </row>
    <row r="491" spans="1:5" x14ac:dyDescent="0.3">
      <c r="A491">
        <v>490</v>
      </c>
      <c r="B491" s="1" t="s">
        <v>104</v>
      </c>
      <c r="C491" t="s">
        <v>150</v>
      </c>
      <c r="D491">
        <v>37</v>
      </c>
      <c r="E491" t="s">
        <v>153</v>
      </c>
    </row>
    <row r="492" spans="1:5" x14ac:dyDescent="0.3">
      <c r="A492">
        <v>491</v>
      </c>
      <c r="B492" s="1" t="s">
        <v>100</v>
      </c>
      <c r="C492" t="s">
        <v>150</v>
      </c>
      <c r="D492">
        <v>59</v>
      </c>
      <c r="E492" t="s">
        <v>153</v>
      </c>
    </row>
    <row r="493" spans="1:5" x14ac:dyDescent="0.3">
      <c r="A493">
        <v>492</v>
      </c>
      <c r="B493" s="1" t="s">
        <v>104</v>
      </c>
      <c r="C493" t="s">
        <v>151</v>
      </c>
      <c r="D493">
        <v>32</v>
      </c>
      <c r="E493" t="s">
        <v>153</v>
      </c>
    </row>
    <row r="494" spans="1:5" x14ac:dyDescent="0.3">
      <c r="A494">
        <v>493</v>
      </c>
      <c r="B494" s="1" t="s">
        <v>98</v>
      </c>
      <c r="C494" t="s">
        <v>151</v>
      </c>
      <c r="D494">
        <v>82</v>
      </c>
      <c r="E494" t="s">
        <v>153</v>
      </c>
    </row>
    <row r="495" spans="1:5" x14ac:dyDescent="0.3">
      <c r="A495">
        <v>494</v>
      </c>
      <c r="B495" s="1" t="s">
        <v>99</v>
      </c>
      <c r="C495" t="s">
        <v>150</v>
      </c>
      <c r="D495">
        <v>19</v>
      </c>
      <c r="E495" t="s">
        <v>153</v>
      </c>
    </row>
    <row r="496" spans="1:5" x14ac:dyDescent="0.3">
      <c r="A496">
        <v>495</v>
      </c>
      <c r="B496" s="1" t="s">
        <v>98</v>
      </c>
      <c r="C496" t="s">
        <v>151</v>
      </c>
      <c r="D496">
        <v>52</v>
      </c>
      <c r="E496" t="s">
        <v>153</v>
      </c>
    </row>
    <row r="497" spans="1:5" x14ac:dyDescent="0.3">
      <c r="A497">
        <v>496</v>
      </c>
      <c r="B497" s="1" t="s">
        <v>100</v>
      </c>
      <c r="C497" t="s">
        <v>151</v>
      </c>
      <c r="D497">
        <v>24</v>
      </c>
      <c r="E497" t="s">
        <v>153</v>
      </c>
    </row>
    <row r="498" spans="1:5" x14ac:dyDescent="0.3">
      <c r="A498">
        <v>497</v>
      </c>
      <c r="B498" s="1" t="s">
        <v>98</v>
      </c>
      <c r="C498" t="s">
        <v>150</v>
      </c>
      <c r="D498">
        <v>88</v>
      </c>
      <c r="E498" t="s">
        <v>153</v>
      </c>
    </row>
    <row r="499" spans="1:5" x14ac:dyDescent="0.3">
      <c r="A499">
        <v>498</v>
      </c>
      <c r="B499" s="1" t="s">
        <v>108</v>
      </c>
      <c r="C499" t="s">
        <v>151</v>
      </c>
      <c r="D499">
        <v>32</v>
      </c>
      <c r="E499" t="s">
        <v>153</v>
      </c>
    </row>
    <row r="500" spans="1:5" x14ac:dyDescent="0.3">
      <c r="A500">
        <v>499</v>
      </c>
      <c r="B500" s="1" t="s">
        <v>100</v>
      </c>
      <c r="C500" t="s">
        <v>150</v>
      </c>
      <c r="D500">
        <v>89</v>
      </c>
      <c r="E500" t="s">
        <v>153</v>
      </c>
    </row>
    <row r="501" spans="1:5" x14ac:dyDescent="0.3">
      <c r="A501">
        <v>500</v>
      </c>
      <c r="B501" s="1" t="s">
        <v>98</v>
      </c>
      <c r="C501" t="s">
        <v>151</v>
      </c>
      <c r="D501">
        <v>77</v>
      </c>
      <c r="E501" t="s">
        <v>153</v>
      </c>
    </row>
    <row r="502" spans="1:5" x14ac:dyDescent="0.3">
      <c r="A502">
        <v>501</v>
      </c>
      <c r="B502" s="1" t="s">
        <v>104</v>
      </c>
      <c r="C502" t="s">
        <v>151</v>
      </c>
      <c r="D502">
        <v>45</v>
      </c>
      <c r="E502" t="s">
        <v>154</v>
      </c>
    </row>
    <row r="503" spans="1:5" x14ac:dyDescent="0.3">
      <c r="A503">
        <v>502</v>
      </c>
      <c r="B503" s="1" t="s">
        <v>104</v>
      </c>
      <c r="C503" t="s">
        <v>150</v>
      </c>
      <c r="D503">
        <v>72</v>
      </c>
      <c r="E503" t="s">
        <v>154</v>
      </c>
    </row>
    <row r="504" spans="1:5" x14ac:dyDescent="0.3">
      <c r="A504">
        <v>503</v>
      </c>
      <c r="B504" s="1" t="s">
        <v>98</v>
      </c>
      <c r="C504" t="s">
        <v>151</v>
      </c>
      <c r="D504">
        <v>58</v>
      </c>
      <c r="E504" t="s">
        <v>154</v>
      </c>
    </row>
    <row r="505" spans="1:5" x14ac:dyDescent="0.3">
      <c r="A505">
        <v>504</v>
      </c>
      <c r="B505" s="1" t="s">
        <v>101</v>
      </c>
      <c r="C505" t="s">
        <v>150</v>
      </c>
      <c r="D505">
        <v>48</v>
      </c>
      <c r="E505" t="s">
        <v>154</v>
      </c>
    </row>
    <row r="506" spans="1:5" x14ac:dyDescent="0.3">
      <c r="A506">
        <v>505</v>
      </c>
      <c r="B506" s="1" t="s">
        <v>104</v>
      </c>
      <c r="C506" t="s">
        <v>151</v>
      </c>
      <c r="D506">
        <v>63</v>
      </c>
      <c r="E506" t="s">
        <v>154</v>
      </c>
    </row>
    <row r="507" spans="1:5" x14ac:dyDescent="0.3">
      <c r="A507">
        <v>506</v>
      </c>
      <c r="B507" s="1" t="s">
        <v>98</v>
      </c>
      <c r="C507" t="s">
        <v>150</v>
      </c>
      <c r="D507">
        <v>45</v>
      </c>
      <c r="E507" t="s">
        <v>154</v>
      </c>
    </row>
    <row r="508" spans="1:5" x14ac:dyDescent="0.3">
      <c r="A508">
        <v>507</v>
      </c>
      <c r="B508" s="1" t="s">
        <v>98</v>
      </c>
      <c r="C508" t="s">
        <v>150</v>
      </c>
      <c r="D508">
        <v>35</v>
      </c>
      <c r="E508" t="s">
        <v>154</v>
      </c>
    </row>
    <row r="509" spans="1:5" x14ac:dyDescent="0.3">
      <c r="A509">
        <v>508</v>
      </c>
      <c r="B509" s="1" t="s">
        <v>109</v>
      </c>
      <c r="C509" t="s">
        <v>151</v>
      </c>
      <c r="D509">
        <v>65</v>
      </c>
      <c r="E509" t="s">
        <v>154</v>
      </c>
    </row>
    <row r="510" spans="1:5" x14ac:dyDescent="0.3">
      <c r="A510">
        <v>509</v>
      </c>
      <c r="B510" s="1" t="s">
        <v>99</v>
      </c>
      <c r="C510" t="s">
        <v>150</v>
      </c>
      <c r="D510">
        <v>24</v>
      </c>
      <c r="E510" t="s">
        <v>154</v>
      </c>
    </row>
    <row r="511" spans="1:5" x14ac:dyDescent="0.3">
      <c r="A511">
        <v>510</v>
      </c>
      <c r="B511" s="1" t="s">
        <v>98</v>
      </c>
      <c r="C511" t="s">
        <v>151</v>
      </c>
      <c r="D511">
        <v>39</v>
      </c>
      <c r="E511" t="s">
        <v>154</v>
      </c>
    </row>
    <row r="512" spans="1:5" x14ac:dyDescent="0.3">
      <c r="A512">
        <v>511</v>
      </c>
      <c r="B512" s="1" t="s">
        <v>98</v>
      </c>
      <c r="C512" t="s">
        <v>150</v>
      </c>
      <c r="D512">
        <v>60</v>
      </c>
      <c r="E512" t="s">
        <v>154</v>
      </c>
    </row>
    <row r="513" spans="1:5" x14ac:dyDescent="0.3">
      <c r="A513">
        <v>512</v>
      </c>
      <c r="B513" s="1" t="s">
        <v>104</v>
      </c>
      <c r="C513" t="s">
        <v>151</v>
      </c>
      <c r="D513">
        <v>74</v>
      </c>
      <c r="E513" t="s">
        <v>154</v>
      </c>
    </row>
    <row r="514" spans="1:5" x14ac:dyDescent="0.3">
      <c r="A514">
        <v>513</v>
      </c>
      <c r="B514" s="1" t="s">
        <v>98</v>
      </c>
      <c r="C514" t="s">
        <v>151</v>
      </c>
      <c r="D514">
        <v>29</v>
      </c>
      <c r="E514" t="s">
        <v>154</v>
      </c>
    </row>
    <row r="515" spans="1:5" x14ac:dyDescent="0.3">
      <c r="A515">
        <v>514</v>
      </c>
      <c r="B515" s="1" t="s">
        <v>98</v>
      </c>
      <c r="C515" t="s">
        <v>151</v>
      </c>
      <c r="D515">
        <v>89</v>
      </c>
      <c r="E515" t="s">
        <v>154</v>
      </c>
    </row>
    <row r="516" spans="1:5" x14ac:dyDescent="0.3">
      <c r="A516">
        <v>515</v>
      </c>
      <c r="B516" s="1" t="s">
        <v>104</v>
      </c>
      <c r="C516" t="s">
        <v>151</v>
      </c>
      <c r="D516">
        <v>37</v>
      </c>
      <c r="E516" t="s">
        <v>154</v>
      </c>
    </row>
    <row r="517" spans="1:5" x14ac:dyDescent="0.3">
      <c r="A517">
        <v>516</v>
      </c>
      <c r="B517" s="1" t="s">
        <v>99</v>
      </c>
      <c r="C517" t="s">
        <v>150</v>
      </c>
      <c r="D517">
        <v>51</v>
      </c>
      <c r="E517" t="s">
        <v>154</v>
      </c>
    </row>
    <row r="518" spans="1:5" x14ac:dyDescent="0.3">
      <c r="A518">
        <v>517</v>
      </c>
      <c r="B518" s="1" t="s">
        <v>100</v>
      </c>
      <c r="C518" t="s">
        <v>151</v>
      </c>
      <c r="D518">
        <v>77</v>
      </c>
      <c r="E518" t="s">
        <v>154</v>
      </c>
    </row>
    <row r="519" spans="1:5" x14ac:dyDescent="0.3">
      <c r="A519">
        <v>518</v>
      </c>
      <c r="B519" s="1" t="s">
        <v>104</v>
      </c>
      <c r="C519" t="s">
        <v>150</v>
      </c>
      <c r="D519">
        <v>53</v>
      </c>
      <c r="E519" t="s">
        <v>154</v>
      </c>
    </row>
    <row r="520" spans="1:5" x14ac:dyDescent="0.3">
      <c r="A520">
        <v>519</v>
      </c>
      <c r="B520" s="1" t="s">
        <v>99</v>
      </c>
      <c r="C520" t="s">
        <v>150</v>
      </c>
      <c r="D520">
        <v>70</v>
      </c>
      <c r="E520" t="s">
        <v>154</v>
      </c>
    </row>
    <row r="521" spans="1:5" x14ac:dyDescent="0.3">
      <c r="A521">
        <v>520</v>
      </c>
      <c r="B521" s="1" t="s">
        <v>104</v>
      </c>
      <c r="C521" t="s">
        <v>150</v>
      </c>
      <c r="D521">
        <v>81</v>
      </c>
      <c r="E521" t="s">
        <v>154</v>
      </c>
    </row>
    <row r="522" spans="1:5" x14ac:dyDescent="0.3">
      <c r="A522">
        <v>521</v>
      </c>
      <c r="B522" s="1" t="s">
        <v>112</v>
      </c>
      <c r="C522" t="s">
        <v>150</v>
      </c>
      <c r="D522">
        <v>66</v>
      </c>
      <c r="E522" t="s">
        <v>154</v>
      </c>
    </row>
    <row r="523" spans="1:5" x14ac:dyDescent="0.3">
      <c r="A523">
        <v>522</v>
      </c>
      <c r="B523" s="1" t="s">
        <v>98</v>
      </c>
      <c r="C523" t="s">
        <v>151</v>
      </c>
      <c r="D523">
        <v>77</v>
      </c>
      <c r="E523" t="s">
        <v>154</v>
      </c>
    </row>
    <row r="524" spans="1:5" x14ac:dyDescent="0.3">
      <c r="A524">
        <v>523</v>
      </c>
      <c r="B524" s="1" t="s">
        <v>98</v>
      </c>
      <c r="C524" t="s">
        <v>150</v>
      </c>
      <c r="D524">
        <v>26</v>
      </c>
      <c r="E524" t="s">
        <v>154</v>
      </c>
    </row>
    <row r="525" spans="1:5" x14ac:dyDescent="0.3">
      <c r="A525">
        <v>524</v>
      </c>
      <c r="B525" s="1" t="s">
        <v>109</v>
      </c>
      <c r="C525" t="s">
        <v>151</v>
      </c>
      <c r="D525">
        <v>63</v>
      </c>
      <c r="E525" t="s">
        <v>154</v>
      </c>
    </row>
    <row r="526" spans="1:5" x14ac:dyDescent="0.3">
      <c r="A526">
        <v>525</v>
      </c>
      <c r="B526" s="1" t="s">
        <v>112</v>
      </c>
      <c r="C526" t="s">
        <v>151</v>
      </c>
      <c r="D526">
        <v>20</v>
      </c>
      <c r="E526" t="s">
        <v>154</v>
      </c>
    </row>
    <row r="527" spans="1:5" x14ac:dyDescent="0.3">
      <c r="A527">
        <v>526</v>
      </c>
      <c r="B527" s="1" t="s">
        <v>98</v>
      </c>
      <c r="C527" t="s">
        <v>150</v>
      </c>
      <c r="D527">
        <v>49</v>
      </c>
      <c r="E527" t="s">
        <v>154</v>
      </c>
    </row>
    <row r="528" spans="1:5" x14ac:dyDescent="0.3">
      <c r="A528">
        <v>527</v>
      </c>
      <c r="B528" s="1" t="s">
        <v>98</v>
      </c>
      <c r="C528" t="s">
        <v>151</v>
      </c>
      <c r="D528">
        <v>19</v>
      </c>
      <c r="E528" t="s">
        <v>154</v>
      </c>
    </row>
    <row r="529" spans="1:5" x14ac:dyDescent="0.3">
      <c r="A529">
        <v>528</v>
      </c>
      <c r="B529" s="1" t="s">
        <v>98</v>
      </c>
      <c r="C529" t="s">
        <v>150</v>
      </c>
      <c r="D529">
        <v>36</v>
      </c>
      <c r="E529" t="s">
        <v>154</v>
      </c>
    </row>
    <row r="530" spans="1:5" x14ac:dyDescent="0.3">
      <c r="A530">
        <v>529</v>
      </c>
      <c r="B530" s="1" t="s">
        <v>112</v>
      </c>
      <c r="C530" t="s">
        <v>150</v>
      </c>
      <c r="D530">
        <v>44</v>
      </c>
      <c r="E530" t="s">
        <v>154</v>
      </c>
    </row>
    <row r="531" spans="1:5" x14ac:dyDescent="0.3">
      <c r="A531">
        <v>530</v>
      </c>
      <c r="B531" s="1" t="s">
        <v>100</v>
      </c>
      <c r="C531" t="s">
        <v>151</v>
      </c>
      <c r="D531">
        <v>23</v>
      </c>
      <c r="E531" t="s">
        <v>154</v>
      </c>
    </row>
    <row r="532" spans="1:5" x14ac:dyDescent="0.3">
      <c r="A532">
        <v>531</v>
      </c>
      <c r="B532" s="1" t="s">
        <v>98</v>
      </c>
      <c r="C532" t="s">
        <v>151</v>
      </c>
      <c r="D532">
        <v>43</v>
      </c>
      <c r="E532" t="s">
        <v>154</v>
      </c>
    </row>
    <row r="533" spans="1:5" x14ac:dyDescent="0.3">
      <c r="A533">
        <v>532</v>
      </c>
      <c r="B533" s="1" t="s">
        <v>98</v>
      </c>
      <c r="C533" t="s">
        <v>151</v>
      </c>
      <c r="D533">
        <v>84</v>
      </c>
      <c r="E533" t="s">
        <v>154</v>
      </c>
    </row>
    <row r="534" spans="1:5" x14ac:dyDescent="0.3">
      <c r="A534">
        <v>533</v>
      </c>
      <c r="B534" s="1" t="s">
        <v>98</v>
      </c>
      <c r="C534" t="s">
        <v>151</v>
      </c>
      <c r="D534">
        <v>55</v>
      </c>
      <c r="E534" t="s">
        <v>154</v>
      </c>
    </row>
    <row r="535" spans="1:5" x14ac:dyDescent="0.3">
      <c r="A535">
        <v>534</v>
      </c>
      <c r="B535" s="1" t="s">
        <v>112</v>
      </c>
      <c r="C535" t="s">
        <v>150</v>
      </c>
      <c r="D535">
        <v>90</v>
      </c>
      <c r="E535" t="s">
        <v>154</v>
      </c>
    </row>
    <row r="536" spans="1:5" x14ac:dyDescent="0.3">
      <c r="A536">
        <v>535</v>
      </c>
      <c r="B536" s="1" t="s">
        <v>103</v>
      </c>
      <c r="C536" t="s">
        <v>150</v>
      </c>
      <c r="D536">
        <v>45</v>
      </c>
      <c r="E536" t="s">
        <v>154</v>
      </c>
    </row>
    <row r="537" spans="1:5" x14ac:dyDescent="0.3">
      <c r="A537">
        <v>536</v>
      </c>
      <c r="B537" s="1" t="s">
        <v>108</v>
      </c>
      <c r="C537" t="s">
        <v>151</v>
      </c>
      <c r="D537">
        <v>69</v>
      </c>
      <c r="E537" t="s">
        <v>154</v>
      </c>
    </row>
    <row r="538" spans="1:5" x14ac:dyDescent="0.3">
      <c r="A538">
        <v>537</v>
      </c>
      <c r="B538" s="1" t="s">
        <v>100</v>
      </c>
      <c r="C538" t="s">
        <v>151</v>
      </c>
      <c r="D538">
        <v>58</v>
      </c>
      <c r="E538" t="s">
        <v>154</v>
      </c>
    </row>
    <row r="539" spans="1:5" x14ac:dyDescent="0.3">
      <c r="A539">
        <v>538</v>
      </c>
      <c r="B539" s="1" t="s">
        <v>112</v>
      </c>
      <c r="C539" t="s">
        <v>150</v>
      </c>
      <c r="D539">
        <v>32</v>
      </c>
      <c r="E539" t="s">
        <v>154</v>
      </c>
    </row>
    <row r="540" spans="1:5" x14ac:dyDescent="0.3">
      <c r="A540">
        <v>539</v>
      </c>
      <c r="B540" s="1" t="s">
        <v>112</v>
      </c>
      <c r="C540" t="s">
        <v>151</v>
      </c>
      <c r="D540">
        <v>24</v>
      </c>
      <c r="E540" t="s">
        <v>154</v>
      </c>
    </row>
    <row r="541" spans="1:5" x14ac:dyDescent="0.3">
      <c r="A541">
        <v>540</v>
      </c>
      <c r="B541" s="1" t="s">
        <v>100</v>
      </c>
      <c r="C541" t="s">
        <v>150</v>
      </c>
      <c r="D541">
        <v>27</v>
      </c>
      <c r="E541" t="s">
        <v>154</v>
      </c>
    </row>
    <row r="542" spans="1:5" x14ac:dyDescent="0.3">
      <c r="A542">
        <v>541</v>
      </c>
      <c r="B542" s="1" t="s">
        <v>98</v>
      </c>
      <c r="C542" t="s">
        <v>150</v>
      </c>
      <c r="D542">
        <v>85</v>
      </c>
      <c r="E542" t="s">
        <v>154</v>
      </c>
    </row>
    <row r="543" spans="1:5" x14ac:dyDescent="0.3">
      <c r="A543">
        <v>542</v>
      </c>
      <c r="B543" s="1" t="s">
        <v>100</v>
      </c>
      <c r="C543" t="s">
        <v>151</v>
      </c>
      <c r="D543">
        <v>33</v>
      </c>
      <c r="E543" t="s">
        <v>154</v>
      </c>
    </row>
    <row r="544" spans="1:5" x14ac:dyDescent="0.3">
      <c r="A544">
        <v>543</v>
      </c>
      <c r="B544" s="1" t="s">
        <v>99</v>
      </c>
      <c r="C544" t="s">
        <v>151</v>
      </c>
      <c r="D544">
        <v>80</v>
      </c>
      <c r="E544" t="s">
        <v>154</v>
      </c>
    </row>
    <row r="545" spans="1:5" x14ac:dyDescent="0.3">
      <c r="A545">
        <v>544</v>
      </c>
      <c r="B545" s="1" t="s">
        <v>105</v>
      </c>
      <c r="C545" t="s">
        <v>150</v>
      </c>
      <c r="D545">
        <v>39</v>
      </c>
      <c r="E545" t="s">
        <v>154</v>
      </c>
    </row>
    <row r="546" spans="1:5" x14ac:dyDescent="0.3">
      <c r="A546">
        <v>545</v>
      </c>
      <c r="B546" s="1" t="s">
        <v>98</v>
      </c>
      <c r="C546" t="s">
        <v>150</v>
      </c>
      <c r="D546">
        <v>76</v>
      </c>
      <c r="E546" t="s">
        <v>154</v>
      </c>
    </row>
    <row r="547" spans="1:5" x14ac:dyDescent="0.3">
      <c r="A547">
        <v>546</v>
      </c>
      <c r="B547" s="1" t="s">
        <v>98</v>
      </c>
      <c r="C547" t="s">
        <v>150</v>
      </c>
      <c r="D547">
        <v>57</v>
      </c>
      <c r="E547" t="s">
        <v>154</v>
      </c>
    </row>
    <row r="548" spans="1:5" x14ac:dyDescent="0.3">
      <c r="A548">
        <v>547</v>
      </c>
      <c r="B548" s="1" t="s">
        <v>98</v>
      </c>
      <c r="C548" t="s">
        <v>151</v>
      </c>
      <c r="D548">
        <v>69</v>
      </c>
      <c r="E548" t="s">
        <v>154</v>
      </c>
    </row>
    <row r="549" spans="1:5" x14ac:dyDescent="0.3">
      <c r="A549">
        <v>548</v>
      </c>
      <c r="B549" s="1" t="s">
        <v>98</v>
      </c>
      <c r="C549" t="s">
        <v>150</v>
      </c>
      <c r="D549">
        <v>48</v>
      </c>
      <c r="E549" t="s">
        <v>154</v>
      </c>
    </row>
    <row r="550" spans="1:5" x14ac:dyDescent="0.3">
      <c r="A550">
        <v>549</v>
      </c>
      <c r="B550" s="1" t="s">
        <v>98</v>
      </c>
      <c r="C550" t="s">
        <v>150</v>
      </c>
      <c r="D550">
        <v>70</v>
      </c>
      <c r="E550" t="s">
        <v>154</v>
      </c>
    </row>
    <row r="551" spans="1:5" x14ac:dyDescent="0.3">
      <c r="A551">
        <v>550</v>
      </c>
      <c r="B551" s="1" t="s">
        <v>98</v>
      </c>
      <c r="C551" t="s">
        <v>150</v>
      </c>
      <c r="D551">
        <v>31</v>
      </c>
      <c r="E551" t="s">
        <v>154</v>
      </c>
    </row>
    <row r="552" spans="1:5" x14ac:dyDescent="0.3">
      <c r="A552">
        <v>551</v>
      </c>
      <c r="B552" s="1" t="s">
        <v>109</v>
      </c>
      <c r="C552" t="s">
        <v>150</v>
      </c>
      <c r="D552">
        <v>20</v>
      </c>
      <c r="E552" t="s">
        <v>154</v>
      </c>
    </row>
    <row r="553" spans="1:5" x14ac:dyDescent="0.3">
      <c r="A553">
        <v>552</v>
      </c>
      <c r="B553" s="1" t="s">
        <v>112</v>
      </c>
      <c r="C553" t="s">
        <v>151</v>
      </c>
      <c r="D553">
        <v>67</v>
      </c>
      <c r="E553" t="s">
        <v>154</v>
      </c>
    </row>
    <row r="554" spans="1:5" x14ac:dyDescent="0.3">
      <c r="A554">
        <v>553</v>
      </c>
      <c r="B554" s="1" t="s">
        <v>100</v>
      </c>
      <c r="C554" t="s">
        <v>150</v>
      </c>
      <c r="D554">
        <v>34</v>
      </c>
      <c r="E554" t="s">
        <v>154</v>
      </c>
    </row>
    <row r="555" spans="1:5" x14ac:dyDescent="0.3">
      <c r="A555">
        <v>554</v>
      </c>
      <c r="B555" s="1" t="s">
        <v>112</v>
      </c>
      <c r="C555" t="s">
        <v>151</v>
      </c>
      <c r="D555">
        <v>29</v>
      </c>
      <c r="E555" t="s">
        <v>154</v>
      </c>
    </row>
    <row r="556" spans="1:5" x14ac:dyDescent="0.3">
      <c r="A556">
        <v>555</v>
      </c>
      <c r="B556" s="1" t="s">
        <v>98</v>
      </c>
      <c r="C556" t="s">
        <v>151</v>
      </c>
      <c r="D556">
        <v>90</v>
      </c>
      <c r="E556" t="s">
        <v>154</v>
      </c>
    </row>
    <row r="557" spans="1:5" x14ac:dyDescent="0.3">
      <c r="A557">
        <v>556</v>
      </c>
      <c r="B557" s="1" t="s">
        <v>99</v>
      </c>
      <c r="C557" t="s">
        <v>151</v>
      </c>
      <c r="D557">
        <v>72</v>
      </c>
      <c r="E557" t="s">
        <v>154</v>
      </c>
    </row>
    <row r="558" spans="1:5" x14ac:dyDescent="0.3">
      <c r="A558">
        <v>557</v>
      </c>
      <c r="B558" s="1" t="s">
        <v>108</v>
      </c>
      <c r="C558" t="s">
        <v>150</v>
      </c>
      <c r="D558">
        <v>84</v>
      </c>
      <c r="E558" t="s">
        <v>154</v>
      </c>
    </row>
    <row r="559" spans="1:5" x14ac:dyDescent="0.3">
      <c r="A559">
        <v>558</v>
      </c>
      <c r="B559" s="1" t="s">
        <v>112</v>
      </c>
      <c r="C559" t="s">
        <v>151</v>
      </c>
      <c r="D559">
        <v>72</v>
      </c>
      <c r="E559" t="s">
        <v>154</v>
      </c>
    </row>
    <row r="560" spans="1:5" x14ac:dyDescent="0.3">
      <c r="A560">
        <v>559</v>
      </c>
      <c r="B560" s="1" t="s">
        <v>107</v>
      </c>
      <c r="C560" t="s">
        <v>151</v>
      </c>
      <c r="D560">
        <v>70</v>
      </c>
      <c r="E560" t="s">
        <v>154</v>
      </c>
    </row>
    <row r="561" spans="1:5" x14ac:dyDescent="0.3">
      <c r="A561">
        <v>560</v>
      </c>
      <c r="B561" s="1" t="s">
        <v>107</v>
      </c>
      <c r="C561" t="s">
        <v>151</v>
      </c>
      <c r="D561">
        <v>81</v>
      </c>
      <c r="E561" t="s">
        <v>154</v>
      </c>
    </row>
    <row r="562" spans="1:5" x14ac:dyDescent="0.3">
      <c r="A562">
        <v>561</v>
      </c>
      <c r="B562" s="1" t="s">
        <v>101</v>
      </c>
      <c r="C562" t="s">
        <v>151</v>
      </c>
      <c r="D562">
        <v>33</v>
      </c>
      <c r="E562" t="s">
        <v>154</v>
      </c>
    </row>
    <row r="563" spans="1:5" x14ac:dyDescent="0.3">
      <c r="A563">
        <v>562</v>
      </c>
      <c r="B563" s="1" t="s">
        <v>105</v>
      </c>
      <c r="C563" t="s">
        <v>151</v>
      </c>
      <c r="D563">
        <v>75</v>
      </c>
      <c r="E563" t="s">
        <v>154</v>
      </c>
    </row>
    <row r="564" spans="1:5" x14ac:dyDescent="0.3">
      <c r="A564">
        <v>563</v>
      </c>
      <c r="B564" s="1" t="s">
        <v>99</v>
      </c>
      <c r="C564" t="s">
        <v>151</v>
      </c>
      <c r="D564">
        <v>80</v>
      </c>
      <c r="E564" t="s">
        <v>154</v>
      </c>
    </row>
    <row r="565" spans="1:5" x14ac:dyDescent="0.3">
      <c r="A565">
        <v>564</v>
      </c>
      <c r="B565" s="1" t="s">
        <v>98</v>
      </c>
      <c r="C565" t="s">
        <v>151</v>
      </c>
      <c r="D565">
        <v>83</v>
      </c>
      <c r="E565" t="s">
        <v>154</v>
      </c>
    </row>
    <row r="566" spans="1:5" x14ac:dyDescent="0.3">
      <c r="A566">
        <v>565</v>
      </c>
      <c r="B566" s="1" t="s">
        <v>99</v>
      </c>
      <c r="C566" t="s">
        <v>150</v>
      </c>
      <c r="D566">
        <v>62</v>
      </c>
      <c r="E566" t="s">
        <v>154</v>
      </c>
    </row>
    <row r="567" spans="1:5" x14ac:dyDescent="0.3">
      <c r="A567">
        <v>566</v>
      </c>
      <c r="B567" s="1" t="s">
        <v>98</v>
      </c>
      <c r="C567" t="s">
        <v>150</v>
      </c>
      <c r="D567">
        <v>74</v>
      </c>
      <c r="E567" t="s">
        <v>154</v>
      </c>
    </row>
    <row r="568" spans="1:5" x14ac:dyDescent="0.3">
      <c r="A568">
        <v>567</v>
      </c>
      <c r="B568" s="1" t="s">
        <v>100</v>
      </c>
      <c r="C568" t="s">
        <v>150</v>
      </c>
      <c r="D568">
        <v>37</v>
      </c>
      <c r="E568" t="s">
        <v>154</v>
      </c>
    </row>
    <row r="569" spans="1:5" x14ac:dyDescent="0.3">
      <c r="A569">
        <v>568</v>
      </c>
      <c r="B569" s="1" t="s">
        <v>99</v>
      </c>
      <c r="C569" t="s">
        <v>151</v>
      </c>
      <c r="D569">
        <v>82</v>
      </c>
      <c r="E569" t="s">
        <v>154</v>
      </c>
    </row>
    <row r="570" spans="1:5" x14ac:dyDescent="0.3">
      <c r="A570">
        <v>569</v>
      </c>
      <c r="B570" s="1" t="s">
        <v>98</v>
      </c>
      <c r="C570" t="s">
        <v>150</v>
      </c>
      <c r="D570">
        <v>62</v>
      </c>
      <c r="E570" t="s">
        <v>154</v>
      </c>
    </row>
    <row r="571" spans="1:5" x14ac:dyDescent="0.3">
      <c r="A571">
        <v>570</v>
      </c>
      <c r="B571" s="1" t="s">
        <v>112</v>
      </c>
      <c r="C571" t="s">
        <v>151</v>
      </c>
      <c r="D571">
        <v>66</v>
      </c>
      <c r="E571" t="s">
        <v>154</v>
      </c>
    </row>
    <row r="572" spans="1:5" x14ac:dyDescent="0.3">
      <c r="A572">
        <v>571</v>
      </c>
      <c r="B572" s="1" t="s">
        <v>101</v>
      </c>
      <c r="C572" t="s">
        <v>151</v>
      </c>
      <c r="D572">
        <v>88</v>
      </c>
      <c r="E572" t="s">
        <v>154</v>
      </c>
    </row>
    <row r="573" spans="1:5" x14ac:dyDescent="0.3">
      <c r="A573">
        <v>572</v>
      </c>
      <c r="B573" s="1" t="s">
        <v>99</v>
      </c>
      <c r="C573" t="s">
        <v>151</v>
      </c>
      <c r="D573">
        <v>79</v>
      </c>
      <c r="E573" t="s">
        <v>154</v>
      </c>
    </row>
    <row r="574" spans="1:5" x14ac:dyDescent="0.3">
      <c r="A574">
        <v>573</v>
      </c>
      <c r="B574" s="1" t="s">
        <v>99</v>
      </c>
      <c r="C574" t="s">
        <v>151</v>
      </c>
      <c r="D574">
        <v>69</v>
      </c>
      <c r="E574" t="s">
        <v>154</v>
      </c>
    </row>
    <row r="575" spans="1:5" x14ac:dyDescent="0.3">
      <c r="A575">
        <v>574</v>
      </c>
      <c r="B575" s="1" t="s">
        <v>98</v>
      </c>
      <c r="C575" t="s">
        <v>151</v>
      </c>
      <c r="D575">
        <v>41</v>
      </c>
      <c r="E575" t="s">
        <v>154</v>
      </c>
    </row>
    <row r="576" spans="1:5" x14ac:dyDescent="0.3">
      <c r="A576">
        <v>575</v>
      </c>
      <c r="B576" s="1" t="s">
        <v>112</v>
      </c>
      <c r="C576" t="s">
        <v>151</v>
      </c>
      <c r="D576">
        <v>85</v>
      </c>
      <c r="E576" t="s">
        <v>154</v>
      </c>
    </row>
    <row r="577" spans="1:5" x14ac:dyDescent="0.3">
      <c r="A577">
        <v>576</v>
      </c>
      <c r="B577" s="1" t="s">
        <v>98</v>
      </c>
      <c r="C577" t="s">
        <v>150</v>
      </c>
      <c r="D577">
        <v>47</v>
      </c>
      <c r="E577" t="s">
        <v>154</v>
      </c>
    </row>
    <row r="578" spans="1:5" x14ac:dyDescent="0.3">
      <c r="A578">
        <v>577</v>
      </c>
      <c r="B578" s="1" t="s">
        <v>99</v>
      </c>
      <c r="C578" t="s">
        <v>151</v>
      </c>
      <c r="D578">
        <v>74</v>
      </c>
      <c r="E578" t="s">
        <v>154</v>
      </c>
    </row>
    <row r="579" spans="1:5" x14ac:dyDescent="0.3">
      <c r="A579">
        <v>578</v>
      </c>
      <c r="B579" s="1" t="s">
        <v>100</v>
      </c>
      <c r="C579" t="s">
        <v>151</v>
      </c>
      <c r="D579">
        <v>29</v>
      </c>
      <c r="E579" t="s">
        <v>154</v>
      </c>
    </row>
    <row r="580" spans="1:5" x14ac:dyDescent="0.3">
      <c r="A580">
        <v>579</v>
      </c>
      <c r="B580" s="1" t="s">
        <v>98</v>
      </c>
      <c r="C580" t="s">
        <v>151</v>
      </c>
      <c r="D580">
        <v>62</v>
      </c>
      <c r="E580" t="s">
        <v>154</v>
      </c>
    </row>
    <row r="581" spans="1:5" x14ac:dyDescent="0.3">
      <c r="A581">
        <v>580</v>
      </c>
      <c r="B581" s="1" t="s">
        <v>98</v>
      </c>
      <c r="C581" t="s">
        <v>151</v>
      </c>
      <c r="D581">
        <v>24</v>
      </c>
      <c r="E581" t="s">
        <v>154</v>
      </c>
    </row>
    <row r="582" spans="1:5" x14ac:dyDescent="0.3">
      <c r="A582">
        <v>581</v>
      </c>
      <c r="B582" s="1" t="s">
        <v>98</v>
      </c>
      <c r="C582" t="s">
        <v>150</v>
      </c>
      <c r="D582">
        <v>53</v>
      </c>
      <c r="E582" t="s">
        <v>154</v>
      </c>
    </row>
    <row r="583" spans="1:5" x14ac:dyDescent="0.3">
      <c r="A583">
        <v>582</v>
      </c>
      <c r="B583" s="1" t="s">
        <v>112</v>
      </c>
      <c r="C583" t="s">
        <v>150</v>
      </c>
      <c r="D583">
        <v>20</v>
      </c>
      <c r="E583" t="s">
        <v>154</v>
      </c>
    </row>
    <row r="584" spans="1:5" x14ac:dyDescent="0.3">
      <c r="A584">
        <v>583</v>
      </c>
      <c r="B584" s="1" t="s">
        <v>100</v>
      </c>
      <c r="C584" t="s">
        <v>150</v>
      </c>
      <c r="D584">
        <v>88</v>
      </c>
      <c r="E584" t="s">
        <v>154</v>
      </c>
    </row>
    <row r="585" spans="1:5" x14ac:dyDescent="0.3">
      <c r="A585">
        <v>584</v>
      </c>
      <c r="B585" s="1" t="s">
        <v>98</v>
      </c>
      <c r="C585" t="s">
        <v>151</v>
      </c>
      <c r="D585">
        <v>70</v>
      </c>
      <c r="E585" t="s">
        <v>154</v>
      </c>
    </row>
    <row r="586" spans="1:5" x14ac:dyDescent="0.3">
      <c r="A586">
        <v>585</v>
      </c>
      <c r="B586" s="1" t="s">
        <v>106</v>
      </c>
      <c r="C586" t="s">
        <v>151</v>
      </c>
      <c r="D586">
        <v>47</v>
      </c>
      <c r="E586" t="s">
        <v>154</v>
      </c>
    </row>
    <row r="587" spans="1:5" x14ac:dyDescent="0.3">
      <c r="A587">
        <v>586</v>
      </c>
      <c r="B587" s="1" t="s">
        <v>112</v>
      </c>
      <c r="C587" t="s">
        <v>151</v>
      </c>
      <c r="D587">
        <v>53</v>
      </c>
      <c r="E587" t="s">
        <v>154</v>
      </c>
    </row>
    <row r="588" spans="1:5" x14ac:dyDescent="0.3">
      <c r="A588">
        <v>587</v>
      </c>
      <c r="B588" s="1" t="s">
        <v>98</v>
      </c>
      <c r="C588" t="s">
        <v>150</v>
      </c>
      <c r="D588">
        <v>51</v>
      </c>
      <c r="E588" t="s">
        <v>154</v>
      </c>
    </row>
    <row r="589" spans="1:5" x14ac:dyDescent="0.3">
      <c r="A589">
        <v>588</v>
      </c>
      <c r="B589" s="1" t="s">
        <v>106</v>
      </c>
      <c r="C589" t="s">
        <v>151</v>
      </c>
      <c r="D589">
        <v>42</v>
      </c>
      <c r="E589" t="s">
        <v>154</v>
      </c>
    </row>
    <row r="590" spans="1:5" x14ac:dyDescent="0.3">
      <c r="A590">
        <v>589</v>
      </c>
      <c r="B590" s="1" t="s">
        <v>98</v>
      </c>
      <c r="C590" t="s">
        <v>150</v>
      </c>
      <c r="D590">
        <v>37</v>
      </c>
      <c r="E590" t="s">
        <v>154</v>
      </c>
    </row>
    <row r="591" spans="1:5" x14ac:dyDescent="0.3">
      <c r="A591">
        <v>590</v>
      </c>
      <c r="B591" s="1" t="s">
        <v>112</v>
      </c>
      <c r="C591" t="s">
        <v>151</v>
      </c>
      <c r="D591">
        <v>25</v>
      </c>
      <c r="E591" t="s">
        <v>154</v>
      </c>
    </row>
    <row r="592" spans="1:5" x14ac:dyDescent="0.3">
      <c r="A592">
        <v>591</v>
      </c>
      <c r="B592" s="1" t="s">
        <v>112</v>
      </c>
      <c r="C592" t="s">
        <v>150</v>
      </c>
      <c r="D592">
        <v>49</v>
      </c>
      <c r="E592" t="s">
        <v>154</v>
      </c>
    </row>
    <row r="593" spans="1:5" x14ac:dyDescent="0.3">
      <c r="A593">
        <v>592</v>
      </c>
      <c r="B593" s="1" t="s">
        <v>110</v>
      </c>
      <c r="C593" t="s">
        <v>151</v>
      </c>
      <c r="D593">
        <v>66</v>
      </c>
      <c r="E593" t="s">
        <v>154</v>
      </c>
    </row>
    <row r="594" spans="1:5" x14ac:dyDescent="0.3">
      <c r="A594">
        <v>593</v>
      </c>
      <c r="B594" s="1" t="s">
        <v>98</v>
      </c>
      <c r="C594" t="s">
        <v>151</v>
      </c>
      <c r="D594">
        <v>48</v>
      </c>
      <c r="E594" t="s">
        <v>154</v>
      </c>
    </row>
    <row r="595" spans="1:5" x14ac:dyDescent="0.3">
      <c r="A595">
        <v>594</v>
      </c>
      <c r="B595" s="1" t="s">
        <v>98</v>
      </c>
      <c r="C595" t="s">
        <v>151</v>
      </c>
      <c r="D595">
        <v>58</v>
      </c>
      <c r="E595" t="s">
        <v>154</v>
      </c>
    </row>
    <row r="596" spans="1:5" x14ac:dyDescent="0.3">
      <c r="A596">
        <v>595</v>
      </c>
      <c r="B596" s="1" t="s">
        <v>98</v>
      </c>
      <c r="C596" t="s">
        <v>151</v>
      </c>
      <c r="D596">
        <v>90</v>
      </c>
      <c r="E596" t="s">
        <v>154</v>
      </c>
    </row>
    <row r="597" spans="1:5" x14ac:dyDescent="0.3">
      <c r="A597">
        <v>596</v>
      </c>
      <c r="B597" s="1" t="s">
        <v>101</v>
      </c>
      <c r="C597" t="s">
        <v>150</v>
      </c>
      <c r="D597">
        <v>66</v>
      </c>
      <c r="E597" t="s">
        <v>154</v>
      </c>
    </row>
    <row r="598" spans="1:5" x14ac:dyDescent="0.3">
      <c r="A598">
        <v>597</v>
      </c>
      <c r="B598" s="1" t="s">
        <v>99</v>
      </c>
      <c r="C598" t="s">
        <v>151</v>
      </c>
      <c r="D598">
        <v>43</v>
      </c>
      <c r="E598" t="s">
        <v>154</v>
      </c>
    </row>
    <row r="599" spans="1:5" x14ac:dyDescent="0.3">
      <c r="A599">
        <v>598</v>
      </c>
      <c r="B599" s="1" t="s">
        <v>98</v>
      </c>
      <c r="C599" t="s">
        <v>151</v>
      </c>
      <c r="D599">
        <v>76</v>
      </c>
      <c r="E599" t="s">
        <v>154</v>
      </c>
    </row>
    <row r="600" spans="1:5" x14ac:dyDescent="0.3">
      <c r="A600">
        <v>599</v>
      </c>
      <c r="B600" s="1" t="s">
        <v>100</v>
      </c>
      <c r="C600" t="s">
        <v>151</v>
      </c>
      <c r="D600">
        <v>32</v>
      </c>
      <c r="E600" t="s">
        <v>154</v>
      </c>
    </row>
    <row r="601" spans="1:5" x14ac:dyDescent="0.3">
      <c r="A601">
        <v>600</v>
      </c>
      <c r="B601" s="1" t="s">
        <v>98</v>
      </c>
      <c r="C601" t="s">
        <v>150</v>
      </c>
      <c r="D601">
        <v>77</v>
      </c>
      <c r="E601" t="s">
        <v>154</v>
      </c>
    </row>
    <row r="602" spans="1:5" x14ac:dyDescent="0.3">
      <c r="A602">
        <v>601</v>
      </c>
      <c r="B602" s="1" t="s">
        <v>112</v>
      </c>
      <c r="C602" t="s">
        <v>150</v>
      </c>
      <c r="D602">
        <v>57</v>
      </c>
      <c r="E602" t="s">
        <v>154</v>
      </c>
    </row>
    <row r="603" spans="1:5" x14ac:dyDescent="0.3">
      <c r="A603">
        <v>602</v>
      </c>
      <c r="B603" s="1" t="s">
        <v>103</v>
      </c>
      <c r="C603" t="s">
        <v>151</v>
      </c>
      <c r="D603">
        <v>24</v>
      </c>
      <c r="E603" t="s">
        <v>154</v>
      </c>
    </row>
    <row r="604" spans="1:5" x14ac:dyDescent="0.3">
      <c r="A604">
        <v>603</v>
      </c>
      <c r="B604" s="1" t="s">
        <v>112</v>
      </c>
      <c r="C604" t="s">
        <v>150</v>
      </c>
      <c r="D604">
        <v>41</v>
      </c>
      <c r="E604" t="s">
        <v>154</v>
      </c>
    </row>
    <row r="605" spans="1:5" x14ac:dyDescent="0.3">
      <c r="A605">
        <v>604</v>
      </c>
      <c r="B605" s="1" t="s">
        <v>103</v>
      </c>
      <c r="C605" t="s">
        <v>151</v>
      </c>
      <c r="D605">
        <v>85</v>
      </c>
      <c r="E605" t="s">
        <v>154</v>
      </c>
    </row>
    <row r="606" spans="1:5" x14ac:dyDescent="0.3">
      <c r="A606">
        <v>605</v>
      </c>
      <c r="B606" s="1" t="s">
        <v>98</v>
      </c>
      <c r="C606" t="s">
        <v>150</v>
      </c>
      <c r="D606">
        <v>58</v>
      </c>
      <c r="E606" t="s">
        <v>154</v>
      </c>
    </row>
    <row r="607" spans="1:5" x14ac:dyDescent="0.3">
      <c r="A607">
        <v>606</v>
      </c>
      <c r="B607" s="1" t="s">
        <v>98</v>
      </c>
      <c r="C607" t="s">
        <v>150</v>
      </c>
      <c r="D607">
        <v>18</v>
      </c>
      <c r="E607" t="s">
        <v>154</v>
      </c>
    </row>
    <row r="608" spans="1:5" x14ac:dyDescent="0.3">
      <c r="A608">
        <v>607</v>
      </c>
      <c r="B608" s="1" t="s">
        <v>105</v>
      </c>
      <c r="C608" t="s">
        <v>151</v>
      </c>
      <c r="D608">
        <v>41</v>
      </c>
      <c r="E608" t="s">
        <v>154</v>
      </c>
    </row>
    <row r="609" spans="1:5" x14ac:dyDescent="0.3">
      <c r="A609">
        <v>608</v>
      </c>
      <c r="B609" s="1" t="s">
        <v>107</v>
      </c>
      <c r="C609" t="s">
        <v>150</v>
      </c>
      <c r="D609">
        <v>57</v>
      </c>
      <c r="E609" t="s">
        <v>154</v>
      </c>
    </row>
    <row r="610" spans="1:5" x14ac:dyDescent="0.3">
      <c r="A610">
        <v>609</v>
      </c>
      <c r="B610" s="1" t="s">
        <v>98</v>
      </c>
      <c r="C610" t="s">
        <v>150</v>
      </c>
      <c r="D610">
        <v>87</v>
      </c>
      <c r="E610" t="s">
        <v>154</v>
      </c>
    </row>
    <row r="611" spans="1:5" x14ac:dyDescent="0.3">
      <c r="A611">
        <v>610</v>
      </c>
      <c r="B611" s="1" t="s">
        <v>99</v>
      </c>
      <c r="C611" t="s">
        <v>151</v>
      </c>
      <c r="D611">
        <v>62</v>
      </c>
      <c r="E611" t="s">
        <v>154</v>
      </c>
    </row>
    <row r="612" spans="1:5" x14ac:dyDescent="0.3">
      <c r="A612">
        <v>611</v>
      </c>
      <c r="B612" s="1" t="s">
        <v>112</v>
      </c>
      <c r="C612" t="s">
        <v>150</v>
      </c>
      <c r="D612">
        <v>31</v>
      </c>
      <c r="E612" t="s">
        <v>154</v>
      </c>
    </row>
    <row r="613" spans="1:5" x14ac:dyDescent="0.3">
      <c r="A613">
        <v>612</v>
      </c>
      <c r="B613" s="1" t="s">
        <v>98</v>
      </c>
      <c r="C613" t="s">
        <v>150</v>
      </c>
      <c r="D613">
        <v>18</v>
      </c>
      <c r="E613" t="s">
        <v>154</v>
      </c>
    </row>
    <row r="614" spans="1:5" x14ac:dyDescent="0.3">
      <c r="A614">
        <v>613</v>
      </c>
      <c r="B614" s="1" t="s">
        <v>112</v>
      </c>
      <c r="C614" t="s">
        <v>151</v>
      </c>
      <c r="D614">
        <v>51</v>
      </c>
      <c r="E614" t="s">
        <v>154</v>
      </c>
    </row>
    <row r="615" spans="1:5" x14ac:dyDescent="0.3">
      <c r="A615">
        <v>614</v>
      </c>
      <c r="B615" s="1" t="s">
        <v>98</v>
      </c>
      <c r="C615" t="s">
        <v>150</v>
      </c>
      <c r="D615">
        <v>36</v>
      </c>
      <c r="E615" t="s">
        <v>154</v>
      </c>
    </row>
    <row r="616" spans="1:5" x14ac:dyDescent="0.3">
      <c r="A616">
        <v>615</v>
      </c>
      <c r="B616" s="1" t="s">
        <v>99</v>
      </c>
      <c r="C616" t="s">
        <v>151</v>
      </c>
      <c r="D616">
        <v>53</v>
      </c>
      <c r="E616" t="s">
        <v>154</v>
      </c>
    </row>
    <row r="617" spans="1:5" x14ac:dyDescent="0.3">
      <c r="A617">
        <v>616</v>
      </c>
      <c r="B617" s="1" t="s">
        <v>99</v>
      </c>
      <c r="C617" t="s">
        <v>150</v>
      </c>
      <c r="D617">
        <v>40</v>
      </c>
      <c r="E617" t="s">
        <v>154</v>
      </c>
    </row>
    <row r="618" spans="1:5" x14ac:dyDescent="0.3">
      <c r="A618">
        <v>617</v>
      </c>
      <c r="B618" s="1" t="s">
        <v>98</v>
      </c>
      <c r="C618" t="s">
        <v>151</v>
      </c>
      <c r="D618">
        <v>45</v>
      </c>
      <c r="E618" t="s">
        <v>154</v>
      </c>
    </row>
    <row r="619" spans="1:5" x14ac:dyDescent="0.3">
      <c r="A619">
        <v>618</v>
      </c>
      <c r="B619" s="1" t="s">
        <v>101</v>
      </c>
      <c r="C619" t="s">
        <v>151</v>
      </c>
      <c r="D619">
        <v>58</v>
      </c>
      <c r="E619" t="s">
        <v>154</v>
      </c>
    </row>
    <row r="620" spans="1:5" x14ac:dyDescent="0.3">
      <c r="A620">
        <v>619</v>
      </c>
      <c r="B620" s="1" t="s">
        <v>98</v>
      </c>
      <c r="C620" t="s">
        <v>151</v>
      </c>
      <c r="D620">
        <v>38</v>
      </c>
      <c r="E620" t="s">
        <v>154</v>
      </c>
    </row>
    <row r="621" spans="1:5" x14ac:dyDescent="0.3">
      <c r="A621">
        <v>620</v>
      </c>
      <c r="B621" s="1" t="s">
        <v>105</v>
      </c>
      <c r="C621" t="s">
        <v>150</v>
      </c>
      <c r="D621">
        <v>41</v>
      </c>
      <c r="E621" t="s">
        <v>154</v>
      </c>
    </row>
    <row r="622" spans="1:5" x14ac:dyDescent="0.3">
      <c r="A622">
        <v>621</v>
      </c>
      <c r="B622" s="1" t="s">
        <v>98</v>
      </c>
      <c r="C622" t="s">
        <v>151</v>
      </c>
      <c r="D622">
        <v>50</v>
      </c>
      <c r="E622" t="s">
        <v>154</v>
      </c>
    </row>
    <row r="623" spans="1:5" x14ac:dyDescent="0.3">
      <c r="A623">
        <v>622</v>
      </c>
      <c r="B623" s="1" t="s">
        <v>112</v>
      </c>
      <c r="C623" t="s">
        <v>150</v>
      </c>
      <c r="D623">
        <v>71</v>
      </c>
      <c r="E623" t="s">
        <v>154</v>
      </c>
    </row>
    <row r="624" spans="1:5" x14ac:dyDescent="0.3">
      <c r="A624">
        <v>623</v>
      </c>
      <c r="B624" s="1" t="s">
        <v>112</v>
      </c>
      <c r="C624" t="s">
        <v>151</v>
      </c>
      <c r="D624">
        <v>80</v>
      </c>
      <c r="E624" t="s">
        <v>154</v>
      </c>
    </row>
    <row r="625" spans="1:5" x14ac:dyDescent="0.3">
      <c r="A625">
        <v>624</v>
      </c>
      <c r="B625" s="1" t="s">
        <v>100</v>
      </c>
      <c r="C625" t="s">
        <v>150</v>
      </c>
      <c r="D625">
        <v>43</v>
      </c>
      <c r="E625" t="s">
        <v>154</v>
      </c>
    </row>
    <row r="626" spans="1:5" x14ac:dyDescent="0.3">
      <c r="A626">
        <v>625</v>
      </c>
      <c r="B626" s="1" t="s">
        <v>112</v>
      </c>
      <c r="C626" t="s">
        <v>150</v>
      </c>
      <c r="D626">
        <v>54</v>
      </c>
      <c r="E626" t="s">
        <v>154</v>
      </c>
    </row>
    <row r="627" spans="1:5" x14ac:dyDescent="0.3">
      <c r="A627">
        <v>626</v>
      </c>
      <c r="B627" s="1" t="s">
        <v>98</v>
      </c>
      <c r="C627" t="s">
        <v>151</v>
      </c>
      <c r="D627">
        <v>59</v>
      </c>
      <c r="E627" t="s">
        <v>154</v>
      </c>
    </row>
    <row r="628" spans="1:5" x14ac:dyDescent="0.3">
      <c r="A628">
        <v>627</v>
      </c>
      <c r="B628" s="1" t="s">
        <v>101</v>
      </c>
      <c r="C628" t="s">
        <v>150</v>
      </c>
      <c r="D628">
        <v>62</v>
      </c>
      <c r="E628" t="s">
        <v>154</v>
      </c>
    </row>
    <row r="629" spans="1:5" x14ac:dyDescent="0.3">
      <c r="A629">
        <v>628</v>
      </c>
      <c r="B629" s="1" t="s">
        <v>99</v>
      </c>
      <c r="C629" t="s">
        <v>151</v>
      </c>
      <c r="D629">
        <v>85</v>
      </c>
      <c r="E629" t="s">
        <v>154</v>
      </c>
    </row>
    <row r="630" spans="1:5" x14ac:dyDescent="0.3">
      <c r="A630">
        <v>629</v>
      </c>
      <c r="B630" s="1" t="s">
        <v>98</v>
      </c>
      <c r="C630" t="s">
        <v>150</v>
      </c>
      <c r="D630">
        <v>82</v>
      </c>
      <c r="E630" t="s">
        <v>154</v>
      </c>
    </row>
    <row r="631" spans="1:5" x14ac:dyDescent="0.3">
      <c r="A631">
        <v>630</v>
      </c>
      <c r="B631" s="1" t="s">
        <v>112</v>
      </c>
      <c r="C631" t="s">
        <v>151</v>
      </c>
      <c r="D631">
        <v>86</v>
      </c>
      <c r="E631" t="s">
        <v>154</v>
      </c>
    </row>
    <row r="632" spans="1:5" x14ac:dyDescent="0.3">
      <c r="A632">
        <v>631</v>
      </c>
      <c r="B632" s="1" t="s">
        <v>112</v>
      </c>
      <c r="C632" t="s">
        <v>151</v>
      </c>
      <c r="D632">
        <v>53</v>
      </c>
      <c r="E632" t="s">
        <v>154</v>
      </c>
    </row>
    <row r="633" spans="1:5" x14ac:dyDescent="0.3">
      <c r="A633">
        <v>632</v>
      </c>
      <c r="B633" s="1" t="s">
        <v>98</v>
      </c>
      <c r="C633" t="s">
        <v>151</v>
      </c>
      <c r="D633">
        <v>67</v>
      </c>
      <c r="E633" t="s">
        <v>154</v>
      </c>
    </row>
    <row r="634" spans="1:5" x14ac:dyDescent="0.3">
      <c r="A634">
        <v>633</v>
      </c>
      <c r="B634" s="1" t="s">
        <v>99</v>
      </c>
      <c r="C634" t="s">
        <v>151</v>
      </c>
      <c r="D634">
        <v>88</v>
      </c>
      <c r="E634" t="s">
        <v>154</v>
      </c>
    </row>
    <row r="635" spans="1:5" x14ac:dyDescent="0.3">
      <c r="A635">
        <v>634</v>
      </c>
      <c r="B635" s="1" t="s">
        <v>98</v>
      </c>
      <c r="C635" t="s">
        <v>150</v>
      </c>
      <c r="D635">
        <v>62</v>
      </c>
      <c r="E635" t="s">
        <v>154</v>
      </c>
    </row>
    <row r="636" spans="1:5" x14ac:dyDescent="0.3">
      <c r="A636">
        <v>635</v>
      </c>
      <c r="B636" s="1" t="s">
        <v>98</v>
      </c>
      <c r="C636" t="s">
        <v>150</v>
      </c>
      <c r="D636">
        <v>32</v>
      </c>
      <c r="E636" t="s">
        <v>154</v>
      </c>
    </row>
    <row r="637" spans="1:5" x14ac:dyDescent="0.3">
      <c r="A637">
        <v>636</v>
      </c>
      <c r="B637" s="1" t="s">
        <v>98</v>
      </c>
      <c r="C637" t="s">
        <v>150</v>
      </c>
      <c r="D637">
        <v>57</v>
      </c>
      <c r="E637" t="s">
        <v>154</v>
      </c>
    </row>
    <row r="638" spans="1:5" x14ac:dyDescent="0.3">
      <c r="A638">
        <v>637</v>
      </c>
      <c r="B638" s="1" t="s">
        <v>98</v>
      </c>
      <c r="C638" t="s">
        <v>150</v>
      </c>
      <c r="D638">
        <v>38</v>
      </c>
      <c r="E638" t="s">
        <v>154</v>
      </c>
    </row>
    <row r="639" spans="1:5" x14ac:dyDescent="0.3">
      <c r="A639">
        <v>638</v>
      </c>
      <c r="B639" s="1" t="s">
        <v>99</v>
      </c>
      <c r="C639" t="s">
        <v>150</v>
      </c>
      <c r="D639">
        <v>65</v>
      </c>
      <c r="E639" t="s">
        <v>154</v>
      </c>
    </row>
    <row r="640" spans="1:5" x14ac:dyDescent="0.3">
      <c r="A640">
        <v>639</v>
      </c>
      <c r="B640" s="1" t="s">
        <v>98</v>
      </c>
      <c r="C640" t="s">
        <v>151</v>
      </c>
      <c r="D640">
        <v>59</v>
      </c>
      <c r="E640" t="s">
        <v>154</v>
      </c>
    </row>
    <row r="641" spans="1:5" x14ac:dyDescent="0.3">
      <c r="A641">
        <v>640</v>
      </c>
      <c r="B641" s="1" t="s">
        <v>99</v>
      </c>
      <c r="C641" t="s">
        <v>151</v>
      </c>
      <c r="D641">
        <v>51</v>
      </c>
      <c r="E641" t="s">
        <v>154</v>
      </c>
    </row>
    <row r="642" spans="1:5" x14ac:dyDescent="0.3">
      <c r="A642">
        <v>641</v>
      </c>
      <c r="B642" s="1" t="s">
        <v>98</v>
      </c>
      <c r="C642" t="s">
        <v>150</v>
      </c>
      <c r="D642">
        <v>28</v>
      </c>
      <c r="E642" t="s">
        <v>154</v>
      </c>
    </row>
    <row r="643" spans="1:5" x14ac:dyDescent="0.3">
      <c r="A643">
        <v>642</v>
      </c>
      <c r="B643" s="1" t="s">
        <v>99</v>
      </c>
      <c r="C643" t="s">
        <v>151</v>
      </c>
      <c r="D643">
        <v>32</v>
      </c>
      <c r="E643" t="s">
        <v>154</v>
      </c>
    </row>
    <row r="644" spans="1:5" x14ac:dyDescent="0.3">
      <c r="A644">
        <v>643</v>
      </c>
      <c r="B644" s="1" t="s">
        <v>112</v>
      </c>
      <c r="C644" t="s">
        <v>151</v>
      </c>
      <c r="D644">
        <v>39</v>
      </c>
      <c r="E644" t="s">
        <v>154</v>
      </c>
    </row>
    <row r="645" spans="1:5" x14ac:dyDescent="0.3">
      <c r="A645">
        <v>644</v>
      </c>
      <c r="B645" s="1" t="s">
        <v>105</v>
      </c>
      <c r="C645" t="s">
        <v>150</v>
      </c>
      <c r="D645">
        <v>61</v>
      </c>
      <c r="E645" t="s">
        <v>154</v>
      </c>
    </row>
    <row r="646" spans="1:5" x14ac:dyDescent="0.3">
      <c r="A646">
        <v>645</v>
      </c>
      <c r="B646" s="1" t="s">
        <v>107</v>
      </c>
      <c r="C646" t="s">
        <v>151</v>
      </c>
      <c r="D646">
        <v>40</v>
      </c>
      <c r="E646" t="s">
        <v>154</v>
      </c>
    </row>
    <row r="647" spans="1:5" x14ac:dyDescent="0.3">
      <c r="A647">
        <v>646</v>
      </c>
      <c r="B647" s="1" t="s">
        <v>105</v>
      </c>
      <c r="C647" t="s">
        <v>151</v>
      </c>
      <c r="D647">
        <v>69</v>
      </c>
      <c r="E647" t="s">
        <v>154</v>
      </c>
    </row>
    <row r="648" spans="1:5" x14ac:dyDescent="0.3">
      <c r="A648">
        <v>647</v>
      </c>
      <c r="B648" s="1" t="s">
        <v>100</v>
      </c>
      <c r="C648" t="s">
        <v>150</v>
      </c>
      <c r="D648">
        <v>76</v>
      </c>
      <c r="E648" t="s">
        <v>154</v>
      </c>
    </row>
    <row r="649" spans="1:5" x14ac:dyDescent="0.3">
      <c r="A649">
        <v>648</v>
      </c>
      <c r="B649" s="1" t="s">
        <v>103</v>
      </c>
      <c r="C649" t="s">
        <v>151</v>
      </c>
      <c r="D649">
        <v>34</v>
      </c>
      <c r="E649" t="s">
        <v>154</v>
      </c>
    </row>
    <row r="650" spans="1:5" x14ac:dyDescent="0.3">
      <c r="A650">
        <v>649</v>
      </c>
      <c r="B650" s="1" t="s">
        <v>98</v>
      </c>
      <c r="C650" t="s">
        <v>151</v>
      </c>
      <c r="D650">
        <v>72</v>
      </c>
      <c r="E650" t="s">
        <v>154</v>
      </c>
    </row>
    <row r="651" spans="1:5" x14ac:dyDescent="0.3">
      <c r="A651">
        <v>650</v>
      </c>
      <c r="B651" s="1" t="s">
        <v>99</v>
      </c>
      <c r="C651" t="s">
        <v>151</v>
      </c>
      <c r="D651">
        <v>38</v>
      </c>
      <c r="E651" t="s">
        <v>154</v>
      </c>
    </row>
    <row r="652" spans="1:5" x14ac:dyDescent="0.3">
      <c r="A652">
        <v>651</v>
      </c>
      <c r="B652" s="1" t="s">
        <v>98</v>
      </c>
      <c r="C652" t="s">
        <v>151</v>
      </c>
      <c r="D652">
        <v>61</v>
      </c>
      <c r="E652" t="s">
        <v>154</v>
      </c>
    </row>
    <row r="653" spans="1:5" x14ac:dyDescent="0.3">
      <c r="A653">
        <v>652</v>
      </c>
      <c r="B653" s="1" t="s">
        <v>98</v>
      </c>
      <c r="C653" t="s">
        <v>151</v>
      </c>
      <c r="D653">
        <v>79</v>
      </c>
      <c r="E653" t="s">
        <v>154</v>
      </c>
    </row>
    <row r="654" spans="1:5" x14ac:dyDescent="0.3">
      <c r="A654">
        <v>653</v>
      </c>
      <c r="B654" s="1" t="s">
        <v>99</v>
      </c>
      <c r="C654" t="s">
        <v>151</v>
      </c>
      <c r="D654">
        <v>68</v>
      </c>
      <c r="E654" t="s">
        <v>154</v>
      </c>
    </row>
    <row r="655" spans="1:5" x14ac:dyDescent="0.3">
      <c r="A655">
        <v>654</v>
      </c>
      <c r="B655" s="1" t="s">
        <v>99</v>
      </c>
      <c r="C655" t="s">
        <v>150</v>
      </c>
      <c r="D655">
        <v>51</v>
      </c>
      <c r="E655" t="s">
        <v>154</v>
      </c>
    </row>
    <row r="656" spans="1:5" x14ac:dyDescent="0.3">
      <c r="A656">
        <v>655</v>
      </c>
      <c r="B656" s="1" t="s">
        <v>98</v>
      </c>
      <c r="C656" t="s">
        <v>150</v>
      </c>
      <c r="D656">
        <v>22</v>
      </c>
      <c r="E656" t="s">
        <v>154</v>
      </c>
    </row>
    <row r="657" spans="1:5" x14ac:dyDescent="0.3">
      <c r="A657">
        <v>656</v>
      </c>
      <c r="B657" s="1" t="s">
        <v>98</v>
      </c>
      <c r="C657" t="s">
        <v>151</v>
      </c>
      <c r="D657">
        <v>30</v>
      </c>
      <c r="E657" t="s">
        <v>154</v>
      </c>
    </row>
    <row r="658" spans="1:5" x14ac:dyDescent="0.3">
      <c r="A658">
        <v>657</v>
      </c>
      <c r="B658" s="1" t="s">
        <v>99</v>
      </c>
      <c r="C658" t="s">
        <v>150</v>
      </c>
      <c r="D658">
        <v>63</v>
      </c>
      <c r="E658" t="s">
        <v>154</v>
      </c>
    </row>
    <row r="659" spans="1:5" x14ac:dyDescent="0.3">
      <c r="A659">
        <v>658</v>
      </c>
      <c r="B659" s="1" t="s">
        <v>112</v>
      </c>
      <c r="C659" t="s">
        <v>150</v>
      </c>
      <c r="D659">
        <v>42</v>
      </c>
      <c r="E659" t="s">
        <v>154</v>
      </c>
    </row>
    <row r="660" spans="1:5" x14ac:dyDescent="0.3">
      <c r="A660">
        <v>659</v>
      </c>
      <c r="B660" s="1" t="s">
        <v>100</v>
      </c>
      <c r="C660" t="s">
        <v>151</v>
      </c>
      <c r="D660">
        <v>61</v>
      </c>
      <c r="E660" t="s">
        <v>154</v>
      </c>
    </row>
    <row r="661" spans="1:5" x14ac:dyDescent="0.3">
      <c r="A661">
        <v>660</v>
      </c>
      <c r="B661" s="1" t="s">
        <v>98</v>
      </c>
      <c r="C661" t="s">
        <v>150</v>
      </c>
      <c r="D661">
        <v>23</v>
      </c>
      <c r="E661" t="s">
        <v>154</v>
      </c>
    </row>
    <row r="662" spans="1:5" x14ac:dyDescent="0.3">
      <c r="A662">
        <v>661</v>
      </c>
      <c r="B662" s="1" t="s">
        <v>98</v>
      </c>
      <c r="C662" t="s">
        <v>151</v>
      </c>
      <c r="D662">
        <v>50</v>
      </c>
      <c r="E662" t="s">
        <v>154</v>
      </c>
    </row>
    <row r="663" spans="1:5" x14ac:dyDescent="0.3">
      <c r="A663">
        <v>662</v>
      </c>
      <c r="B663" s="1" t="s">
        <v>98</v>
      </c>
      <c r="C663" t="s">
        <v>151</v>
      </c>
      <c r="D663">
        <v>23</v>
      </c>
      <c r="E663" t="s">
        <v>154</v>
      </c>
    </row>
    <row r="664" spans="1:5" x14ac:dyDescent="0.3">
      <c r="A664">
        <v>663</v>
      </c>
      <c r="B664" s="1" t="s">
        <v>112</v>
      </c>
      <c r="C664" t="s">
        <v>150</v>
      </c>
      <c r="D664">
        <v>26</v>
      </c>
      <c r="E664" t="s">
        <v>154</v>
      </c>
    </row>
    <row r="665" spans="1:5" x14ac:dyDescent="0.3">
      <c r="A665">
        <v>664</v>
      </c>
      <c r="B665" s="1" t="s">
        <v>98</v>
      </c>
      <c r="C665" t="s">
        <v>150</v>
      </c>
      <c r="D665">
        <v>19</v>
      </c>
      <c r="E665" t="s">
        <v>154</v>
      </c>
    </row>
    <row r="666" spans="1:5" x14ac:dyDescent="0.3">
      <c r="A666">
        <v>665</v>
      </c>
      <c r="B666" s="1" t="s">
        <v>99</v>
      </c>
      <c r="C666" t="s">
        <v>150</v>
      </c>
      <c r="D666">
        <v>42</v>
      </c>
      <c r="E666" t="s">
        <v>154</v>
      </c>
    </row>
    <row r="667" spans="1:5" x14ac:dyDescent="0.3">
      <c r="A667">
        <v>666</v>
      </c>
      <c r="B667" s="1" t="s">
        <v>99</v>
      </c>
      <c r="C667" t="s">
        <v>151</v>
      </c>
      <c r="D667">
        <v>24</v>
      </c>
      <c r="E667" t="s">
        <v>154</v>
      </c>
    </row>
    <row r="668" spans="1:5" x14ac:dyDescent="0.3">
      <c r="A668">
        <v>667</v>
      </c>
      <c r="B668" s="1" t="s">
        <v>99</v>
      </c>
      <c r="C668" t="s">
        <v>150</v>
      </c>
      <c r="D668">
        <v>64</v>
      </c>
      <c r="E668" t="s">
        <v>154</v>
      </c>
    </row>
    <row r="669" spans="1:5" x14ac:dyDescent="0.3">
      <c r="A669">
        <v>668</v>
      </c>
      <c r="B669" s="1" t="s">
        <v>99</v>
      </c>
      <c r="C669" t="s">
        <v>151</v>
      </c>
      <c r="D669">
        <v>90</v>
      </c>
      <c r="E669" t="s">
        <v>154</v>
      </c>
    </row>
    <row r="670" spans="1:5" x14ac:dyDescent="0.3">
      <c r="A670">
        <v>669</v>
      </c>
      <c r="B670" s="1" t="s">
        <v>98</v>
      </c>
      <c r="C670" t="s">
        <v>150</v>
      </c>
      <c r="D670">
        <v>33</v>
      </c>
      <c r="E670" t="s">
        <v>154</v>
      </c>
    </row>
    <row r="671" spans="1:5" x14ac:dyDescent="0.3">
      <c r="A671">
        <v>670</v>
      </c>
      <c r="B671" s="1" t="s">
        <v>100</v>
      </c>
      <c r="C671" t="s">
        <v>151</v>
      </c>
      <c r="D671">
        <v>57</v>
      </c>
      <c r="E671" t="s">
        <v>154</v>
      </c>
    </row>
    <row r="672" spans="1:5" x14ac:dyDescent="0.3">
      <c r="A672">
        <v>671</v>
      </c>
      <c r="B672" s="1" t="s">
        <v>112</v>
      </c>
      <c r="C672" t="s">
        <v>150</v>
      </c>
      <c r="D672">
        <v>59</v>
      </c>
      <c r="E672" t="s">
        <v>154</v>
      </c>
    </row>
    <row r="673" spans="1:5" x14ac:dyDescent="0.3">
      <c r="A673">
        <v>672</v>
      </c>
      <c r="B673" s="1" t="s">
        <v>98</v>
      </c>
      <c r="C673" t="s">
        <v>151</v>
      </c>
      <c r="D673">
        <v>78</v>
      </c>
      <c r="E673" t="s">
        <v>154</v>
      </c>
    </row>
    <row r="674" spans="1:5" x14ac:dyDescent="0.3">
      <c r="A674">
        <v>673</v>
      </c>
      <c r="B674" s="1" t="s">
        <v>98</v>
      </c>
      <c r="C674" t="s">
        <v>150</v>
      </c>
      <c r="D674">
        <v>78</v>
      </c>
      <c r="E674" t="s">
        <v>154</v>
      </c>
    </row>
    <row r="675" spans="1:5" x14ac:dyDescent="0.3">
      <c r="A675">
        <v>674</v>
      </c>
      <c r="B675" s="1" t="s">
        <v>98</v>
      </c>
      <c r="C675" t="s">
        <v>151</v>
      </c>
      <c r="D675">
        <v>71</v>
      </c>
      <c r="E675" t="s">
        <v>154</v>
      </c>
    </row>
    <row r="676" spans="1:5" x14ac:dyDescent="0.3">
      <c r="A676">
        <v>675</v>
      </c>
      <c r="B676" s="1" t="s">
        <v>106</v>
      </c>
      <c r="C676" t="s">
        <v>151</v>
      </c>
      <c r="D676">
        <v>52</v>
      </c>
      <c r="E676" t="s">
        <v>154</v>
      </c>
    </row>
    <row r="677" spans="1:5" x14ac:dyDescent="0.3">
      <c r="A677">
        <v>676</v>
      </c>
      <c r="B677" s="1" t="s">
        <v>112</v>
      </c>
      <c r="C677" t="s">
        <v>151</v>
      </c>
      <c r="D677">
        <v>74</v>
      </c>
      <c r="E677" t="s">
        <v>154</v>
      </c>
    </row>
    <row r="678" spans="1:5" x14ac:dyDescent="0.3">
      <c r="A678">
        <v>677</v>
      </c>
      <c r="B678" s="1" t="s">
        <v>103</v>
      </c>
      <c r="C678" t="s">
        <v>150</v>
      </c>
      <c r="D678">
        <v>75</v>
      </c>
      <c r="E678" t="s">
        <v>154</v>
      </c>
    </row>
    <row r="679" spans="1:5" x14ac:dyDescent="0.3">
      <c r="A679">
        <v>678</v>
      </c>
      <c r="B679" s="1" t="s">
        <v>99</v>
      </c>
      <c r="C679" t="s">
        <v>151</v>
      </c>
      <c r="D679">
        <v>29</v>
      </c>
      <c r="E679" t="s">
        <v>154</v>
      </c>
    </row>
    <row r="680" spans="1:5" x14ac:dyDescent="0.3">
      <c r="A680">
        <v>679</v>
      </c>
      <c r="B680" s="1" t="s">
        <v>105</v>
      </c>
      <c r="C680" t="s">
        <v>150</v>
      </c>
      <c r="D680">
        <v>34</v>
      </c>
      <c r="E680" t="s">
        <v>154</v>
      </c>
    </row>
    <row r="681" spans="1:5" x14ac:dyDescent="0.3">
      <c r="A681">
        <v>680</v>
      </c>
      <c r="B681" s="1" t="s">
        <v>98</v>
      </c>
      <c r="C681" t="s">
        <v>150</v>
      </c>
      <c r="D681">
        <v>81</v>
      </c>
      <c r="E681" t="s">
        <v>154</v>
      </c>
    </row>
    <row r="682" spans="1:5" x14ac:dyDescent="0.3">
      <c r="A682">
        <v>681</v>
      </c>
      <c r="B682" s="1" t="s">
        <v>98</v>
      </c>
      <c r="C682" t="s">
        <v>150</v>
      </c>
      <c r="D682">
        <v>62</v>
      </c>
      <c r="E682" t="s">
        <v>154</v>
      </c>
    </row>
    <row r="683" spans="1:5" x14ac:dyDescent="0.3">
      <c r="A683">
        <v>682</v>
      </c>
      <c r="B683" s="1" t="s">
        <v>98</v>
      </c>
      <c r="C683" t="s">
        <v>150</v>
      </c>
      <c r="D683">
        <v>83</v>
      </c>
      <c r="E683" t="s">
        <v>154</v>
      </c>
    </row>
    <row r="684" spans="1:5" x14ac:dyDescent="0.3">
      <c r="A684">
        <v>683</v>
      </c>
      <c r="B684" s="1" t="s">
        <v>100</v>
      </c>
      <c r="C684" t="s">
        <v>151</v>
      </c>
      <c r="D684">
        <v>47</v>
      </c>
      <c r="E684" t="s">
        <v>154</v>
      </c>
    </row>
    <row r="685" spans="1:5" x14ac:dyDescent="0.3">
      <c r="A685">
        <v>684</v>
      </c>
      <c r="B685" s="1" t="s">
        <v>101</v>
      </c>
      <c r="C685" t="s">
        <v>151</v>
      </c>
      <c r="D685">
        <v>88</v>
      </c>
      <c r="E685" t="s">
        <v>154</v>
      </c>
    </row>
    <row r="686" spans="1:5" x14ac:dyDescent="0.3">
      <c r="A686">
        <v>685</v>
      </c>
      <c r="B686" s="1" t="s">
        <v>100</v>
      </c>
      <c r="C686" t="s">
        <v>150</v>
      </c>
      <c r="D686">
        <v>50</v>
      </c>
      <c r="E686" t="s">
        <v>154</v>
      </c>
    </row>
    <row r="687" spans="1:5" x14ac:dyDescent="0.3">
      <c r="A687">
        <v>686</v>
      </c>
      <c r="B687" s="1" t="s">
        <v>112</v>
      </c>
      <c r="C687" t="s">
        <v>151</v>
      </c>
      <c r="D687">
        <v>64</v>
      </c>
      <c r="E687" t="s">
        <v>154</v>
      </c>
    </row>
    <row r="688" spans="1:5" x14ac:dyDescent="0.3">
      <c r="A688">
        <v>687</v>
      </c>
      <c r="B688" s="1" t="s">
        <v>99</v>
      </c>
      <c r="C688" t="s">
        <v>151</v>
      </c>
      <c r="D688">
        <v>50</v>
      </c>
      <c r="E688" t="s">
        <v>154</v>
      </c>
    </row>
    <row r="689" spans="1:5" x14ac:dyDescent="0.3">
      <c r="A689">
        <v>688</v>
      </c>
      <c r="B689" s="1" t="s">
        <v>107</v>
      </c>
      <c r="C689" t="s">
        <v>151</v>
      </c>
      <c r="D689">
        <v>89</v>
      </c>
      <c r="E689" t="s">
        <v>154</v>
      </c>
    </row>
    <row r="690" spans="1:5" x14ac:dyDescent="0.3">
      <c r="A690">
        <v>689</v>
      </c>
      <c r="B690" s="1" t="s">
        <v>99</v>
      </c>
      <c r="C690" t="s">
        <v>151</v>
      </c>
      <c r="D690">
        <v>41</v>
      </c>
      <c r="E690" t="s">
        <v>154</v>
      </c>
    </row>
    <row r="691" spans="1:5" x14ac:dyDescent="0.3">
      <c r="A691">
        <v>690</v>
      </c>
      <c r="B691" s="1" t="s">
        <v>108</v>
      </c>
      <c r="C691" t="s">
        <v>150</v>
      </c>
      <c r="D691">
        <v>37</v>
      </c>
      <c r="E691" t="s">
        <v>154</v>
      </c>
    </row>
    <row r="692" spans="1:5" x14ac:dyDescent="0.3">
      <c r="A692">
        <v>691</v>
      </c>
      <c r="B692" s="1" t="s">
        <v>102</v>
      </c>
      <c r="C692" t="s">
        <v>151</v>
      </c>
      <c r="D692">
        <v>33</v>
      </c>
      <c r="E692" t="s">
        <v>154</v>
      </c>
    </row>
    <row r="693" spans="1:5" x14ac:dyDescent="0.3">
      <c r="A693">
        <v>692</v>
      </c>
      <c r="B693" s="1" t="s">
        <v>98</v>
      </c>
      <c r="C693" t="s">
        <v>151</v>
      </c>
      <c r="D693">
        <v>53</v>
      </c>
      <c r="E693" t="s">
        <v>154</v>
      </c>
    </row>
    <row r="694" spans="1:5" x14ac:dyDescent="0.3">
      <c r="A694">
        <v>693</v>
      </c>
      <c r="B694" s="1" t="s">
        <v>99</v>
      </c>
      <c r="C694" t="s">
        <v>150</v>
      </c>
      <c r="D694">
        <v>59</v>
      </c>
      <c r="E694" t="s">
        <v>154</v>
      </c>
    </row>
    <row r="695" spans="1:5" x14ac:dyDescent="0.3">
      <c r="A695">
        <v>694</v>
      </c>
      <c r="B695" s="1" t="s">
        <v>101</v>
      </c>
      <c r="C695" t="s">
        <v>150</v>
      </c>
      <c r="D695">
        <v>36</v>
      </c>
      <c r="E695" t="s">
        <v>154</v>
      </c>
    </row>
    <row r="696" spans="1:5" x14ac:dyDescent="0.3">
      <c r="A696">
        <v>695</v>
      </c>
      <c r="B696" s="1" t="s">
        <v>99</v>
      </c>
      <c r="C696" t="s">
        <v>150</v>
      </c>
      <c r="D696">
        <v>25</v>
      </c>
      <c r="E696" t="s">
        <v>154</v>
      </c>
    </row>
    <row r="697" spans="1:5" x14ac:dyDescent="0.3">
      <c r="A697">
        <v>696</v>
      </c>
      <c r="B697" s="1" t="s">
        <v>99</v>
      </c>
      <c r="C697" t="s">
        <v>151</v>
      </c>
      <c r="D697">
        <v>30</v>
      </c>
      <c r="E697" t="s">
        <v>154</v>
      </c>
    </row>
    <row r="698" spans="1:5" x14ac:dyDescent="0.3">
      <c r="A698">
        <v>697</v>
      </c>
      <c r="B698" s="1" t="s">
        <v>98</v>
      </c>
      <c r="C698" t="s">
        <v>151</v>
      </c>
      <c r="D698">
        <v>63</v>
      </c>
      <c r="E698" t="s">
        <v>154</v>
      </c>
    </row>
    <row r="699" spans="1:5" x14ac:dyDescent="0.3">
      <c r="A699">
        <v>698</v>
      </c>
      <c r="B699" s="1" t="s">
        <v>100</v>
      </c>
      <c r="C699" t="s">
        <v>150</v>
      </c>
      <c r="D699">
        <v>61</v>
      </c>
      <c r="E699" t="s">
        <v>154</v>
      </c>
    </row>
    <row r="700" spans="1:5" x14ac:dyDescent="0.3">
      <c r="A700">
        <v>699</v>
      </c>
      <c r="B700" s="1" t="s">
        <v>98</v>
      </c>
      <c r="C700" t="s">
        <v>151</v>
      </c>
      <c r="D700">
        <v>68</v>
      </c>
      <c r="E700" t="s">
        <v>154</v>
      </c>
    </row>
    <row r="701" spans="1:5" x14ac:dyDescent="0.3">
      <c r="A701">
        <v>700</v>
      </c>
      <c r="B701" s="1" t="s">
        <v>98</v>
      </c>
      <c r="C701" t="s">
        <v>151</v>
      </c>
      <c r="D701">
        <v>53</v>
      </c>
      <c r="E701" t="s">
        <v>154</v>
      </c>
    </row>
    <row r="702" spans="1:5" x14ac:dyDescent="0.3">
      <c r="A702">
        <v>701</v>
      </c>
      <c r="B702" s="1" t="s">
        <v>112</v>
      </c>
      <c r="C702" t="s">
        <v>150</v>
      </c>
      <c r="D702">
        <v>72</v>
      </c>
      <c r="E702" t="s">
        <v>154</v>
      </c>
    </row>
    <row r="703" spans="1:5" x14ac:dyDescent="0.3">
      <c r="A703">
        <v>702</v>
      </c>
      <c r="B703" s="1" t="s">
        <v>100</v>
      </c>
      <c r="C703" t="s">
        <v>151</v>
      </c>
      <c r="D703">
        <v>75</v>
      </c>
      <c r="E703" t="s">
        <v>154</v>
      </c>
    </row>
    <row r="704" spans="1:5" x14ac:dyDescent="0.3">
      <c r="A704">
        <v>703</v>
      </c>
      <c r="B704" s="1" t="s">
        <v>98</v>
      </c>
      <c r="C704" t="s">
        <v>150</v>
      </c>
      <c r="D704">
        <v>84</v>
      </c>
      <c r="E704" t="s">
        <v>154</v>
      </c>
    </row>
    <row r="705" spans="1:5" x14ac:dyDescent="0.3">
      <c r="A705">
        <v>704</v>
      </c>
      <c r="B705" s="1" t="s">
        <v>98</v>
      </c>
      <c r="C705" t="s">
        <v>151</v>
      </c>
      <c r="D705">
        <v>76</v>
      </c>
      <c r="E705" t="s">
        <v>154</v>
      </c>
    </row>
    <row r="706" spans="1:5" x14ac:dyDescent="0.3">
      <c r="A706">
        <v>705</v>
      </c>
      <c r="B706" s="1" t="s">
        <v>98</v>
      </c>
      <c r="C706" t="s">
        <v>151</v>
      </c>
      <c r="D706">
        <v>20</v>
      </c>
      <c r="E706" t="s">
        <v>154</v>
      </c>
    </row>
    <row r="707" spans="1:5" x14ac:dyDescent="0.3">
      <c r="A707">
        <v>706</v>
      </c>
      <c r="B707" s="1" t="s">
        <v>99</v>
      </c>
      <c r="C707" t="s">
        <v>150</v>
      </c>
      <c r="D707">
        <v>29</v>
      </c>
      <c r="E707" t="s">
        <v>154</v>
      </c>
    </row>
    <row r="708" spans="1:5" x14ac:dyDescent="0.3">
      <c r="A708">
        <v>707</v>
      </c>
      <c r="B708" s="1" t="s">
        <v>99</v>
      </c>
      <c r="C708" t="s">
        <v>150</v>
      </c>
      <c r="D708">
        <v>23</v>
      </c>
      <c r="E708" t="s">
        <v>154</v>
      </c>
    </row>
    <row r="709" spans="1:5" x14ac:dyDescent="0.3">
      <c r="A709">
        <v>708</v>
      </c>
      <c r="B709" s="1" t="s">
        <v>107</v>
      </c>
      <c r="C709" t="s">
        <v>150</v>
      </c>
      <c r="D709">
        <v>39</v>
      </c>
      <c r="E709" t="s">
        <v>154</v>
      </c>
    </row>
    <row r="710" spans="1:5" x14ac:dyDescent="0.3">
      <c r="A710">
        <v>709</v>
      </c>
      <c r="B710" s="1" t="s">
        <v>99</v>
      </c>
      <c r="C710" t="s">
        <v>151</v>
      </c>
      <c r="D710">
        <v>58</v>
      </c>
      <c r="E710" t="s">
        <v>154</v>
      </c>
    </row>
    <row r="711" spans="1:5" x14ac:dyDescent="0.3">
      <c r="A711">
        <v>710</v>
      </c>
      <c r="B711" s="1" t="s">
        <v>98</v>
      </c>
      <c r="C711" t="s">
        <v>150</v>
      </c>
      <c r="D711">
        <v>34</v>
      </c>
      <c r="E711" t="s">
        <v>154</v>
      </c>
    </row>
    <row r="712" spans="1:5" x14ac:dyDescent="0.3">
      <c r="A712">
        <v>711</v>
      </c>
      <c r="B712" s="1" t="s">
        <v>98</v>
      </c>
      <c r="C712" t="s">
        <v>150</v>
      </c>
      <c r="D712">
        <v>56</v>
      </c>
      <c r="E712" t="s">
        <v>154</v>
      </c>
    </row>
    <row r="713" spans="1:5" x14ac:dyDescent="0.3">
      <c r="A713">
        <v>712</v>
      </c>
      <c r="B713" s="1" t="s">
        <v>98</v>
      </c>
      <c r="C713" t="s">
        <v>150</v>
      </c>
      <c r="D713">
        <v>90</v>
      </c>
      <c r="E713" t="s">
        <v>154</v>
      </c>
    </row>
    <row r="714" spans="1:5" x14ac:dyDescent="0.3">
      <c r="A714">
        <v>713</v>
      </c>
      <c r="B714" s="1" t="s">
        <v>101</v>
      </c>
      <c r="C714" t="s">
        <v>150</v>
      </c>
      <c r="D714">
        <v>89</v>
      </c>
      <c r="E714" t="s">
        <v>154</v>
      </c>
    </row>
    <row r="715" spans="1:5" x14ac:dyDescent="0.3">
      <c r="A715">
        <v>714</v>
      </c>
      <c r="B715" s="1" t="s">
        <v>98</v>
      </c>
      <c r="C715" t="s">
        <v>150</v>
      </c>
      <c r="D715">
        <v>25</v>
      </c>
      <c r="E715" t="s">
        <v>154</v>
      </c>
    </row>
    <row r="716" spans="1:5" x14ac:dyDescent="0.3">
      <c r="A716">
        <v>715</v>
      </c>
      <c r="B716" s="1" t="s">
        <v>98</v>
      </c>
      <c r="C716" t="s">
        <v>150</v>
      </c>
      <c r="D716">
        <v>81</v>
      </c>
      <c r="E716" t="s">
        <v>154</v>
      </c>
    </row>
    <row r="717" spans="1:5" x14ac:dyDescent="0.3">
      <c r="A717">
        <v>716</v>
      </c>
      <c r="B717" s="1" t="s">
        <v>112</v>
      </c>
      <c r="C717" t="s">
        <v>150</v>
      </c>
      <c r="D717">
        <v>86</v>
      </c>
      <c r="E717" t="s">
        <v>154</v>
      </c>
    </row>
    <row r="718" spans="1:5" x14ac:dyDescent="0.3">
      <c r="A718">
        <v>717</v>
      </c>
      <c r="B718" s="1" t="s">
        <v>100</v>
      </c>
      <c r="C718" t="s">
        <v>150</v>
      </c>
      <c r="D718">
        <v>90</v>
      </c>
      <c r="E718" t="s">
        <v>154</v>
      </c>
    </row>
    <row r="719" spans="1:5" x14ac:dyDescent="0.3">
      <c r="A719">
        <v>718</v>
      </c>
      <c r="B719" s="1" t="s">
        <v>102</v>
      </c>
      <c r="C719" t="s">
        <v>151</v>
      </c>
      <c r="D719">
        <v>77</v>
      </c>
      <c r="E719" t="s">
        <v>154</v>
      </c>
    </row>
    <row r="720" spans="1:5" x14ac:dyDescent="0.3">
      <c r="A720">
        <v>719</v>
      </c>
      <c r="B720" s="1" t="s">
        <v>102</v>
      </c>
      <c r="C720" t="s">
        <v>150</v>
      </c>
      <c r="D720">
        <v>29</v>
      </c>
      <c r="E720" t="s">
        <v>154</v>
      </c>
    </row>
    <row r="721" spans="1:5" x14ac:dyDescent="0.3">
      <c r="A721">
        <v>720</v>
      </c>
      <c r="B721" s="1" t="s">
        <v>106</v>
      </c>
      <c r="C721" t="s">
        <v>150</v>
      </c>
      <c r="D721">
        <v>36</v>
      </c>
      <c r="E721" t="s">
        <v>154</v>
      </c>
    </row>
    <row r="722" spans="1:5" x14ac:dyDescent="0.3">
      <c r="A722">
        <v>721</v>
      </c>
      <c r="B722" s="1" t="s">
        <v>112</v>
      </c>
      <c r="C722" t="s">
        <v>150</v>
      </c>
      <c r="D722">
        <v>46</v>
      </c>
      <c r="E722" t="s">
        <v>154</v>
      </c>
    </row>
    <row r="723" spans="1:5" x14ac:dyDescent="0.3">
      <c r="A723">
        <v>722</v>
      </c>
      <c r="B723" s="1" t="s">
        <v>98</v>
      </c>
      <c r="C723" t="s">
        <v>151</v>
      </c>
      <c r="D723">
        <v>27</v>
      </c>
      <c r="E723" t="s">
        <v>154</v>
      </c>
    </row>
    <row r="724" spans="1:5" x14ac:dyDescent="0.3">
      <c r="A724">
        <v>723</v>
      </c>
      <c r="B724" s="1" t="s">
        <v>107</v>
      </c>
      <c r="C724" t="s">
        <v>151</v>
      </c>
      <c r="D724">
        <v>80</v>
      </c>
      <c r="E724" t="s">
        <v>154</v>
      </c>
    </row>
    <row r="725" spans="1:5" x14ac:dyDescent="0.3">
      <c r="A725">
        <v>724</v>
      </c>
      <c r="B725" s="1" t="s">
        <v>98</v>
      </c>
      <c r="C725" t="s">
        <v>150</v>
      </c>
      <c r="D725">
        <v>30</v>
      </c>
      <c r="E725" t="s">
        <v>154</v>
      </c>
    </row>
    <row r="726" spans="1:5" x14ac:dyDescent="0.3">
      <c r="A726">
        <v>725</v>
      </c>
      <c r="B726" s="1" t="s">
        <v>98</v>
      </c>
      <c r="C726" t="s">
        <v>150</v>
      </c>
      <c r="D726">
        <v>22</v>
      </c>
      <c r="E726" t="s">
        <v>154</v>
      </c>
    </row>
    <row r="727" spans="1:5" x14ac:dyDescent="0.3">
      <c r="A727">
        <v>726</v>
      </c>
      <c r="B727" s="1" t="s">
        <v>98</v>
      </c>
      <c r="C727" t="s">
        <v>150</v>
      </c>
      <c r="D727">
        <v>73</v>
      </c>
      <c r="E727" t="s">
        <v>154</v>
      </c>
    </row>
    <row r="728" spans="1:5" x14ac:dyDescent="0.3">
      <c r="A728">
        <v>727</v>
      </c>
      <c r="B728" s="1" t="s">
        <v>99</v>
      </c>
      <c r="C728" t="s">
        <v>150</v>
      </c>
      <c r="D728">
        <v>64</v>
      </c>
      <c r="E728" t="s">
        <v>154</v>
      </c>
    </row>
    <row r="729" spans="1:5" x14ac:dyDescent="0.3">
      <c r="A729">
        <v>728</v>
      </c>
      <c r="B729" s="1" t="s">
        <v>112</v>
      </c>
      <c r="C729" t="s">
        <v>151</v>
      </c>
      <c r="D729">
        <v>64</v>
      </c>
      <c r="E729" t="s">
        <v>154</v>
      </c>
    </row>
    <row r="730" spans="1:5" x14ac:dyDescent="0.3">
      <c r="A730">
        <v>729</v>
      </c>
      <c r="B730" s="1" t="s">
        <v>106</v>
      </c>
      <c r="C730" t="s">
        <v>150</v>
      </c>
      <c r="D730">
        <v>66</v>
      </c>
      <c r="E730" t="s">
        <v>154</v>
      </c>
    </row>
    <row r="731" spans="1:5" x14ac:dyDescent="0.3">
      <c r="A731">
        <v>730</v>
      </c>
      <c r="B731" s="1" t="s">
        <v>103</v>
      </c>
      <c r="C731" t="s">
        <v>151</v>
      </c>
      <c r="D731">
        <v>61</v>
      </c>
      <c r="E731" t="s">
        <v>154</v>
      </c>
    </row>
    <row r="732" spans="1:5" x14ac:dyDescent="0.3">
      <c r="A732">
        <v>731</v>
      </c>
      <c r="B732" s="1" t="s">
        <v>99</v>
      </c>
      <c r="C732" t="s">
        <v>150</v>
      </c>
      <c r="D732">
        <v>78</v>
      </c>
      <c r="E732" t="s">
        <v>154</v>
      </c>
    </row>
    <row r="733" spans="1:5" x14ac:dyDescent="0.3">
      <c r="A733">
        <v>732</v>
      </c>
      <c r="B733" s="1" t="s">
        <v>112</v>
      </c>
      <c r="C733" t="s">
        <v>151</v>
      </c>
      <c r="D733">
        <v>86</v>
      </c>
      <c r="E733" t="s">
        <v>154</v>
      </c>
    </row>
    <row r="734" spans="1:5" x14ac:dyDescent="0.3">
      <c r="A734">
        <v>733</v>
      </c>
      <c r="B734" s="1" t="s">
        <v>98</v>
      </c>
      <c r="C734" t="s">
        <v>150</v>
      </c>
      <c r="D734">
        <v>83</v>
      </c>
      <c r="E734" t="s">
        <v>154</v>
      </c>
    </row>
    <row r="735" spans="1:5" x14ac:dyDescent="0.3">
      <c r="A735">
        <v>734</v>
      </c>
      <c r="B735" s="1" t="s">
        <v>106</v>
      </c>
      <c r="C735" t="s">
        <v>151</v>
      </c>
      <c r="D735">
        <v>75</v>
      </c>
      <c r="E735" t="s">
        <v>154</v>
      </c>
    </row>
    <row r="736" spans="1:5" x14ac:dyDescent="0.3">
      <c r="A736">
        <v>735</v>
      </c>
      <c r="B736" s="1" t="s">
        <v>112</v>
      </c>
      <c r="C736" t="s">
        <v>151</v>
      </c>
      <c r="D736">
        <v>42</v>
      </c>
      <c r="E736" t="s">
        <v>154</v>
      </c>
    </row>
    <row r="737" spans="1:5" x14ac:dyDescent="0.3">
      <c r="A737">
        <v>736</v>
      </c>
      <c r="B737" s="1" t="s">
        <v>98</v>
      </c>
      <c r="C737" t="s">
        <v>150</v>
      </c>
      <c r="D737">
        <v>50</v>
      </c>
      <c r="E737" t="s">
        <v>154</v>
      </c>
    </row>
    <row r="738" spans="1:5" x14ac:dyDescent="0.3">
      <c r="A738">
        <v>737</v>
      </c>
      <c r="B738" s="1" t="s">
        <v>112</v>
      </c>
      <c r="C738" t="s">
        <v>150</v>
      </c>
      <c r="D738">
        <v>42</v>
      </c>
      <c r="E738" t="s">
        <v>154</v>
      </c>
    </row>
    <row r="739" spans="1:5" x14ac:dyDescent="0.3">
      <c r="A739">
        <v>738</v>
      </c>
      <c r="B739" s="1" t="s">
        <v>99</v>
      </c>
      <c r="C739" t="s">
        <v>150</v>
      </c>
      <c r="D739">
        <v>25</v>
      </c>
      <c r="E739" t="s">
        <v>154</v>
      </c>
    </row>
    <row r="740" spans="1:5" x14ac:dyDescent="0.3">
      <c r="A740">
        <v>739</v>
      </c>
      <c r="B740" s="1" t="s">
        <v>112</v>
      </c>
      <c r="C740" t="s">
        <v>151</v>
      </c>
      <c r="D740">
        <v>51</v>
      </c>
      <c r="E740" t="s">
        <v>154</v>
      </c>
    </row>
    <row r="741" spans="1:5" x14ac:dyDescent="0.3">
      <c r="A741">
        <v>740</v>
      </c>
      <c r="B741" s="1" t="s">
        <v>112</v>
      </c>
      <c r="C741" t="s">
        <v>150</v>
      </c>
      <c r="D741">
        <v>64</v>
      </c>
      <c r="E741" t="s">
        <v>154</v>
      </c>
    </row>
    <row r="742" spans="1:5" x14ac:dyDescent="0.3">
      <c r="A742">
        <v>741</v>
      </c>
      <c r="B742" s="1" t="s">
        <v>98</v>
      </c>
      <c r="C742" t="s">
        <v>151</v>
      </c>
      <c r="D742">
        <v>25</v>
      </c>
      <c r="E742" t="s">
        <v>154</v>
      </c>
    </row>
    <row r="743" spans="1:5" x14ac:dyDescent="0.3">
      <c r="A743">
        <v>742</v>
      </c>
      <c r="B743" s="1" t="s">
        <v>98</v>
      </c>
      <c r="C743" t="s">
        <v>151</v>
      </c>
      <c r="D743">
        <v>63</v>
      </c>
      <c r="E743" t="s">
        <v>154</v>
      </c>
    </row>
    <row r="744" spans="1:5" x14ac:dyDescent="0.3">
      <c r="A744">
        <v>743</v>
      </c>
      <c r="B744" s="1" t="s">
        <v>98</v>
      </c>
      <c r="C744" t="s">
        <v>151</v>
      </c>
      <c r="D744">
        <v>29</v>
      </c>
      <c r="E744" t="s">
        <v>154</v>
      </c>
    </row>
    <row r="745" spans="1:5" x14ac:dyDescent="0.3">
      <c r="A745">
        <v>744</v>
      </c>
      <c r="B745" s="1" t="s">
        <v>101</v>
      </c>
      <c r="C745" t="s">
        <v>150</v>
      </c>
      <c r="D745">
        <v>33</v>
      </c>
      <c r="E745" t="s">
        <v>154</v>
      </c>
    </row>
    <row r="746" spans="1:5" x14ac:dyDescent="0.3">
      <c r="A746">
        <v>745</v>
      </c>
      <c r="B746" s="1" t="s">
        <v>100</v>
      </c>
      <c r="C746" t="s">
        <v>150</v>
      </c>
      <c r="D746">
        <v>27</v>
      </c>
      <c r="E746" t="s">
        <v>154</v>
      </c>
    </row>
    <row r="747" spans="1:5" x14ac:dyDescent="0.3">
      <c r="A747">
        <v>746</v>
      </c>
      <c r="B747" s="1" t="s">
        <v>98</v>
      </c>
      <c r="C747" t="s">
        <v>151</v>
      </c>
      <c r="D747">
        <v>75</v>
      </c>
      <c r="E747" t="s">
        <v>154</v>
      </c>
    </row>
    <row r="748" spans="1:5" x14ac:dyDescent="0.3">
      <c r="A748">
        <v>747</v>
      </c>
      <c r="B748" s="1" t="s">
        <v>106</v>
      </c>
      <c r="C748" t="s">
        <v>151</v>
      </c>
      <c r="D748">
        <v>64</v>
      </c>
      <c r="E748" t="s">
        <v>154</v>
      </c>
    </row>
    <row r="749" spans="1:5" x14ac:dyDescent="0.3">
      <c r="A749">
        <v>748</v>
      </c>
      <c r="B749" s="1" t="s">
        <v>98</v>
      </c>
      <c r="C749" t="s">
        <v>151</v>
      </c>
      <c r="D749">
        <v>40</v>
      </c>
      <c r="E749" t="s">
        <v>154</v>
      </c>
    </row>
    <row r="750" spans="1:5" x14ac:dyDescent="0.3">
      <c r="A750">
        <v>749</v>
      </c>
      <c r="B750" s="1" t="s">
        <v>105</v>
      </c>
      <c r="C750" t="s">
        <v>151</v>
      </c>
      <c r="D750">
        <v>82</v>
      </c>
      <c r="E750" t="s">
        <v>154</v>
      </c>
    </row>
    <row r="751" spans="1:5" x14ac:dyDescent="0.3">
      <c r="A751">
        <v>750</v>
      </c>
      <c r="B751" s="1" t="s">
        <v>101</v>
      </c>
      <c r="C751" t="s">
        <v>150</v>
      </c>
      <c r="D751">
        <v>40</v>
      </c>
      <c r="E751" t="s">
        <v>154</v>
      </c>
    </row>
    <row r="752" spans="1:5" x14ac:dyDescent="0.3">
      <c r="A752">
        <v>751</v>
      </c>
      <c r="B752" s="1" t="s">
        <v>112</v>
      </c>
      <c r="C752" t="s">
        <v>150</v>
      </c>
      <c r="D752">
        <v>82</v>
      </c>
      <c r="E752" t="s">
        <v>154</v>
      </c>
    </row>
    <row r="753" spans="1:5" x14ac:dyDescent="0.3">
      <c r="A753">
        <v>752</v>
      </c>
      <c r="B753" s="1" t="s">
        <v>103</v>
      </c>
      <c r="C753" t="s">
        <v>150</v>
      </c>
      <c r="D753">
        <v>42</v>
      </c>
      <c r="E753" t="s">
        <v>154</v>
      </c>
    </row>
    <row r="754" spans="1:5" x14ac:dyDescent="0.3">
      <c r="A754">
        <v>753</v>
      </c>
      <c r="B754" s="1" t="s">
        <v>98</v>
      </c>
      <c r="C754" t="s">
        <v>150</v>
      </c>
      <c r="D754">
        <v>18</v>
      </c>
      <c r="E754" t="s">
        <v>154</v>
      </c>
    </row>
    <row r="755" spans="1:5" x14ac:dyDescent="0.3">
      <c r="A755">
        <v>754</v>
      </c>
      <c r="B755" s="1" t="s">
        <v>106</v>
      </c>
      <c r="C755" t="s">
        <v>151</v>
      </c>
      <c r="D755">
        <v>58</v>
      </c>
      <c r="E755" t="s">
        <v>154</v>
      </c>
    </row>
    <row r="756" spans="1:5" x14ac:dyDescent="0.3">
      <c r="A756">
        <v>755</v>
      </c>
      <c r="B756" s="1" t="s">
        <v>98</v>
      </c>
      <c r="C756" t="s">
        <v>150</v>
      </c>
      <c r="D756">
        <v>54</v>
      </c>
      <c r="E756" t="s">
        <v>154</v>
      </c>
    </row>
    <row r="757" spans="1:5" x14ac:dyDescent="0.3">
      <c r="A757">
        <v>756</v>
      </c>
      <c r="B757" s="1" t="s">
        <v>108</v>
      </c>
      <c r="C757" t="s">
        <v>151</v>
      </c>
      <c r="D757">
        <v>42</v>
      </c>
      <c r="E757" t="s">
        <v>154</v>
      </c>
    </row>
    <row r="758" spans="1:5" x14ac:dyDescent="0.3">
      <c r="A758">
        <v>757</v>
      </c>
      <c r="B758" s="1" t="s">
        <v>98</v>
      </c>
      <c r="C758" t="s">
        <v>151</v>
      </c>
      <c r="D758">
        <v>59</v>
      </c>
      <c r="E758" t="s">
        <v>154</v>
      </c>
    </row>
    <row r="759" spans="1:5" x14ac:dyDescent="0.3">
      <c r="A759">
        <v>758</v>
      </c>
      <c r="B759" s="1" t="s">
        <v>98</v>
      </c>
      <c r="C759" t="s">
        <v>151</v>
      </c>
      <c r="D759">
        <v>22</v>
      </c>
      <c r="E759" t="s">
        <v>154</v>
      </c>
    </row>
    <row r="760" spans="1:5" x14ac:dyDescent="0.3">
      <c r="A760">
        <v>759</v>
      </c>
      <c r="B760" s="1" t="s">
        <v>98</v>
      </c>
      <c r="C760" t="s">
        <v>150</v>
      </c>
      <c r="D760">
        <v>19</v>
      </c>
      <c r="E760" t="s">
        <v>154</v>
      </c>
    </row>
    <row r="761" spans="1:5" x14ac:dyDescent="0.3">
      <c r="A761">
        <v>760</v>
      </c>
      <c r="B761" s="1" t="s">
        <v>112</v>
      </c>
      <c r="C761" t="s">
        <v>150</v>
      </c>
      <c r="D761">
        <v>22</v>
      </c>
      <c r="E761" t="s">
        <v>154</v>
      </c>
    </row>
    <row r="762" spans="1:5" x14ac:dyDescent="0.3">
      <c r="A762">
        <v>761</v>
      </c>
      <c r="B762" s="1" t="s">
        <v>107</v>
      </c>
      <c r="C762" t="s">
        <v>150</v>
      </c>
      <c r="D762">
        <v>42</v>
      </c>
      <c r="E762" t="s">
        <v>154</v>
      </c>
    </row>
    <row r="763" spans="1:5" x14ac:dyDescent="0.3">
      <c r="A763">
        <v>762</v>
      </c>
      <c r="B763" s="1" t="s">
        <v>107</v>
      </c>
      <c r="C763" t="s">
        <v>151</v>
      </c>
      <c r="D763">
        <v>21</v>
      </c>
      <c r="E763" t="s">
        <v>154</v>
      </c>
    </row>
    <row r="764" spans="1:5" x14ac:dyDescent="0.3">
      <c r="A764">
        <v>763</v>
      </c>
      <c r="B764" s="1" t="s">
        <v>98</v>
      </c>
      <c r="C764" t="s">
        <v>150</v>
      </c>
      <c r="D764">
        <v>86</v>
      </c>
      <c r="E764" t="s">
        <v>154</v>
      </c>
    </row>
    <row r="765" spans="1:5" x14ac:dyDescent="0.3">
      <c r="A765">
        <v>764</v>
      </c>
      <c r="B765" s="1" t="s">
        <v>99</v>
      </c>
      <c r="C765" t="s">
        <v>151</v>
      </c>
      <c r="D765">
        <v>28</v>
      </c>
      <c r="E765" t="s">
        <v>154</v>
      </c>
    </row>
    <row r="766" spans="1:5" x14ac:dyDescent="0.3">
      <c r="A766">
        <v>765</v>
      </c>
      <c r="B766" s="1" t="s">
        <v>102</v>
      </c>
      <c r="C766" t="s">
        <v>151</v>
      </c>
      <c r="D766">
        <v>46</v>
      </c>
      <c r="E766" t="s">
        <v>154</v>
      </c>
    </row>
    <row r="767" spans="1:5" x14ac:dyDescent="0.3">
      <c r="A767">
        <v>766</v>
      </c>
      <c r="B767" s="1" t="s">
        <v>98</v>
      </c>
      <c r="C767" t="s">
        <v>151</v>
      </c>
      <c r="D767">
        <v>89</v>
      </c>
      <c r="E767" t="s">
        <v>154</v>
      </c>
    </row>
    <row r="768" spans="1:5" x14ac:dyDescent="0.3">
      <c r="A768">
        <v>767</v>
      </c>
      <c r="B768" s="1" t="s">
        <v>98</v>
      </c>
      <c r="C768" t="s">
        <v>150</v>
      </c>
      <c r="D768">
        <v>30</v>
      </c>
      <c r="E768" t="s">
        <v>154</v>
      </c>
    </row>
    <row r="769" spans="1:5" x14ac:dyDescent="0.3">
      <c r="A769">
        <v>768</v>
      </c>
      <c r="B769" s="1" t="s">
        <v>98</v>
      </c>
      <c r="C769" t="s">
        <v>151</v>
      </c>
      <c r="D769">
        <v>38</v>
      </c>
      <c r="E769" t="s">
        <v>154</v>
      </c>
    </row>
    <row r="770" spans="1:5" x14ac:dyDescent="0.3">
      <c r="A770">
        <v>769</v>
      </c>
      <c r="B770" s="1" t="s">
        <v>99</v>
      </c>
      <c r="C770" t="s">
        <v>150</v>
      </c>
      <c r="D770">
        <v>22</v>
      </c>
      <c r="E770" t="s">
        <v>154</v>
      </c>
    </row>
    <row r="771" spans="1:5" x14ac:dyDescent="0.3">
      <c r="A771">
        <v>770</v>
      </c>
      <c r="B771" s="1" t="s">
        <v>112</v>
      </c>
      <c r="C771" t="s">
        <v>150</v>
      </c>
      <c r="D771">
        <v>72</v>
      </c>
      <c r="E771" t="s">
        <v>154</v>
      </c>
    </row>
    <row r="772" spans="1:5" x14ac:dyDescent="0.3">
      <c r="A772">
        <v>771</v>
      </c>
      <c r="B772" s="1" t="s">
        <v>107</v>
      </c>
      <c r="C772" t="s">
        <v>150</v>
      </c>
      <c r="D772">
        <v>82</v>
      </c>
      <c r="E772" t="s">
        <v>154</v>
      </c>
    </row>
    <row r="773" spans="1:5" x14ac:dyDescent="0.3">
      <c r="A773">
        <v>772</v>
      </c>
      <c r="B773" s="1" t="s">
        <v>99</v>
      </c>
      <c r="C773" t="s">
        <v>151</v>
      </c>
      <c r="D773">
        <v>37</v>
      </c>
      <c r="E773" t="s">
        <v>154</v>
      </c>
    </row>
    <row r="774" spans="1:5" x14ac:dyDescent="0.3">
      <c r="A774">
        <v>773</v>
      </c>
      <c r="B774" s="1" t="s">
        <v>98</v>
      </c>
      <c r="C774" t="s">
        <v>150</v>
      </c>
      <c r="D774">
        <v>77</v>
      </c>
      <c r="E774" t="s">
        <v>154</v>
      </c>
    </row>
    <row r="775" spans="1:5" x14ac:dyDescent="0.3">
      <c r="A775">
        <v>774</v>
      </c>
      <c r="B775" s="1" t="s">
        <v>112</v>
      </c>
      <c r="C775" t="s">
        <v>150</v>
      </c>
      <c r="D775">
        <v>84</v>
      </c>
      <c r="E775" t="s">
        <v>154</v>
      </c>
    </row>
    <row r="776" spans="1:5" x14ac:dyDescent="0.3">
      <c r="A776">
        <v>775</v>
      </c>
      <c r="B776" s="1" t="s">
        <v>105</v>
      </c>
      <c r="C776" t="s">
        <v>150</v>
      </c>
      <c r="D776">
        <v>68</v>
      </c>
      <c r="E776" t="s">
        <v>154</v>
      </c>
    </row>
    <row r="777" spans="1:5" x14ac:dyDescent="0.3">
      <c r="A777">
        <v>776</v>
      </c>
      <c r="B777" s="1" t="s">
        <v>106</v>
      </c>
      <c r="C777" t="s">
        <v>150</v>
      </c>
      <c r="D777">
        <v>38</v>
      </c>
      <c r="E777" t="s">
        <v>154</v>
      </c>
    </row>
    <row r="778" spans="1:5" x14ac:dyDescent="0.3">
      <c r="A778">
        <v>777</v>
      </c>
      <c r="B778" s="1" t="s">
        <v>98</v>
      </c>
      <c r="C778" t="s">
        <v>150</v>
      </c>
      <c r="D778">
        <v>53</v>
      </c>
      <c r="E778" t="s">
        <v>154</v>
      </c>
    </row>
    <row r="779" spans="1:5" x14ac:dyDescent="0.3">
      <c r="A779">
        <v>778</v>
      </c>
      <c r="B779" s="1" t="s">
        <v>99</v>
      </c>
      <c r="C779" t="s">
        <v>151</v>
      </c>
      <c r="D779">
        <v>26</v>
      </c>
      <c r="E779" t="s">
        <v>154</v>
      </c>
    </row>
    <row r="780" spans="1:5" x14ac:dyDescent="0.3">
      <c r="A780">
        <v>779</v>
      </c>
      <c r="B780" s="1" t="s">
        <v>98</v>
      </c>
      <c r="C780" t="s">
        <v>150</v>
      </c>
      <c r="D780">
        <v>41</v>
      </c>
      <c r="E780" t="s">
        <v>154</v>
      </c>
    </row>
    <row r="781" spans="1:5" x14ac:dyDescent="0.3">
      <c r="A781">
        <v>780</v>
      </c>
      <c r="B781" s="1" t="s">
        <v>112</v>
      </c>
      <c r="C781" t="s">
        <v>150</v>
      </c>
      <c r="D781">
        <v>43</v>
      </c>
      <c r="E781" t="s">
        <v>154</v>
      </c>
    </row>
    <row r="782" spans="1:5" x14ac:dyDescent="0.3">
      <c r="A782">
        <v>781</v>
      </c>
      <c r="B782" s="1" t="s">
        <v>101</v>
      </c>
      <c r="C782" t="s">
        <v>151</v>
      </c>
      <c r="D782">
        <v>66</v>
      </c>
      <c r="E782" t="s">
        <v>154</v>
      </c>
    </row>
    <row r="783" spans="1:5" x14ac:dyDescent="0.3">
      <c r="A783">
        <v>782</v>
      </c>
      <c r="B783" s="1" t="s">
        <v>98</v>
      </c>
      <c r="C783" t="s">
        <v>151</v>
      </c>
      <c r="D783">
        <v>74</v>
      </c>
      <c r="E783" t="s">
        <v>154</v>
      </c>
    </row>
    <row r="784" spans="1:5" x14ac:dyDescent="0.3">
      <c r="A784">
        <v>783</v>
      </c>
      <c r="B784" s="1" t="s">
        <v>98</v>
      </c>
      <c r="C784" t="s">
        <v>151</v>
      </c>
      <c r="D784">
        <v>42</v>
      </c>
      <c r="E784" t="s">
        <v>154</v>
      </c>
    </row>
    <row r="785" spans="1:5" x14ac:dyDescent="0.3">
      <c r="A785">
        <v>784</v>
      </c>
      <c r="B785" s="1" t="s">
        <v>98</v>
      </c>
      <c r="C785" t="s">
        <v>150</v>
      </c>
      <c r="D785">
        <v>38</v>
      </c>
      <c r="E785" t="s">
        <v>154</v>
      </c>
    </row>
    <row r="786" spans="1:5" x14ac:dyDescent="0.3">
      <c r="A786">
        <v>785</v>
      </c>
      <c r="B786" s="1" t="s">
        <v>110</v>
      </c>
      <c r="C786" t="s">
        <v>150</v>
      </c>
      <c r="D786">
        <v>44</v>
      </c>
      <c r="E786" t="s">
        <v>154</v>
      </c>
    </row>
    <row r="787" spans="1:5" x14ac:dyDescent="0.3">
      <c r="A787">
        <v>786</v>
      </c>
      <c r="B787" s="1" t="s">
        <v>107</v>
      </c>
      <c r="C787" t="s">
        <v>150</v>
      </c>
      <c r="D787">
        <v>61</v>
      </c>
      <c r="E787" t="s">
        <v>154</v>
      </c>
    </row>
    <row r="788" spans="1:5" x14ac:dyDescent="0.3">
      <c r="A788">
        <v>787</v>
      </c>
      <c r="B788" s="1" t="s">
        <v>103</v>
      </c>
      <c r="C788" t="s">
        <v>151</v>
      </c>
      <c r="D788">
        <v>40</v>
      </c>
      <c r="E788" t="s">
        <v>154</v>
      </c>
    </row>
    <row r="789" spans="1:5" x14ac:dyDescent="0.3">
      <c r="A789">
        <v>788</v>
      </c>
      <c r="B789" s="1" t="s">
        <v>100</v>
      </c>
      <c r="C789" t="s">
        <v>150</v>
      </c>
      <c r="D789">
        <v>57</v>
      </c>
      <c r="E789" t="s">
        <v>154</v>
      </c>
    </row>
    <row r="790" spans="1:5" x14ac:dyDescent="0.3">
      <c r="A790">
        <v>789</v>
      </c>
      <c r="B790" s="1" t="s">
        <v>99</v>
      </c>
      <c r="C790" t="s">
        <v>150</v>
      </c>
      <c r="D790">
        <v>62</v>
      </c>
      <c r="E790" t="s">
        <v>154</v>
      </c>
    </row>
    <row r="791" spans="1:5" x14ac:dyDescent="0.3">
      <c r="A791">
        <v>790</v>
      </c>
      <c r="B791" s="1" t="s">
        <v>112</v>
      </c>
      <c r="C791" t="s">
        <v>150</v>
      </c>
      <c r="D791">
        <v>85</v>
      </c>
      <c r="E791" t="s">
        <v>154</v>
      </c>
    </row>
    <row r="792" spans="1:5" x14ac:dyDescent="0.3">
      <c r="A792">
        <v>791</v>
      </c>
      <c r="B792" s="1" t="s">
        <v>98</v>
      </c>
      <c r="C792" t="s">
        <v>150</v>
      </c>
      <c r="D792">
        <v>72</v>
      </c>
      <c r="E792" t="s">
        <v>154</v>
      </c>
    </row>
    <row r="793" spans="1:5" x14ac:dyDescent="0.3">
      <c r="A793">
        <v>792</v>
      </c>
      <c r="B793" s="1" t="s">
        <v>98</v>
      </c>
      <c r="C793" t="s">
        <v>151</v>
      </c>
      <c r="D793">
        <v>23</v>
      </c>
      <c r="E793" t="s">
        <v>154</v>
      </c>
    </row>
    <row r="794" spans="1:5" x14ac:dyDescent="0.3">
      <c r="A794">
        <v>793</v>
      </c>
      <c r="B794" s="1" t="s">
        <v>98</v>
      </c>
      <c r="C794" t="s">
        <v>151</v>
      </c>
      <c r="D794">
        <v>87</v>
      </c>
      <c r="E794" t="s">
        <v>154</v>
      </c>
    </row>
    <row r="795" spans="1:5" x14ac:dyDescent="0.3">
      <c r="A795">
        <v>794</v>
      </c>
      <c r="B795" s="1" t="s">
        <v>101</v>
      </c>
      <c r="C795" t="s">
        <v>150</v>
      </c>
      <c r="D795">
        <v>58</v>
      </c>
      <c r="E795" t="s">
        <v>154</v>
      </c>
    </row>
    <row r="796" spans="1:5" x14ac:dyDescent="0.3">
      <c r="A796">
        <v>795</v>
      </c>
      <c r="B796" s="1" t="s">
        <v>101</v>
      </c>
      <c r="C796" t="s">
        <v>150</v>
      </c>
      <c r="D796">
        <v>83</v>
      </c>
      <c r="E796" t="s">
        <v>154</v>
      </c>
    </row>
    <row r="797" spans="1:5" x14ac:dyDescent="0.3">
      <c r="A797">
        <v>796</v>
      </c>
      <c r="B797" s="1" t="s">
        <v>101</v>
      </c>
      <c r="C797" t="s">
        <v>151</v>
      </c>
      <c r="D797">
        <v>27</v>
      </c>
      <c r="E797" t="s">
        <v>154</v>
      </c>
    </row>
    <row r="798" spans="1:5" x14ac:dyDescent="0.3">
      <c r="A798">
        <v>797</v>
      </c>
      <c r="B798" s="1" t="s">
        <v>98</v>
      </c>
      <c r="C798" t="s">
        <v>151</v>
      </c>
      <c r="D798">
        <v>45</v>
      </c>
      <c r="E798" t="s">
        <v>154</v>
      </c>
    </row>
    <row r="799" spans="1:5" x14ac:dyDescent="0.3">
      <c r="A799">
        <v>798</v>
      </c>
      <c r="B799" s="1" t="s">
        <v>98</v>
      </c>
      <c r="C799" t="s">
        <v>150</v>
      </c>
      <c r="D799">
        <v>52</v>
      </c>
      <c r="E799" t="s">
        <v>154</v>
      </c>
    </row>
    <row r="800" spans="1:5" x14ac:dyDescent="0.3">
      <c r="A800">
        <v>799</v>
      </c>
      <c r="B800" s="1" t="s">
        <v>98</v>
      </c>
      <c r="C800" t="s">
        <v>151</v>
      </c>
      <c r="D800">
        <v>59</v>
      </c>
      <c r="E800" t="s">
        <v>154</v>
      </c>
    </row>
    <row r="801" spans="1:5" x14ac:dyDescent="0.3">
      <c r="A801">
        <v>800</v>
      </c>
      <c r="B801" s="1" t="s">
        <v>110</v>
      </c>
      <c r="C801" t="s">
        <v>150</v>
      </c>
      <c r="D801">
        <v>87</v>
      </c>
      <c r="E801" t="s">
        <v>154</v>
      </c>
    </row>
    <row r="802" spans="1:5" x14ac:dyDescent="0.3">
      <c r="A802">
        <v>801</v>
      </c>
      <c r="B802" s="1" t="s">
        <v>99</v>
      </c>
      <c r="C802" t="s">
        <v>150</v>
      </c>
      <c r="D802">
        <v>77</v>
      </c>
      <c r="E802" t="s">
        <v>154</v>
      </c>
    </row>
    <row r="803" spans="1:5" x14ac:dyDescent="0.3">
      <c r="A803">
        <v>802</v>
      </c>
      <c r="B803" s="1" t="s">
        <v>99</v>
      </c>
      <c r="C803" t="s">
        <v>151</v>
      </c>
      <c r="D803">
        <v>89</v>
      </c>
      <c r="E803" t="s">
        <v>154</v>
      </c>
    </row>
    <row r="804" spans="1:5" x14ac:dyDescent="0.3">
      <c r="A804">
        <v>803</v>
      </c>
      <c r="B804" s="1" t="s">
        <v>101</v>
      </c>
      <c r="C804" t="s">
        <v>150</v>
      </c>
      <c r="D804">
        <v>43</v>
      </c>
      <c r="E804" t="s">
        <v>154</v>
      </c>
    </row>
    <row r="805" spans="1:5" x14ac:dyDescent="0.3">
      <c r="A805">
        <v>804</v>
      </c>
      <c r="B805" s="1" t="s">
        <v>108</v>
      </c>
      <c r="C805" t="s">
        <v>151</v>
      </c>
      <c r="D805">
        <v>56</v>
      </c>
      <c r="E805" t="s">
        <v>154</v>
      </c>
    </row>
    <row r="806" spans="1:5" x14ac:dyDescent="0.3">
      <c r="A806">
        <v>805</v>
      </c>
      <c r="B806" s="1" t="s">
        <v>106</v>
      </c>
      <c r="C806" t="s">
        <v>150</v>
      </c>
      <c r="D806">
        <v>18</v>
      </c>
      <c r="E806" t="s">
        <v>154</v>
      </c>
    </row>
    <row r="807" spans="1:5" x14ac:dyDescent="0.3">
      <c r="A807">
        <v>806</v>
      </c>
      <c r="B807" s="1" t="s">
        <v>107</v>
      </c>
      <c r="C807" t="s">
        <v>150</v>
      </c>
      <c r="D807">
        <v>43</v>
      </c>
      <c r="E807" t="s">
        <v>154</v>
      </c>
    </row>
    <row r="808" spans="1:5" x14ac:dyDescent="0.3">
      <c r="A808">
        <v>807</v>
      </c>
      <c r="B808" s="1" t="s">
        <v>101</v>
      </c>
      <c r="C808" t="s">
        <v>151</v>
      </c>
      <c r="D808">
        <v>56</v>
      </c>
      <c r="E808" t="s">
        <v>154</v>
      </c>
    </row>
    <row r="809" spans="1:5" x14ac:dyDescent="0.3">
      <c r="A809">
        <v>808</v>
      </c>
      <c r="B809" s="1" t="s">
        <v>98</v>
      </c>
      <c r="C809" t="s">
        <v>151</v>
      </c>
      <c r="D809">
        <v>41</v>
      </c>
      <c r="E809" t="s">
        <v>154</v>
      </c>
    </row>
    <row r="810" spans="1:5" x14ac:dyDescent="0.3">
      <c r="A810">
        <v>809</v>
      </c>
      <c r="B810" s="1" t="s">
        <v>98</v>
      </c>
      <c r="C810" t="s">
        <v>150</v>
      </c>
      <c r="D810">
        <v>87</v>
      </c>
      <c r="E810" t="s">
        <v>154</v>
      </c>
    </row>
    <row r="811" spans="1:5" x14ac:dyDescent="0.3">
      <c r="A811">
        <v>810</v>
      </c>
      <c r="B811" s="1" t="s">
        <v>106</v>
      </c>
      <c r="C811" t="s">
        <v>150</v>
      </c>
      <c r="D811">
        <v>45</v>
      </c>
      <c r="E811" t="s">
        <v>154</v>
      </c>
    </row>
    <row r="812" spans="1:5" x14ac:dyDescent="0.3">
      <c r="A812">
        <v>811</v>
      </c>
      <c r="B812" s="1" t="s">
        <v>112</v>
      </c>
      <c r="C812" t="s">
        <v>151</v>
      </c>
      <c r="D812">
        <v>32</v>
      </c>
      <c r="E812" t="s">
        <v>154</v>
      </c>
    </row>
    <row r="813" spans="1:5" x14ac:dyDescent="0.3">
      <c r="A813">
        <v>812</v>
      </c>
      <c r="B813" s="1" t="s">
        <v>101</v>
      </c>
      <c r="C813" t="s">
        <v>151</v>
      </c>
      <c r="D813">
        <v>90</v>
      </c>
      <c r="E813" t="s">
        <v>154</v>
      </c>
    </row>
    <row r="814" spans="1:5" x14ac:dyDescent="0.3">
      <c r="A814">
        <v>813</v>
      </c>
      <c r="B814" s="1" t="s">
        <v>105</v>
      </c>
      <c r="C814" t="s">
        <v>150</v>
      </c>
      <c r="D814">
        <v>51</v>
      </c>
      <c r="E814" t="s">
        <v>154</v>
      </c>
    </row>
    <row r="815" spans="1:5" x14ac:dyDescent="0.3">
      <c r="A815">
        <v>814</v>
      </c>
      <c r="B815" s="1" t="s">
        <v>98</v>
      </c>
      <c r="C815" t="s">
        <v>151</v>
      </c>
      <c r="D815">
        <v>60</v>
      </c>
      <c r="E815" t="s">
        <v>154</v>
      </c>
    </row>
    <row r="816" spans="1:5" x14ac:dyDescent="0.3">
      <c r="A816">
        <v>815</v>
      </c>
      <c r="B816" s="1" t="s">
        <v>98</v>
      </c>
      <c r="C816" t="s">
        <v>150</v>
      </c>
      <c r="D816">
        <v>65</v>
      </c>
      <c r="E816" t="s">
        <v>154</v>
      </c>
    </row>
    <row r="817" spans="1:5" x14ac:dyDescent="0.3">
      <c r="A817">
        <v>816</v>
      </c>
      <c r="B817" s="1" t="s">
        <v>112</v>
      </c>
      <c r="C817" t="s">
        <v>150</v>
      </c>
      <c r="D817">
        <v>46</v>
      </c>
      <c r="E817" t="s">
        <v>154</v>
      </c>
    </row>
    <row r="818" spans="1:5" x14ac:dyDescent="0.3">
      <c r="A818">
        <v>817</v>
      </c>
      <c r="B818" s="1" t="s">
        <v>98</v>
      </c>
      <c r="C818" t="s">
        <v>150</v>
      </c>
      <c r="D818">
        <v>39</v>
      </c>
      <c r="E818" t="s">
        <v>154</v>
      </c>
    </row>
    <row r="819" spans="1:5" x14ac:dyDescent="0.3">
      <c r="A819">
        <v>818</v>
      </c>
      <c r="B819" s="1" t="s">
        <v>99</v>
      </c>
      <c r="C819" t="s">
        <v>151</v>
      </c>
      <c r="D819">
        <v>87</v>
      </c>
      <c r="E819" t="s">
        <v>154</v>
      </c>
    </row>
    <row r="820" spans="1:5" x14ac:dyDescent="0.3">
      <c r="A820">
        <v>819</v>
      </c>
      <c r="B820" s="1" t="s">
        <v>110</v>
      </c>
      <c r="C820" t="s">
        <v>151</v>
      </c>
      <c r="D820">
        <v>75</v>
      </c>
      <c r="E820" t="s">
        <v>154</v>
      </c>
    </row>
    <row r="821" spans="1:5" x14ac:dyDescent="0.3">
      <c r="A821">
        <v>820</v>
      </c>
      <c r="B821" s="1" t="s">
        <v>106</v>
      </c>
      <c r="C821" t="s">
        <v>150</v>
      </c>
      <c r="D821">
        <v>29</v>
      </c>
      <c r="E821" t="s">
        <v>154</v>
      </c>
    </row>
    <row r="822" spans="1:5" x14ac:dyDescent="0.3">
      <c r="A822">
        <v>821</v>
      </c>
      <c r="B822" s="1" t="s">
        <v>106</v>
      </c>
      <c r="C822" t="s">
        <v>151</v>
      </c>
      <c r="D822">
        <v>53</v>
      </c>
      <c r="E822" t="s">
        <v>154</v>
      </c>
    </row>
    <row r="823" spans="1:5" x14ac:dyDescent="0.3">
      <c r="A823">
        <v>822</v>
      </c>
      <c r="B823" s="1" t="s">
        <v>98</v>
      </c>
      <c r="C823" t="s">
        <v>151</v>
      </c>
      <c r="D823">
        <v>18</v>
      </c>
      <c r="E823" t="s">
        <v>154</v>
      </c>
    </row>
    <row r="824" spans="1:5" x14ac:dyDescent="0.3">
      <c r="A824">
        <v>823</v>
      </c>
      <c r="B824" s="1" t="s">
        <v>99</v>
      </c>
      <c r="C824" t="s">
        <v>151</v>
      </c>
      <c r="D824">
        <v>63</v>
      </c>
      <c r="E824" t="s">
        <v>154</v>
      </c>
    </row>
    <row r="825" spans="1:5" x14ac:dyDescent="0.3">
      <c r="A825">
        <v>824</v>
      </c>
      <c r="B825" s="1" t="s">
        <v>98</v>
      </c>
      <c r="C825" t="s">
        <v>151</v>
      </c>
      <c r="D825">
        <v>35</v>
      </c>
      <c r="E825" t="s">
        <v>154</v>
      </c>
    </row>
    <row r="826" spans="1:5" x14ac:dyDescent="0.3">
      <c r="A826">
        <v>825</v>
      </c>
      <c r="B826" s="1" t="s">
        <v>103</v>
      </c>
      <c r="C826" t="s">
        <v>150</v>
      </c>
      <c r="D826">
        <v>90</v>
      </c>
      <c r="E826" t="s">
        <v>154</v>
      </c>
    </row>
    <row r="827" spans="1:5" x14ac:dyDescent="0.3">
      <c r="A827">
        <v>826</v>
      </c>
      <c r="B827" s="1" t="s">
        <v>103</v>
      </c>
      <c r="C827" t="s">
        <v>150</v>
      </c>
      <c r="D827">
        <v>25</v>
      </c>
      <c r="E827" t="s">
        <v>154</v>
      </c>
    </row>
    <row r="828" spans="1:5" x14ac:dyDescent="0.3">
      <c r="A828">
        <v>827</v>
      </c>
      <c r="B828" s="1" t="s">
        <v>105</v>
      </c>
      <c r="C828" t="s">
        <v>150</v>
      </c>
      <c r="D828">
        <v>40</v>
      </c>
      <c r="E828" t="s">
        <v>154</v>
      </c>
    </row>
    <row r="829" spans="1:5" x14ac:dyDescent="0.3">
      <c r="A829">
        <v>828</v>
      </c>
      <c r="B829" s="1" t="s">
        <v>98</v>
      </c>
      <c r="C829" t="s">
        <v>151</v>
      </c>
      <c r="D829">
        <v>48</v>
      </c>
      <c r="E829" t="s">
        <v>154</v>
      </c>
    </row>
    <row r="830" spans="1:5" x14ac:dyDescent="0.3">
      <c r="A830">
        <v>829</v>
      </c>
      <c r="B830" s="1" t="s">
        <v>98</v>
      </c>
      <c r="C830" t="s">
        <v>151</v>
      </c>
      <c r="D830">
        <v>65</v>
      </c>
      <c r="E830" t="s">
        <v>154</v>
      </c>
    </row>
    <row r="831" spans="1:5" x14ac:dyDescent="0.3">
      <c r="A831">
        <v>830</v>
      </c>
      <c r="B831" s="1" t="s">
        <v>99</v>
      </c>
      <c r="C831" t="s">
        <v>150</v>
      </c>
      <c r="D831">
        <v>75</v>
      </c>
      <c r="E831" t="s">
        <v>154</v>
      </c>
    </row>
    <row r="832" spans="1:5" x14ac:dyDescent="0.3">
      <c r="A832">
        <v>831</v>
      </c>
      <c r="B832" s="1" t="s">
        <v>106</v>
      </c>
      <c r="C832" t="s">
        <v>151</v>
      </c>
      <c r="D832">
        <v>69</v>
      </c>
      <c r="E832" t="s">
        <v>154</v>
      </c>
    </row>
    <row r="833" spans="1:5" x14ac:dyDescent="0.3">
      <c r="A833">
        <v>832</v>
      </c>
      <c r="B833" s="1" t="s">
        <v>101</v>
      </c>
      <c r="C833" t="s">
        <v>150</v>
      </c>
      <c r="D833">
        <v>30</v>
      </c>
      <c r="E833" t="s">
        <v>154</v>
      </c>
    </row>
    <row r="834" spans="1:5" x14ac:dyDescent="0.3">
      <c r="A834">
        <v>833</v>
      </c>
      <c r="B834" s="1" t="s">
        <v>109</v>
      </c>
      <c r="C834" t="s">
        <v>151</v>
      </c>
      <c r="D834">
        <v>52</v>
      </c>
      <c r="E834" t="s">
        <v>154</v>
      </c>
    </row>
    <row r="835" spans="1:5" x14ac:dyDescent="0.3">
      <c r="A835">
        <v>834</v>
      </c>
      <c r="B835" s="1" t="s">
        <v>101</v>
      </c>
      <c r="C835" t="s">
        <v>150</v>
      </c>
      <c r="D835">
        <v>76</v>
      </c>
      <c r="E835" t="s">
        <v>154</v>
      </c>
    </row>
    <row r="836" spans="1:5" x14ac:dyDescent="0.3">
      <c r="A836">
        <v>835</v>
      </c>
      <c r="B836" s="1" t="s">
        <v>100</v>
      </c>
      <c r="C836" t="s">
        <v>151</v>
      </c>
      <c r="D836">
        <v>50</v>
      </c>
      <c r="E836" t="s">
        <v>154</v>
      </c>
    </row>
    <row r="837" spans="1:5" x14ac:dyDescent="0.3">
      <c r="A837">
        <v>836</v>
      </c>
      <c r="B837" s="1" t="s">
        <v>112</v>
      </c>
      <c r="C837" t="s">
        <v>150</v>
      </c>
      <c r="D837">
        <v>70</v>
      </c>
      <c r="E837" t="s">
        <v>154</v>
      </c>
    </row>
    <row r="838" spans="1:5" x14ac:dyDescent="0.3">
      <c r="A838">
        <v>837</v>
      </c>
      <c r="B838" s="1" t="s">
        <v>100</v>
      </c>
      <c r="C838" t="s">
        <v>151</v>
      </c>
      <c r="D838">
        <v>55</v>
      </c>
      <c r="E838" t="s">
        <v>154</v>
      </c>
    </row>
    <row r="839" spans="1:5" x14ac:dyDescent="0.3">
      <c r="A839">
        <v>838</v>
      </c>
      <c r="B839" s="1" t="s">
        <v>106</v>
      </c>
      <c r="C839" t="s">
        <v>151</v>
      </c>
      <c r="D839">
        <v>73</v>
      </c>
      <c r="E839" t="s">
        <v>154</v>
      </c>
    </row>
    <row r="840" spans="1:5" x14ac:dyDescent="0.3">
      <c r="A840">
        <v>839</v>
      </c>
      <c r="B840" s="1" t="s">
        <v>112</v>
      </c>
      <c r="C840" t="s">
        <v>150</v>
      </c>
      <c r="D840">
        <v>36</v>
      </c>
      <c r="E840" t="s">
        <v>154</v>
      </c>
    </row>
    <row r="841" spans="1:5" x14ac:dyDescent="0.3">
      <c r="A841">
        <v>840</v>
      </c>
      <c r="B841" s="1" t="s">
        <v>101</v>
      </c>
      <c r="C841" t="s">
        <v>151</v>
      </c>
      <c r="D841">
        <v>47</v>
      </c>
      <c r="E841" t="s">
        <v>154</v>
      </c>
    </row>
    <row r="842" spans="1:5" x14ac:dyDescent="0.3">
      <c r="A842">
        <v>841</v>
      </c>
      <c r="B842" s="1" t="s">
        <v>98</v>
      </c>
      <c r="C842" t="s">
        <v>151</v>
      </c>
      <c r="D842">
        <v>42</v>
      </c>
      <c r="E842" t="s">
        <v>154</v>
      </c>
    </row>
    <row r="843" spans="1:5" x14ac:dyDescent="0.3">
      <c r="A843">
        <v>842</v>
      </c>
      <c r="B843" s="1" t="s">
        <v>99</v>
      </c>
      <c r="C843" t="s">
        <v>150</v>
      </c>
      <c r="D843">
        <v>41</v>
      </c>
      <c r="E843" t="s">
        <v>154</v>
      </c>
    </row>
    <row r="844" spans="1:5" x14ac:dyDescent="0.3">
      <c r="A844">
        <v>843</v>
      </c>
      <c r="B844" s="1" t="s">
        <v>98</v>
      </c>
      <c r="C844" t="s">
        <v>151</v>
      </c>
      <c r="D844">
        <v>37</v>
      </c>
      <c r="E844" t="s">
        <v>154</v>
      </c>
    </row>
    <row r="845" spans="1:5" x14ac:dyDescent="0.3">
      <c r="A845">
        <v>844</v>
      </c>
      <c r="B845" s="1" t="s">
        <v>106</v>
      </c>
      <c r="C845" t="s">
        <v>150</v>
      </c>
      <c r="D845">
        <v>90</v>
      </c>
      <c r="E845" t="s">
        <v>154</v>
      </c>
    </row>
    <row r="846" spans="1:5" x14ac:dyDescent="0.3">
      <c r="A846">
        <v>845</v>
      </c>
      <c r="B846" s="1" t="s">
        <v>103</v>
      </c>
      <c r="C846" t="s">
        <v>150</v>
      </c>
      <c r="D846">
        <v>26</v>
      </c>
      <c r="E846" t="s">
        <v>154</v>
      </c>
    </row>
    <row r="847" spans="1:5" x14ac:dyDescent="0.3">
      <c r="A847">
        <v>846</v>
      </c>
      <c r="B847" s="1" t="s">
        <v>98</v>
      </c>
      <c r="C847" t="s">
        <v>150</v>
      </c>
      <c r="D847">
        <v>80</v>
      </c>
      <c r="E847" t="s">
        <v>154</v>
      </c>
    </row>
    <row r="848" spans="1:5" x14ac:dyDescent="0.3">
      <c r="A848">
        <v>847</v>
      </c>
      <c r="B848" s="1" t="s">
        <v>112</v>
      </c>
      <c r="C848" t="s">
        <v>150</v>
      </c>
      <c r="D848">
        <v>76</v>
      </c>
      <c r="E848" t="s">
        <v>154</v>
      </c>
    </row>
    <row r="849" spans="1:5" x14ac:dyDescent="0.3">
      <c r="A849">
        <v>848</v>
      </c>
      <c r="B849" s="1" t="s">
        <v>98</v>
      </c>
      <c r="C849" t="s">
        <v>151</v>
      </c>
      <c r="D849">
        <v>44</v>
      </c>
      <c r="E849" t="s">
        <v>154</v>
      </c>
    </row>
    <row r="850" spans="1:5" x14ac:dyDescent="0.3">
      <c r="A850">
        <v>849</v>
      </c>
      <c r="B850" s="1" t="s">
        <v>99</v>
      </c>
      <c r="C850" t="s">
        <v>150</v>
      </c>
      <c r="D850">
        <v>19</v>
      </c>
      <c r="E850" t="s">
        <v>154</v>
      </c>
    </row>
    <row r="851" spans="1:5" x14ac:dyDescent="0.3">
      <c r="A851">
        <v>850</v>
      </c>
      <c r="B851" s="1" t="s">
        <v>98</v>
      </c>
      <c r="C851" t="s">
        <v>151</v>
      </c>
      <c r="D851">
        <v>52</v>
      </c>
      <c r="E851" t="s">
        <v>154</v>
      </c>
    </row>
    <row r="852" spans="1:5" x14ac:dyDescent="0.3">
      <c r="A852">
        <v>851</v>
      </c>
      <c r="B852" s="1" t="s">
        <v>105</v>
      </c>
      <c r="C852" t="s">
        <v>151</v>
      </c>
      <c r="D852">
        <v>58</v>
      </c>
      <c r="E852" t="s">
        <v>154</v>
      </c>
    </row>
    <row r="853" spans="1:5" x14ac:dyDescent="0.3">
      <c r="A853">
        <v>852</v>
      </c>
      <c r="B853" s="1" t="s">
        <v>98</v>
      </c>
      <c r="C853" t="s">
        <v>150</v>
      </c>
      <c r="D853">
        <v>84</v>
      </c>
      <c r="E853" t="s">
        <v>154</v>
      </c>
    </row>
    <row r="854" spans="1:5" x14ac:dyDescent="0.3">
      <c r="A854">
        <v>853</v>
      </c>
      <c r="B854" s="1" t="s">
        <v>98</v>
      </c>
      <c r="C854" t="s">
        <v>150</v>
      </c>
      <c r="D854">
        <v>57</v>
      </c>
      <c r="E854" t="s">
        <v>154</v>
      </c>
    </row>
    <row r="855" spans="1:5" x14ac:dyDescent="0.3">
      <c r="A855">
        <v>854</v>
      </c>
      <c r="B855" s="1" t="s">
        <v>98</v>
      </c>
      <c r="C855" t="s">
        <v>151</v>
      </c>
      <c r="D855">
        <v>61</v>
      </c>
      <c r="E855" t="s">
        <v>154</v>
      </c>
    </row>
    <row r="856" spans="1:5" x14ac:dyDescent="0.3">
      <c r="A856">
        <v>855</v>
      </c>
      <c r="B856" s="1" t="s">
        <v>100</v>
      </c>
      <c r="C856" t="s">
        <v>150</v>
      </c>
      <c r="D856">
        <v>43</v>
      </c>
      <c r="E856" t="s">
        <v>154</v>
      </c>
    </row>
    <row r="857" spans="1:5" x14ac:dyDescent="0.3">
      <c r="A857">
        <v>856</v>
      </c>
      <c r="B857" s="1" t="s">
        <v>98</v>
      </c>
      <c r="C857" t="s">
        <v>150</v>
      </c>
      <c r="D857">
        <v>59</v>
      </c>
      <c r="E857" t="s">
        <v>154</v>
      </c>
    </row>
    <row r="858" spans="1:5" x14ac:dyDescent="0.3">
      <c r="A858">
        <v>857</v>
      </c>
      <c r="B858" s="1" t="s">
        <v>98</v>
      </c>
      <c r="C858" t="s">
        <v>151</v>
      </c>
      <c r="D858">
        <v>34</v>
      </c>
      <c r="E858" t="s">
        <v>154</v>
      </c>
    </row>
    <row r="859" spans="1:5" x14ac:dyDescent="0.3">
      <c r="A859">
        <v>858</v>
      </c>
      <c r="B859" s="1" t="s">
        <v>98</v>
      </c>
      <c r="C859" t="s">
        <v>151</v>
      </c>
      <c r="D859">
        <v>35</v>
      </c>
      <c r="E859" t="s">
        <v>154</v>
      </c>
    </row>
    <row r="860" spans="1:5" x14ac:dyDescent="0.3">
      <c r="A860">
        <v>859</v>
      </c>
      <c r="B860" s="1" t="s">
        <v>98</v>
      </c>
      <c r="C860" t="s">
        <v>150</v>
      </c>
      <c r="D860">
        <v>34</v>
      </c>
      <c r="E860" t="s">
        <v>154</v>
      </c>
    </row>
    <row r="861" spans="1:5" x14ac:dyDescent="0.3">
      <c r="A861">
        <v>860</v>
      </c>
      <c r="B861" s="1" t="s">
        <v>103</v>
      </c>
      <c r="C861" t="s">
        <v>150</v>
      </c>
      <c r="D861">
        <v>84</v>
      </c>
      <c r="E861" t="s">
        <v>154</v>
      </c>
    </row>
    <row r="862" spans="1:5" x14ac:dyDescent="0.3">
      <c r="A862">
        <v>861</v>
      </c>
      <c r="B862" s="1" t="s">
        <v>98</v>
      </c>
      <c r="C862" t="s">
        <v>151</v>
      </c>
      <c r="D862">
        <v>78</v>
      </c>
      <c r="E862" t="s">
        <v>154</v>
      </c>
    </row>
    <row r="863" spans="1:5" x14ac:dyDescent="0.3">
      <c r="A863">
        <v>862</v>
      </c>
      <c r="B863" s="1" t="s">
        <v>98</v>
      </c>
      <c r="C863" t="s">
        <v>151</v>
      </c>
      <c r="D863">
        <v>68</v>
      </c>
      <c r="E863" t="s">
        <v>154</v>
      </c>
    </row>
    <row r="864" spans="1:5" x14ac:dyDescent="0.3">
      <c r="A864">
        <v>863</v>
      </c>
      <c r="B864" s="1" t="s">
        <v>110</v>
      </c>
      <c r="C864" t="s">
        <v>151</v>
      </c>
      <c r="D864">
        <v>63</v>
      </c>
      <c r="E864" t="s">
        <v>154</v>
      </c>
    </row>
    <row r="865" spans="1:5" x14ac:dyDescent="0.3">
      <c r="A865">
        <v>864</v>
      </c>
      <c r="B865" s="1" t="s">
        <v>98</v>
      </c>
      <c r="C865" t="s">
        <v>151</v>
      </c>
      <c r="D865">
        <v>78</v>
      </c>
      <c r="E865" t="s">
        <v>154</v>
      </c>
    </row>
    <row r="866" spans="1:5" x14ac:dyDescent="0.3">
      <c r="A866">
        <v>865</v>
      </c>
      <c r="B866" s="1" t="s">
        <v>98</v>
      </c>
      <c r="C866" t="s">
        <v>150</v>
      </c>
      <c r="D866">
        <v>20</v>
      </c>
      <c r="E866" t="s">
        <v>154</v>
      </c>
    </row>
    <row r="867" spans="1:5" x14ac:dyDescent="0.3">
      <c r="A867">
        <v>866</v>
      </c>
      <c r="B867" s="1" t="s">
        <v>105</v>
      </c>
      <c r="C867" t="s">
        <v>151</v>
      </c>
      <c r="D867">
        <v>66</v>
      </c>
      <c r="E867" t="s">
        <v>154</v>
      </c>
    </row>
    <row r="868" spans="1:5" x14ac:dyDescent="0.3">
      <c r="A868">
        <v>867</v>
      </c>
      <c r="B868" s="1" t="s">
        <v>98</v>
      </c>
      <c r="C868" t="s">
        <v>151</v>
      </c>
      <c r="D868">
        <v>76</v>
      </c>
      <c r="E868" t="s">
        <v>154</v>
      </c>
    </row>
    <row r="869" spans="1:5" x14ac:dyDescent="0.3">
      <c r="A869">
        <v>868</v>
      </c>
      <c r="B869" s="1" t="s">
        <v>109</v>
      </c>
      <c r="C869" t="s">
        <v>151</v>
      </c>
      <c r="D869">
        <v>31</v>
      </c>
      <c r="E869" t="s">
        <v>154</v>
      </c>
    </row>
    <row r="870" spans="1:5" x14ac:dyDescent="0.3">
      <c r="A870">
        <v>869</v>
      </c>
      <c r="B870" s="1" t="s">
        <v>103</v>
      </c>
      <c r="C870" t="s">
        <v>151</v>
      </c>
      <c r="D870">
        <v>56</v>
      </c>
      <c r="E870" t="s">
        <v>154</v>
      </c>
    </row>
    <row r="871" spans="1:5" x14ac:dyDescent="0.3">
      <c r="A871">
        <v>870</v>
      </c>
      <c r="B871" s="1" t="s">
        <v>112</v>
      </c>
      <c r="C871" t="s">
        <v>150</v>
      </c>
      <c r="D871">
        <v>65</v>
      </c>
      <c r="E871" t="s">
        <v>154</v>
      </c>
    </row>
    <row r="872" spans="1:5" x14ac:dyDescent="0.3">
      <c r="A872">
        <v>871</v>
      </c>
      <c r="B872" s="1" t="s">
        <v>106</v>
      </c>
      <c r="C872" t="s">
        <v>151</v>
      </c>
      <c r="D872">
        <v>76</v>
      </c>
      <c r="E872" t="s">
        <v>154</v>
      </c>
    </row>
    <row r="873" spans="1:5" x14ac:dyDescent="0.3">
      <c r="A873">
        <v>872</v>
      </c>
      <c r="B873" s="1" t="s">
        <v>99</v>
      </c>
      <c r="C873" t="s">
        <v>151</v>
      </c>
      <c r="D873">
        <v>20</v>
      </c>
      <c r="E873" t="s">
        <v>154</v>
      </c>
    </row>
    <row r="874" spans="1:5" x14ac:dyDescent="0.3">
      <c r="A874">
        <v>873</v>
      </c>
      <c r="B874" s="1" t="s">
        <v>101</v>
      </c>
      <c r="C874" t="s">
        <v>150</v>
      </c>
      <c r="D874">
        <v>75</v>
      </c>
      <c r="E874" t="s">
        <v>154</v>
      </c>
    </row>
    <row r="875" spans="1:5" x14ac:dyDescent="0.3">
      <c r="A875">
        <v>874</v>
      </c>
      <c r="B875" s="1" t="s">
        <v>98</v>
      </c>
      <c r="C875" t="s">
        <v>151</v>
      </c>
      <c r="D875">
        <v>40</v>
      </c>
      <c r="E875" t="s">
        <v>154</v>
      </c>
    </row>
    <row r="876" spans="1:5" x14ac:dyDescent="0.3">
      <c r="A876">
        <v>875</v>
      </c>
      <c r="B876" s="1" t="s">
        <v>98</v>
      </c>
      <c r="C876" t="s">
        <v>150</v>
      </c>
      <c r="D876">
        <v>54</v>
      </c>
      <c r="E876" t="s">
        <v>154</v>
      </c>
    </row>
    <row r="877" spans="1:5" x14ac:dyDescent="0.3">
      <c r="A877">
        <v>876</v>
      </c>
      <c r="B877" s="1" t="s">
        <v>98</v>
      </c>
      <c r="C877" t="s">
        <v>150</v>
      </c>
      <c r="D877">
        <v>76</v>
      </c>
      <c r="E877" t="s">
        <v>154</v>
      </c>
    </row>
    <row r="878" spans="1:5" x14ac:dyDescent="0.3">
      <c r="A878">
        <v>877</v>
      </c>
      <c r="B878" s="1" t="s">
        <v>112</v>
      </c>
      <c r="C878" t="s">
        <v>150</v>
      </c>
      <c r="D878">
        <v>78</v>
      </c>
      <c r="E878" t="s">
        <v>154</v>
      </c>
    </row>
    <row r="879" spans="1:5" x14ac:dyDescent="0.3">
      <c r="A879">
        <v>878</v>
      </c>
      <c r="B879" s="1" t="s">
        <v>112</v>
      </c>
      <c r="C879" t="s">
        <v>151</v>
      </c>
      <c r="D879">
        <v>45</v>
      </c>
      <c r="E879" t="s">
        <v>154</v>
      </c>
    </row>
    <row r="880" spans="1:5" x14ac:dyDescent="0.3">
      <c r="A880">
        <v>879</v>
      </c>
      <c r="B880" s="1" t="s">
        <v>98</v>
      </c>
      <c r="C880" t="s">
        <v>151</v>
      </c>
      <c r="D880">
        <v>70</v>
      </c>
      <c r="E880" t="s">
        <v>154</v>
      </c>
    </row>
    <row r="881" spans="1:5" x14ac:dyDescent="0.3">
      <c r="A881">
        <v>880</v>
      </c>
      <c r="B881" s="1" t="s">
        <v>112</v>
      </c>
      <c r="C881" t="s">
        <v>150</v>
      </c>
      <c r="D881">
        <v>44</v>
      </c>
      <c r="E881" t="s">
        <v>154</v>
      </c>
    </row>
    <row r="882" spans="1:5" x14ac:dyDescent="0.3">
      <c r="A882">
        <v>881</v>
      </c>
      <c r="B882" s="1" t="s">
        <v>99</v>
      </c>
      <c r="C882" t="s">
        <v>150</v>
      </c>
      <c r="D882">
        <v>67</v>
      </c>
      <c r="E882" t="s">
        <v>154</v>
      </c>
    </row>
    <row r="883" spans="1:5" x14ac:dyDescent="0.3">
      <c r="A883">
        <v>882</v>
      </c>
      <c r="B883" s="1" t="s">
        <v>105</v>
      </c>
      <c r="C883" t="s">
        <v>150</v>
      </c>
      <c r="D883">
        <v>20</v>
      </c>
      <c r="E883" t="s">
        <v>154</v>
      </c>
    </row>
    <row r="884" spans="1:5" x14ac:dyDescent="0.3">
      <c r="A884">
        <v>883</v>
      </c>
      <c r="B884" s="1" t="s">
        <v>98</v>
      </c>
      <c r="C884" t="s">
        <v>150</v>
      </c>
      <c r="D884">
        <v>81</v>
      </c>
      <c r="E884" t="s">
        <v>154</v>
      </c>
    </row>
    <row r="885" spans="1:5" x14ac:dyDescent="0.3">
      <c r="A885">
        <v>884</v>
      </c>
      <c r="B885" s="1" t="s">
        <v>112</v>
      </c>
      <c r="C885" t="s">
        <v>150</v>
      </c>
      <c r="D885">
        <v>53</v>
      </c>
      <c r="E885" t="s">
        <v>154</v>
      </c>
    </row>
    <row r="886" spans="1:5" x14ac:dyDescent="0.3">
      <c r="A886">
        <v>885</v>
      </c>
      <c r="B886" s="1" t="s">
        <v>108</v>
      </c>
      <c r="C886" t="s">
        <v>151</v>
      </c>
      <c r="D886">
        <v>53</v>
      </c>
      <c r="E886" t="s">
        <v>154</v>
      </c>
    </row>
    <row r="887" spans="1:5" x14ac:dyDescent="0.3">
      <c r="A887">
        <v>886</v>
      </c>
      <c r="B887" s="1" t="s">
        <v>98</v>
      </c>
      <c r="C887" t="s">
        <v>150</v>
      </c>
      <c r="D887">
        <v>72</v>
      </c>
      <c r="E887" t="s">
        <v>154</v>
      </c>
    </row>
    <row r="888" spans="1:5" x14ac:dyDescent="0.3">
      <c r="A888">
        <v>887</v>
      </c>
      <c r="B888" s="1" t="s">
        <v>98</v>
      </c>
      <c r="C888" t="s">
        <v>151</v>
      </c>
      <c r="D888">
        <v>28</v>
      </c>
      <c r="E888" t="s">
        <v>154</v>
      </c>
    </row>
    <row r="889" spans="1:5" x14ac:dyDescent="0.3">
      <c r="A889">
        <v>888</v>
      </c>
      <c r="B889" s="1" t="s">
        <v>107</v>
      </c>
      <c r="C889" t="s">
        <v>150</v>
      </c>
      <c r="D889">
        <v>71</v>
      </c>
      <c r="E889" t="s">
        <v>154</v>
      </c>
    </row>
    <row r="890" spans="1:5" x14ac:dyDescent="0.3">
      <c r="A890">
        <v>889</v>
      </c>
      <c r="B890" s="1" t="s">
        <v>106</v>
      </c>
      <c r="C890" t="s">
        <v>151</v>
      </c>
      <c r="D890">
        <v>30</v>
      </c>
      <c r="E890" t="s">
        <v>154</v>
      </c>
    </row>
    <row r="891" spans="1:5" x14ac:dyDescent="0.3">
      <c r="A891">
        <v>890</v>
      </c>
      <c r="B891" s="1" t="s">
        <v>98</v>
      </c>
      <c r="C891" t="s">
        <v>151</v>
      </c>
      <c r="D891">
        <v>84</v>
      </c>
      <c r="E891" t="s">
        <v>154</v>
      </c>
    </row>
    <row r="892" spans="1:5" x14ac:dyDescent="0.3">
      <c r="A892">
        <v>891</v>
      </c>
      <c r="B892" s="1" t="s">
        <v>98</v>
      </c>
      <c r="C892" t="s">
        <v>150</v>
      </c>
      <c r="D892">
        <v>45</v>
      </c>
      <c r="E892" t="s">
        <v>154</v>
      </c>
    </row>
    <row r="893" spans="1:5" x14ac:dyDescent="0.3">
      <c r="A893">
        <v>892</v>
      </c>
      <c r="B893" s="1" t="s">
        <v>98</v>
      </c>
      <c r="C893" t="s">
        <v>151</v>
      </c>
      <c r="D893">
        <v>34</v>
      </c>
      <c r="E893" t="s">
        <v>154</v>
      </c>
    </row>
    <row r="894" spans="1:5" x14ac:dyDescent="0.3">
      <c r="A894">
        <v>893</v>
      </c>
      <c r="B894" s="1" t="s">
        <v>98</v>
      </c>
      <c r="C894" t="s">
        <v>150</v>
      </c>
      <c r="D894">
        <v>53</v>
      </c>
      <c r="E894" t="s">
        <v>154</v>
      </c>
    </row>
    <row r="895" spans="1:5" x14ac:dyDescent="0.3">
      <c r="A895">
        <v>894</v>
      </c>
      <c r="B895" s="1" t="s">
        <v>100</v>
      </c>
      <c r="C895" t="s">
        <v>151</v>
      </c>
      <c r="D895">
        <v>37</v>
      </c>
      <c r="E895" t="s">
        <v>154</v>
      </c>
    </row>
    <row r="896" spans="1:5" x14ac:dyDescent="0.3">
      <c r="A896">
        <v>895</v>
      </c>
      <c r="B896" s="1" t="s">
        <v>109</v>
      </c>
      <c r="C896" t="s">
        <v>150</v>
      </c>
      <c r="D896">
        <v>38</v>
      </c>
      <c r="E896" t="s">
        <v>154</v>
      </c>
    </row>
    <row r="897" spans="1:5" x14ac:dyDescent="0.3">
      <c r="A897">
        <v>896</v>
      </c>
      <c r="B897" s="1" t="s">
        <v>100</v>
      </c>
      <c r="C897" t="s">
        <v>151</v>
      </c>
      <c r="D897">
        <v>79</v>
      </c>
      <c r="E897" t="s">
        <v>154</v>
      </c>
    </row>
    <row r="898" spans="1:5" x14ac:dyDescent="0.3">
      <c r="A898">
        <v>897</v>
      </c>
      <c r="B898" s="1" t="s">
        <v>98</v>
      </c>
      <c r="C898" t="s">
        <v>150</v>
      </c>
      <c r="D898">
        <v>46</v>
      </c>
      <c r="E898" t="s">
        <v>154</v>
      </c>
    </row>
    <row r="899" spans="1:5" x14ac:dyDescent="0.3">
      <c r="A899">
        <v>898</v>
      </c>
      <c r="B899" s="1" t="s">
        <v>98</v>
      </c>
      <c r="C899" t="s">
        <v>150</v>
      </c>
      <c r="D899">
        <v>64</v>
      </c>
      <c r="E899" t="s">
        <v>154</v>
      </c>
    </row>
    <row r="900" spans="1:5" x14ac:dyDescent="0.3">
      <c r="A900">
        <v>899</v>
      </c>
      <c r="B900" s="1" t="s">
        <v>98</v>
      </c>
      <c r="C900" t="s">
        <v>151</v>
      </c>
      <c r="D900">
        <v>75</v>
      </c>
      <c r="E900" t="s">
        <v>154</v>
      </c>
    </row>
    <row r="901" spans="1:5" x14ac:dyDescent="0.3">
      <c r="A901">
        <v>900</v>
      </c>
      <c r="B901" s="1" t="s">
        <v>98</v>
      </c>
      <c r="C901" t="s">
        <v>150</v>
      </c>
      <c r="D901">
        <v>54</v>
      </c>
      <c r="E901" t="s">
        <v>154</v>
      </c>
    </row>
    <row r="902" spans="1:5" x14ac:dyDescent="0.3">
      <c r="A902">
        <v>901</v>
      </c>
      <c r="B902" s="1" t="s">
        <v>98</v>
      </c>
      <c r="C902" t="s">
        <v>151</v>
      </c>
      <c r="D902">
        <v>44</v>
      </c>
      <c r="E902" t="s">
        <v>154</v>
      </c>
    </row>
    <row r="903" spans="1:5" x14ac:dyDescent="0.3">
      <c r="A903">
        <v>902</v>
      </c>
      <c r="B903" s="1" t="s">
        <v>98</v>
      </c>
      <c r="C903" t="s">
        <v>151</v>
      </c>
      <c r="D903">
        <v>82</v>
      </c>
      <c r="E903" t="s">
        <v>154</v>
      </c>
    </row>
    <row r="904" spans="1:5" x14ac:dyDescent="0.3">
      <c r="A904">
        <v>903</v>
      </c>
      <c r="B904" s="1" t="s">
        <v>98</v>
      </c>
      <c r="C904" t="s">
        <v>150</v>
      </c>
      <c r="D904">
        <v>27</v>
      </c>
      <c r="E904" t="s">
        <v>154</v>
      </c>
    </row>
    <row r="905" spans="1:5" x14ac:dyDescent="0.3">
      <c r="A905">
        <v>904</v>
      </c>
      <c r="B905" s="1" t="s">
        <v>112</v>
      </c>
      <c r="C905" t="s">
        <v>151</v>
      </c>
      <c r="D905">
        <v>34</v>
      </c>
      <c r="E905" t="s">
        <v>154</v>
      </c>
    </row>
    <row r="906" spans="1:5" x14ac:dyDescent="0.3">
      <c r="A906">
        <v>905</v>
      </c>
      <c r="B906" s="1" t="s">
        <v>98</v>
      </c>
      <c r="C906" t="s">
        <v>151</v>
      </c>
      <c r="D906">
        <v>25</v>
      </c>
      <c r="E906" t="s">
        <v>154</v>
      </c>
    </row>
    <row r="907" spans="1:5" x14ac:dyDescent="0.3">
      <c r="A907">
        <v>906</v>
      </c>
      <c r="B907" s="1" t="s">
        <v>99</v>
      </c>
      <c r="C907" t="s">
        <v>150</v>
      </c>
      <c r="D907">
        <v>79</v>
      </c>
      <c r="E907" t="s">
        <v>154</v>
      </c>
    </row>
    <row r="908" spans="1:5" x14ac:dyDescent="0.3">
      <c r="A908">
        <v>907</v>
      </c>
      <c r="B908" s="1" t="s">
        <v>107</v>
      </c>
      <c r="C908" t="s">
        <v>150</v>
      </c>
      <c r="D908">
        <v>55</v>
      </c>
      <c r="E908" t="s">
        <v>154</v>
      </c>
    </row>
    <row r="909" spans="1:5" x14ac:dyDescent="0.3">
      <c r="A909">
        <v>908</v>
      </c>
      <c r="B909" s="1" t="s">
        <v>98</v>
      </c>
      <c r="C909" t="s">
        <v>151</v>
      </c>
      <c r="D909">
        <v>75</v>
      </c>
      <c r="E909" t="s">
        <v>154</v>
      </c>
    </row>
    <row r="910" spans="1:5" x14ac:dyDescent="0.3">
      <c r="A910">
        <v>909</v>
      </c>
      <c r="B910" s="1" t="s">
        <v>112</v>
      </c>
      <c r="C910" t="s">
        <v>150</v>
      </c>
      <c r="D910">
        <v>71</v>
      </c>
      <c r="E910" t="s">
        <v>154</v>
      </c>
    </row>
    <row r="911" spans="1:5" x14ac:dyDescent="0.3">
      <c r="A911">
        <v>910</v>
      </c>
      <c r="B911" s="1" t="s">
        <v>98</v>
      </c>
      <c r="C911" t="s">
        <v>150</v>
      </c>
      <c r="D911">
        <v>68</v>
      </c>
      <c r="E911" t="s">
        <v>154</v>
      </c>
    </row>
    <row r="912" spans="1:5" x14ac:dyDescent="0.3">
      <c r="A912">
        <v>911</v>
      </c>
      <c r="B912" s="1" t="s">
        <v>98</v>
      </c>
      <c r="C912" t="s">
        <v>151</v>
      </c>
      <c r="D912">
        <v>27</v>
      </c>
      <c r="E912" t="s">
        <v>154</v>
      </c>
    </row>
    <row r="913" spans="1:5" x14ac:dyDescent="0.3">
      <c r="A913">
        <v>912</v>
      </c>
      <c r="B913" s="1" t="s">
        <v>98</v>
      </c>
      <c r="C913" t="s">
        <v>150</v>
      </c>
      <c r="D913">
        <v>33</v>
      </c>
      <c r="E913" t="s">
        <v>154</v>
      </c>
    </row>
    <row r="914" spans="1:5" x14ac:dyDescent="0.3">
      <c r="A914">
        <v>913</v>
      </c>
      <c r="B914" s="1" t="s">
        <v>98</v>
      </c>
      <c r="C914" t="s">
        <v>151</v>
      </c>
      <c r="D914">
        <v>28</v>
      </c>
      <c r="E914" t="s">
        <v>154</v>
      </c>
    </row>
    <row r="915" spans="1:5" x14ac:dyDescent="0.3">
      <c r="A915">
        <v>914</v>
      </c>
      <c r="B915" s="1" t="s">
        <v>98</v>
      </c>
      <c r="C915" t="s">
        <v>151</v>
      </c>
      <c r="D915">
        <v>80</v>
      </c>
      <c r="E915" t="s">
        <v>154</v>
      </c>
    </row>
    <row r="916" spans="1:5" x14ac:dyDescent="0.3">
      <c r="A916">
        <v>915</v>
      </c>
      <c r="B916" s="1" t="s">
        <v>99</v>
      </c>
      <c r="C916" t="s">
        <v>150</v>
      </c>
      <c r="D916">
        <v>39</v>
      </c>
      <c r="E916" t="s">
        <v>154</v>
      </c>
    </row>
    <row r="917" spans="1:5" x14ac:dyDescent="0.3">
      <c r="A917">
        <v>916</v>
      </c>
      <c r="B917" s="1" t="s">
        <v>99</v>
      </c>
      <c r="C917" t="s">
        <v>150</v>
      </c>
      <c r="D917">
        <v>61</v>
      </c>
      <c r="E917" t="s">
        <v>154</v>
      </c>
    </row>
    <row r="918" spans="1:5" x14ac:dyDescent="0.3">
      <c r="A918">
        <v>917</v>
      </c>
      <c r="B918" s="1" t="s">
        <v>102</v>
      </c>
      <c r="C918" t="s">
        <v>151</v>
      </c>
      <c r="D918">
        <v>41</v>
      </c>
      <c r="E918" t="s">
        <v>154</v>
      </c>
    </row>
    <row r="919" spans="1:5" x14ac:dyDescent="0.3">
      <c r="A919">
        <v>918</v>
      </c>
      <c r="B919" s="1" t="s">
        <v>100</v>
      </c>
      <c r="C919" t="s">
        <v>150</v>
      </c>
      <c r="D919">
        <v>75</v>
      </c>
      <c r="E919" t="s">
        <v>154</v>
      </c>
    </row>
    <row r="920" spans="1:5" x14ac:dyDescent="0.3">
      <c r="A920">
        <v>919</v>
      </c>
      <c r="B920" s="1" t="s">
        <v>107</v>
      </c>
      <c r="C920" t="s">
        <v>150</v>
      </c>
      <c r="D920">
        <v>27</v>
      </c>
      <c r="E920" t="s">
        <v>154</v>
      </c>
    </row>
    <row r="921" spans="1:5" x14ac:dyDescent="0.3">
      <c r="A921">
        <v>920</v>
      </c>
      <c r="B921" s="1" t="s">
        <v>98</v>
      </c>
      <c r="C921" t="s">
        <v>150</v>
      </c>
      <c r="D921">
        <v>67</v>
      </c>
      <c r="E921" t="s">
        <v>154</v>
      </c>
    </row>
    <row r="922" spans="1:5" x14ac:dyDescent="0.3">
      <c r="A922">
        <v>921</v>
      </c>
      <c r="B922" s="1" t="s">
        <v>98</v>
      </c>
      <c r="C922" t="s">
        <v>151</v>
      </c>
      <c r="D922">
        <v>52</v>
      </c>
      <c r="E922" t="s">
        <v>154</v>
      </c>
    </row>
    <row r="923" spans="1:5" x14ac:dyDescent="0.3">
      <c r="A923">
        <v>922</v>
      </c>
      <c r="B923" s="1" t="s">
        <v>109</v>
      </c>
      <c r="C923" t="s">
        <v>151</v>
      </c>
      <c r="D923">
        <v>31</v>
      </c>
      <c r="E923" t="s">
        <v>154</v>
      </c>
    </row>
    <row r="924" spans="1:5" x14ac:dyDescent="0.3">
      <c r="A924">
        <v>923</v>
      </c>
      <c r="B924" s="1" t="s">
        <v>98</v>
      </c>
      <c r="C924" t="s">
        <v>151</v>
      </c>
      <c r="D924">
        <v>44</v>
      </c>
      <c r="E924" t="s">
        <v>154</v>
      </c>
    </row>
    <row r="925" spans="1:5" x14ac:dyDescent="0.3">
      <c r="A925">
        <v>924</v>
      </c>
      <c r="B925" s="1" t="s">
        <v>112</v>
      </c>
      <c r="C925" t="s">
        <v>150</v>
      </c>
      <c r="D925">
        <v>64</v>
      </c>
      <c r="E925" t="s">
        <v>154</v>
      </c>
    </row>
    <row r="926" spans="1:5" x14ac:dyDescent="0.3">
      <c r="A926">
        <v>925</v>
      </c>
      <c r="B926" s="1" t="s">
        <v>98</v>
      </c>
      <c r="C926" t="s">
        <v>151</v>
      </c>
      <c r="D926">
        <v>34</v>
      </c>
      <c r="E926" t="s">
        <v>154</v>
      </c>
    </row>
    <row r="927" spans="1:5" x14ac:dyDescent="0.3">
      <c r="A927">
        <v>926</v>
      </c>
      <c r="B927" s="1" t="s">
        <v>98</v>
      </c>
      <c r="C927" t="s">
        <v>151</v>
      </c>
      <c r="D927">
        <v>19</v>
      </c>
      <c r="E927" t="s">
        <v>154</v>
      </c>
    </row>
    <row r="928" spans="1:5" x14ac:dyDescent="0.3">
      <c r="A928">
        <v>927</v>
      </c>
      <c r="B928" s="1" t="s">
        <v>112</v>
      </c>
      <c r="C928" t="s">
        <v>150</v>
      </c>
      <c r="D928">
        <v>77</v>
      </c>
      <c r="E928" t="s">
        <v>154</v>
      </c>
    </row>
    <row r="929" spans="1:5" x14ac:dyDescent="0.3">
      <c r="A929">
        <v>928</v>
      </c>
      <c r="B929" s="1" t="s">
        <v>103</v>
      </c>
      <c r="C929" t="s">
        <v>151</v>
      </c>
      <c r="D929">
        <v>56</v>
      </c>
      <c r="E929" t="s">
        <v>154</v>
      </c>
    </row>
    <row r="930" spans="1:5" x14ac:dyDescent="0.3">
      <c r="A930">
        <v>929</v>
      </c>
      <c r="B930" s="1" t="s">
        <v>98</v>
      </c>
      <c r="C930" t="s">
        <v>150</v>
      </c>
      <c r="D930">
        <v>18</v>
      </c>
      <c r="E930" t="s">
        <v>154</v>
      </c>
    </row>
    <row r="931" spans="1:5" x14ac:dyDescent="0.3">
      <c r="A931">
        <v>930</v>
      </c>
      <c r="B931" s="1" t="s">
        <v>100</v>
      </c>
      <c r="C931" t="s">
        <v>150</v>
      </c>
      <c r="D931">
        <v>21</v>
      </c>
      <c r="E931" t="s">
        <v>154</v>
      </c>
    </row>
    <row r="932" spans="1:5" x14ac:dyDescent="0.3">
      <c r="A932">
        <v>931</v>
      </c>
      <c r="B932" s="1" t="s">
        <v>98</v>
      </c>
      <c r="C932" t="s">
        <v>151</v>
      </c>
      <c r="D932">
        <v>58</v>
      </c>
      <c r="E932" t="s">
        <v>154</v>
      </c>
    </row>
    <row r="933" spans="1:5" x14ac:dyDescent="0.3">
      <c r="A933">
        <v>932</v>
      </c>
      <c r="B933" s="1" t="s">
        <v>109</v>
      </c>
      <c r="C933" t="s">
        <v>151</v>
      </c>
      <c r="D933">
        <v>61</v>
      </c>
      <c r="E933" t="s">
        <v>154</v>
      </c>
    </row>
    <row r="934" spans="1:5" x14ac:dyDescent="0.3">
      <c r="A934">
        <v>933</v>
      </c>
      <c r="B934" s="1" t="s">
        <v>98</v>
      </c>
      <c r="C934" t="s">
        <v>151</v>
      </c>
      <c r="D934">
        <v>24</v>
      </c>
      <c r="E934" t="s">
        <v>154</v>
      </c>
    </row>
    <row r="935" spans="1:5" x14ac:dyDescent="0.3">
      <c r="A935">
        <v>934</v>
      </c>
      <c r="B935" s="1" t="s">
        <v>98</v>
      </c>
      <c r="C935" t="s">
        <v>150</v>
      </c>
      <c r="D935">
        <v>70</v>
      </c>
      <c r="E935" t="s">
        <v>154</v>
      </c>
    </row>
    <row r="936" spans="1:5" x14ac:dyDescent="0.3">
      <c r="A936">
        <v>935</v>
      </c>
      <c r="B936" s="1" t="s">
        <v>99</v>
      </c>
      <c r="C936" t="s">
        <v>150</v>
      </c>
      <c r="D936">
        <v>38</v>
      </c>
      <c r="E936" t="s">
        <v>154</v>
      </c>
    </row>
    <row r="937" spans="1:5" x14ac:dyDescent="0.3">
      <c r="A937">
        <v>936</v>
      </c>
      <c r="B937" s="1" t="s">
        <v>105</v>
      </c>
      <c r="C937" t="s">
        <v>150</v>
      </c>
      <c r="D937">
        <v>34</v>
      </c>
      <c r="E937" t="s">
        <v>154</v>
      </c>
    </row>
    <row r="938" spans="1:5" x14ac:dyDescent="0.3">
      <c r="A938">
        <v>937</v>
      </c>
      <c r="B938" s="1" t="s">
        <v>108</v>
      </c>
      <c r="C938" t="s">
        <v>151</v>
      </c>
      <c r="D938">
        <v>21</v>
      </c>
      <c r="E938" t="s">
        <v>154</v>
      </c>
    </row>
    <row r="939" spans="1:5" x14ac:dyDescent="0.3">
      <c r="A939">
        <v>938</v>
      </c>
      <c r="B939" s="1" t="s">
        <v>108</v>
      </c>
      <c r="C939" t="s">
        <v>151</v>
      </c>
      <c r="D939">
        <v>42</v>
      </c>
      <c r="E939" t="s">
        <v>154</v>
      </c>
    </row>
    <row r="940" spans="1:5" x14ac:dyDescent="0.3">
      <c r="A940">
        <v>939</v>
      </c>
      <c r="B940" s="1" t="s">
        <v>98</v>
      </c>
      <c r="C940" t="s">
        <v>150</v>
      </c>
      <c r="D940">
        <v>73</v>
      </c>
      <c r="E940" t="s">
        <v>154</v>
      </c>
    </row>
    <row r="941" spans="1:5" x14ac:dyDescent="0.3">
      <c r="A941">
        <v>940</v>
      </c>
      <c r="B941" s="1" t="s">
        <v>98</v>
      </c>
      <c r="C941" t="s">
        <v>150</v>
      </c>
      <c r="D941">
        <v>79</v>
      </c>
      <c r="E941" t="s">
        <v>154</v>
      </c>
    </row>
    <row r="942" spans="1:5" x14ac:dyDescent="0.3">
      <c r="A942">
        <v>941</v>
      </c>
      <c r="B942" s="1" t="s">
        <v>98</v>
      </c>
      <c r="C942" t="s">
        <v>150</v>
      </c>
      <c r="D942">
        <v>81</v>
      </c>
      <c r="E942" t="s">
        <v>154</v>
      </c>
    </row>
    <row r="943" spans="1:5" x14ac:dyDescent="0.3">
      <c r="A943">
        <v>942</v>
      </c>
      <c r="B943" s="1" t="s">
        <v>98</v>
      </c>
      <c r="C943" t="s">
        <v>151</v>
      </c>
      <c r="D943">
        <v>72</v>
      </c>
      <c r="E943" t="s">
        <v>154</v>
      </c>
    </row>
    <row r="944" spans="1:5" x14ac:dyDescent="0.3">
      <c r="A944">
        <v>943</v>
      </c>
      <c r="B944" s="1" t="s">
        <v>98</v>
      </c>
      <c r="C944" t="s">
        <v>151</v>
      </c>
      <c r="D944">
        <v>48</v>
      </c>
      <c r="E944" t="s">
        <v>154</v>
      </c>
    </row>
    <row r="945" spans="1:5" x14ac:dyDescent="0.3">
      <c r="A945">
        <v>944</v>
      </c>
      <c r="B945" s="1" t="s">
        <v>112</v>
      </c>
      <c r="C945" t="s">
        <v>150</v>
      </c>
      <c r="D945">
        <v>38</v>
      </c>
      <c r="E945" t="s">
        <v>154</v>
      </c>
    </row>
    <row r="946" spans="1:5" x14ac:dyDescent="0.3">
      <c r="A946">
        <v>945</v>
      </c>
      <c r="B946" s="1" t="s">
        <v>99</v>
      </c>
      <c r="C946" t="s">
        <v>150</v>
      </c>
      <c r="D946">
        <v>34</v>
      </c>
      <c r="E946" t="s">
        <v>154</v>
      </c>
    </row>
    <row r="947" spans="1:5" x14ac:dyDescent="0.3">
      <c r="A947">
        <v>946</v>
      </c>
      <c r="B947" s="1" t="s">
        <v>112</v>
      </c>
      <c r="C947" t="s">
        <v>150</v>
      </c>
      <c r="D947">
        <v>27</v>
      </c>
      <c r="E947" t="s">
        <v>154</v>
      </c>
    </row>
    <row r="948" spans="1:5" x14ac:dyDescent="0.3">
      <c r="A948">
        <v>947</v>
      </c>
      <c r="B948" s="1" t="s">
        <v>100</v>
      </c>
      <c r="C948" t="s">
        <v>151</v>
      </c>
      <c r="D948">
        <v>22</v>
      </c>
      <c r="E948" t="s">
        <v>154</v>
      </c>
    </row>
    <row r="949" spans="1:5" x14ac:dyDescent="0.3">
      <c r="A949">
        <v>948</v>
      </c>
      <c r="B949" s="1" t="s">
        <v>101</v>
      </c>
      <c r="C949" t="s">
        <v>150</v>
      </c>
      <c r="D949">
        <v>27</v>
      </c>
      <c r="E949" t="s">
        <v>154</v>
      </c>
    </row>
    <row r="950" spans="1:5" x14ac:dyDescent="0.3">
      <c r="A950">
        <v>949</v>
      </c>
      <c r="B950" s="1" t="s">
        <v>102</v>
      </c>
      <c r="C950" t="s">
        <v>150</v>
      </c>
      <c r="D950">
        <v>71</v>
      </c>
      <c r="E950" t="s">
        <v>154</v>
      </c>
    </row>
    <row r="951" spans="1:5" x14ac:dyDescent="0.3">
      <c r="A951">
        <v>950</v>
      </c>
      <c r="B951" s="1" t="s">
        <v>99</v>
      </c>
      <c r="C951" t="s">
        <v>150</v>
      </c>
      <c r="D951">
        <v>72</v>
      </c>
      <c r="E951" t="s">
        <v>154</v>
      </c>
    </row>
    <row r="952" spans="1:5" x14ac:dyDescent="0.3">
      <c r="A952">
        <v>951</v>
      </c>
      <c r="B952" s="1" t="s">
        <v>108</v>
      </c>
      <c r="C952" t="s">
        <v>150</v>
      </c>
      <c r="D952">
        <v>22</v>
      </c>
      <c r="E952" t="s">
        <v>154</v>
      </c>
    </row>
    <row r="953" spans="1:5" x14ac:dyDescent="0.3">
      <c r="A953">
        <v>952</v>
      </c>
      <c r="B953" s="1" t="s">
        <v>103</v>
      </c>
      <c r="C953" t="s">
        <v>151</v>
      </c>
      <c r="D953">
        <v>40</v>
      </c>
      <c r="E953" t="s">
        <v>154</v>
      </c>
    </row>
    <row r="954" spans="1:5" x14ac:dyDescent="0.3">
      <c r="A954">
        <v>953</v>
      </c>
      <c r="B954" s="1" t="s">
        <v>98</v>
      </c>
      <c r="C954" t="s">
        <v>151</v>
      </c>
      <c r="D954">
        <v>67</v>
      </c>
      <c r="E954" t="s">
        <v>154</v>
      </c>
    </row>
    <row r="955" spans="1:5" x14ac:dyDescent="0.3">
      <c r="A955">
        <v>954</v>
      </c>
      <c r="B955" s="1" t="s">
        <v>112</v>
      </c>
      <c r="C955" t="s">
        <v>150</v>
      </c>
      <c r="D955">
        <v>35</v>
      </c>
      <c r="E955" t="s">
        <v>154</v>
      </c>
    </row>
    <row r="956" spans="1:5" x14ac:dyDescent="0.3">
      <c r="A956">
        <v>955</v>
      </c>
      <c r="B956" s="1" t="s">
        <v>112</v>
      </c>
      <c r="C956" t="s">
        <v>150</v>
      </c>
      <c r="D956">
        <v>85</v>
      </c>
      <c r="E956" t="s">
        <v>154</v>
      </c>
    </row>
    <row r="957" spans="1:5" x14ac:dyDescent="0.3">
      <c r="A957">
        <v>956</v>
      </c>
      <c r="B957" s="1" t="s">
        <v>99</v>
      </c>
      <c r="C957" t="s">
        <v>150</v>
      </c>
      <c r="D957">
        <v>27</v>
      </c>
      <c r="E957" t="s">
        <v>154</v>
      </c>
    </row>
    <row r="958" spans="1:5" x14ac:dyDescent="0.3">
      <c r="A958">
        <v>957</v>
      </c>
      <c r="B958" s="1" t="s">
        <v>102</v>
      </c>
      <c r="C958" t="s">
        <v>151</v>
      </c>
      <c r="D958">
        <v>24</v>
      </c>
      <c r="E958" t="s">
        <v>154</v>
      </c>
    </row>
    <row r="959" spans="1:5" x14ac:dyDescent="0.3">
      <c r="A959">
        <v>958</v>
      </c>
      <c r="B959" s="1" t="s">
        <v>98</v>
      </c>
      <c r="C959" t="s">
        <v>150</v>
      </c>
      <c r="D959">
        <v>89</v>
      </c>
      <c r="E959" t="s">
        <v>154</v>
      </c>
    </row>
    <row r="960" spans="1:5" x14ac:dyDescent="0.3">
      <c r="A960">
        <v>959</v>
      </c>
      <c r="B960" s="1" t="s">
        <v>98</v>
      </c>
      <c r="C960" t="s">
        <v>151</v>
      </c>
      <c r="D960">
        <v>72</v>
      </c>
      <c r="E960" t="s">
        <v>154</v>
      </c>
    </row>
    <row r="961" spans="1:5" x14ac:dyDescent="0.3">
      <c r="A961">
        <v>960</v>
      </c>
      <c r="B961" s="1" t="s">
        <v>98</v>
      </c>
      <c r="C961" t="s">
        <v>151</v>
      </c>
      <c r="D961">
        <v>69</v>
      </c>
      <c r="E961" t="s">
        <v>154</v>
      </c>
    </row>
    <row r="962" spans="1:5" x14ac:dyDescent="0.3">
      <c r="A962">
        <v>961</v>
      </c>
      <c r="B962" s="1" t="s">
        <v>98</v>
      </c>
      <c r="C962" t="s">
        <v>151</v>
      </c>
      <c r="D962">
        <v>82</v>
      </c>
      <c r="E962" t="s">
        <v>154</v>
      </c>
    </row>
    <row r="963" spans="1:5" x14ac:dyDescent="0.3">
      <c r="A963">
        <v>962</v>
      </c>
      <c r="B963" s="1" t="s">
        <v>98</v>
      </c>
      <c r="C963" t="s">
        <v>151</v>
      </c>
      <c r="D963">
        <v>75</v>
      </c>
      <c r="E963" t="s">
        <v>154</v>
      </c>
    </row>
    <row r="964" spans="1:5" x14ac:dyDescent="0.3">
      <c r="A964">
        <v>963</v>
      </c>
      <c r="B964" s="1" t="s">
        <v>98</v>
      </c>
      <c r="C964" t="s">
        <v>151</v>
      </c>
      <c r="D964">
        <v>67</v>
      </c>
      <c r="E964" t="s">
        <v>154</v>
      </c>
    </row>
    <row r="965" spans="1:5" x14ac:dyDescent="0.3">
      <c r="A965">
        <v>964</v>
      </c>
      <c r="B965" s="1" t="s">
        <v>99</v>
      </c>
      <c r="C965" t="s">
        <v>151</v>
      </c>
      <c r="D965">
        <v>53</v>
      </c>
      <c r="E965" t="s">
        <v>154</v>
      </c>
    </row>
    <row r="966" spans="1:5" x14ac:dyDescent="0.3">
      <c r="A966">
        <v>965</v>
      </c>
      <c r="B966" s="1" t="s">
        <v>100</v>
      </c>
      <c r="C966" t="s">
        <v>151</v>
      </c>
      <c r="D966">
        <v>50</v>
      </c>
      <c r="E966" t="s">
        <v>154</v>
      </c>
    </row>
    <row r="967" spans="1:5" x14ac:dyDescent="0.3">
      <c r="A967">
        <v>966</v>
      </c>
      <c r="B967" s="1" t="s">
        <v>98</v>
      </c>
      <c r="C967" t="s">
        <v>151</v>
      </c>
      <c r="D967">
        <v>49</v>
      </c>
      <c r="E967" t="s">
        <v>154</v>
      </c>
    </row>
    <row r="968" spans="1:5" x14ac:dyDescent="0.3">
      <c r="A968">
        <v>967</v>
      </c>
      <c r="B968" s="1" t="s">
        <v>100</v>
      </c>
      <c r="C968" t="s">
        <v>151</v>
      </c>
      <c r="D968">
        <v>54</v>
      </c>
      <c r="E968" t="s">
        <v>154</v>
      </c>
    </row>
    <row r="969" spans="1:5" x14ac:dyDescent="0.3">
      <c r="A969">
        <v>968</v>
      </c>
      <c r="B969" s="1" t="s">
        <v>107</v>
      </c>
      <c r="C969" t="s">
        <v>151</v>
      </c>
      <c r="D969">
        <v>44</v>
      </c>
      <c r="E969" t="s">
        <v>154</v>
      </c>
    </row>
    <row r="970" spans="1:5" x14ac:dyDescent="0.3">
      <c r="A970">
        <v>969</v>
      </c>
      <c r="B970" s="1" t="s">
        <v>98</v>
      </c>
      <c r="C970" t="s">
        <v>151</v>
      </c>
      <c r="D970">
        <v>27</v>
      </c>
      <c r="E970" t="s">
        <v>154</v>
      </c>
    </row>
    <row r="971" spans="1:5" x14ac:dyDescent="0.3">
      <c r="A971">
        <v>970</v>
      </c>
      <c r="B971" s="1" t="s">
        <v>98</v>
      </c>
      <c r="C971" t="s">
        <v>150</v>
      </c>
      <c r="D971">
        <v>72</v>
      </c>
      <c r="E971" t="s">
        <v>154</v>
      </c>
    </row>
    <row r="972" spans="1:5" x14ac:dyDescent="0.3">
      <c r="A972">
        <v>971</v>
      </c>
      <c r="B972" s="1" t="s">
        <v>99</v>
      </c>
      <c r="C972" t="s">
        <v>150</v>
      </c>
      <c r="D972">
        <v>22</v>
      </c>
      <c r="E972" t="s">
        <v>154</v>
      </c>
    </row>
    <row r="973" spans="1:5" x14ac:dyDescent="0.3">
      <c r="A973">
        <v>972</v>
      </c>
      <c r="B973" s="1" t="s">
        <v>99</v>
      </c>
      <c r="C973" t="s">
        <v>151</v>
      </c>
      <c r="D973">
        <v>35</v>
      </c>
      <c r="E973" t="s">
        <v>154</v>
      </c>
    </row>
    <row r="974" spans="1:5" x14ac:dyDescent="0.3">
      <c r="A974">
        <v>973</v>
      </c>
      <c r="B974" s="1" t="s">
        <v>98</v>
      </c>
      <c r="C974" t="s">
        <v>150</v>
      </c>
      <c r="D974">
        <v>50</v>
      </c>
      <c r="E974" t="s">
        <v>154</v>
      </c>
    </row>
    <row r="975" spans="1:5" x14ac:dyDescent="0.3">
      <c r="A975">
        <v>974</v>
      </c>
      <c r="B975" s="1" t="s">
        <v>99</v>
      </c>
      <c r="C975" t="s">
        <v>150</v>
      </c>
      <c r="D975">
        <v>60</v>
      </c>
      <c r="E975" t="s">
        <v>154</v>
      </c>
    </row>
    <row r="976" spans="1:5" x14ac:dyDescent="0.3">
      <c r="A976">
        <v>975</v>
      </c>
      <c r="B976" s="1" t="s">
        <v>99</v>
      </c>
      <c r="C976" t="s">
        <v>150</v>
      </c>
      <c r="D976">
        <v>45</v>
      </c>
      <c r="E976" t="s">
        <v>154</v>
      </c>
    </row>
    <row r="977" spans="1:5" x14ac:dyDescent="0.3">
      <c r="A977">
        <v>976</v>
      </c>
      <c r="B977" s="1" t="s">
        <v>105</v>
      </c>
      <c r="C977" t="s">
        <v>151</v>
      </c>
      <c r="D977">
        <v>48</v>
      </c>
      <c r="E977" t="s">
        <v>154</v>
      </c>
    </row>
    <row r="978" spans="1:5" x14ac:dyDescent="0.3">
      <c r="A978">
        <v>977</v>
      </c>
      <c r="B978" s="1" t="s">
        <v>112</v>
      </c>
      <c r="C978" t="s">
        <v>150</v>
      </c>
      <c r="D978">
        <v>31</v>
      </c>
      <c r="E978" t="s">
        <v>154</v>
      </c>
    </row>
    <row r="979" spans="1:5" x14ac:dyDescent="0.3">
      <c r="A979">
        <v>978</v>
      </c>
      <c r="B979" s="1" t="s">
        <v>98</v>
      </c>
      <c r="C979" t="s">
        <v>150</v>
      </c>
      <c r="D979">
        <v>80</v>
      </c>
      <c r="E979" t="s">
        <v>154</v>
      </c>
    </row>
    <row r="980" spans="1:5" x14ac:dyDescent="0.3">
      <c r="A980">
        <v>979</v>
      </c>
      <c r="B980" s="1" t="s">
        <v>100</v>
      </c>
      <c r="C980" t="s">
        <v>151</v>
      </c>
      <c r="D980">
        <v>47</v>
      </c>
      <c r="E980" t="s">
        <v>154</v>
      </c>
    </row>
    <row r="981" spans="1:5" x14ac:dyDescent="0.3">
      <c r="A981">
        <v>980</v>
      </c>
      <c r="B981" s="1" t="s">
        <v>98</v>
      </c>
      <c r="C981" t="s">
        <v>151</v>
      </c>
      <c r="D981">
        <v>31</v>
      </c>
      <c r="E981" t="s">
        <v>154</v>
      </c>
    </row>
    <row r="982" spans="1:5" x14ac:dyDescent="0.3">
      <c r="A982">
        <v>981</v>
      </c>
      <c r="B982" s="1" t="s">
        <v>98</v>
      </c>
      <c r="C982" t="s">
        <v>151</v>
      </c>
      <c r="D982">
        <v>78</v>
      </c>
      <c r="E982" t="s">
        <v>154</v>
      </c>
    </row>
    <row r="983" spans="1:5" x14ac:dyDescent="0.3">
      <c r="A983">
        <v>982</v>
      </c>
      <c r="B983" s="1" t="s">
        <v>98</v>
      </c>
      <c r="C983" t="s">
        <v>151</v>
      </c>
      <c r="D983">
        <v>35</v>
      </c>
      <c r="E983" t="s">
        <v>154</v>
      </c>
    </row>
    <row r="984" spans="1:5" x14ac:dyDescent="0.3">
      <c r="A984">
        <v>983</v>
      </c>
      <c r="B984" s="1" t="s">
        <v>98</v>
      </c>
      <c r="C984" t="s">
        <v>150</v>
      </c>
      <c r="D984">
        <v>58</v>
      </c>
      <c r="E984" t="s">
        <v>154</v>
      </c>
    </row>
    <row r="985" spans="1:5" x14ac:dyDescent="0.3">
      <c r="A985">
        <v>984</v>
      </c>
      <c r="B985" s="1" t="s">
        <v>99</v>
      </c>
      <c r="C985" t="s">
        <v>151</v>
      </c>
      <c r="D985">
        <v>33</v>
      </c>
      <c r="E985" t="s">
        <v>154</v>
      </c>
    </row>
    <row r="986" spans="1:5" x14ac:dyDescent="0.3">
      <c r="A986">
        <v>985</v>
      </c>
      <c r="B986" s="1" t="s">
        <v>98</v>
      </c>
      <c r="C986" t="s">
        <v>150</v>
      </c>
      <c r="D986">
        <v>69</v>
      </c>
      <c r="E986" t="s">
        <v>154</v>
      </c>
    </row>
    <row r="987" spans="1:5" x14ac:dyDescent="0.3">
      <c r="A987">
        <v>986</v>
      </c>
      <c r="B987" s="1" t="s">
        <v>100</v>
      </c>
      <c r="C987" t="s">
        <v>151</v>
      </c>
      <c r="D987">
        <v>44</v>
      </c>
      <c r="E987" t="s">
        <v>154</v>
      </c>
    </row>
    <row r="988" spans="1:5" x14ac:dyDescent="0.3">
      <c r="A988">
        <v>987</v>
      </c>
      <c r="B988" s="1" t="s">
        <v>98</v>
      </c>
      <c r="C988" t="s">
        <v>151</v>
      </c>
      <c r="D988">
        <v>23</v>
      </c>
      <c r="E988" t="s">
        <v>154</v>
      </c>
    </row>
    <row r="989" spans="1:5" x14ac:dyDescent="0.3">
      <c r="A989">
        <v>988</v>
      </c>
      <c r="B989" s="1" t="s">
        <v>98</v>
      </c>
      <c r="C989" t="s">
        <v>150</v>
      </c>
      <c r="D989">
        <v>62</v>
      </c>
      <c r="E989" t="s">
        <v>154</v>
      </c>
    </row>
    <row r="990" spans="1:5" x14ac:dyDescent="0.3">
      <c r="A990">
        <v>989</v>
      </c>
      <c r="B990" s="1" t="s">
        <v>112</v>
      </c>
      <c r="C990" t="s">
        <v>151</v>
      </c>
      <c r="D990">
        <v>32</v>
      </c>
      <c r="E990" t="s">
        <v>154</v>
      </c>
    </row>
    <row r="991" spans="1:5" x14ac:dyDescent="0.3">
      <c r="A991">
        <v>990</v>
      </c>
      <c r="B991" s="1" t="s">
        <v>108</v>
      </c>
      <c r="C991" t="s">
        <v>150</v>
      </c>
      <c r="D991">
        <v>37</v>
      </c>
      <c r="E991" t="s">
        <v>154</v>
      </c>
    </row>
    <row r="992" spans="1:5" x14ac:dyDescent="0.3">
      <c r="A992">
        <v>991</v>
      </c>
      <c r="B992" s="1" t="s">
        <v>98</v>
      </c>
      <c r="C992" t="s">
        <v>151</v>
      </c>
      <c r="D992">
        <v>55</v>
      </c>
      <c r="E992" t="s">
        <v>154</v>
      </c>
    </row>
    <row r="993" spans="1:5" x14ac:dyDescent="0.3">
      <c r="A993">
        <v>992</v>
      </c>
      <c r="B993" s="1" t="s">
        <v>98</v>
      </c>
      <c r="C993" t="s">
        <v>150</v>
      </c>
      <c r="D993">
        <v>51</v>
      </c>
      <c r="E993" t="s">
        <v>154</v>
      </c>
    </row>
    <row r="994" spans="1:5" x14ac:dyDescent="0.3">
      <c r="A994">
        <v>993</v>
      </c>
      <c r="B994" s="1" t="s">
        <v>101</v>
      </c>
      <c r="C994" t="s">
        <v>151</v>
      </c>
      <c r="D994">
        <v>86</v>
      </c>
      <c r="E994" t="s">
        <v>154</v>
      </c>
    </row>
    <row r="995" spans="1:5" x14ac:dyDescent="0.3">
      <c r="A995">
        <v>994</v>
      </c>
      <c r="B995" s="1" t="s">
        <v>98</v>
      </c>
      <c r="C995" t="s">
        <v>150</v>
      </c>
      <c r="D995">
        <v>37</v>
      </c>
      <c r="E995" t="s">
        <v>154</v>
      </c>
    </row>
    <row r="996" spans="1:5" x14ac:dyDescent="0.3">
      <c r="A996">
        <v>995</v>
      </c>
      <c r="B996" s="1" t="s">
        <v>99</v>
      </c>
      <c r="C996" t="s">
        <v>151</v>
      </c>
      <c r="D996">
        <v>82</v>
      </c>
      <c r="E996" t="s">
        <v>154</v>
      </c>
    </row>
    <row r="997" spans="1:5" x14ac:dyDescent="0.3">
      <c r="A997">
        <v>996</v>
      </c>
      <c r="B997" s="1" t="s">
        <v>112</v>
      </c>
      <c r="C997" t="s">
        <v>151</v>
      </c>
      <c r="D997">
        <v>27</v>
      </c>
      <c r="E997" t="s">
        <v>154</v>
      </c>
    </row>
    <row r="998" spans="1:5" x14ac:dyDescent="0.3">
      <c r="A998">
        <v>997</v>
      </c>
      <c r="B998" s="1" t="s">
        <v>112</v>
      </c>
      <c r="C998" t="s">
        <v>151</v>
      </c>
      <c r="D998">
        <v>58</v>
      </c>
      <c r="E998" t="s">
        <v>154</v>
      </c>
    </row>
    <row r="999" spans="1:5" x14ac:dyDescent="0.3">
      <c r="A999">
        <v>998</v>
      </c>
      <c r="B999" s="1" t="s">
        <v>102</v>
      </c>
      <c r="C999" t="s">
        <v>151</v>
      </c>
      <c r="D999">
        <v>89</v>
      </c>
      <c r="E999" t="s">
        <v>154</v>
      </c>
    </row>
    <row r="1000" spans="1:5" x14ac:dyDescent="0.3">
      <c r="A1000">
        <v>999</v>
      </c>
      <c r="B1000" s="1" t="s">
        <v>98</v>
      </c>
      <c r="C1000" t="s">
        <v>150</v>
      </c>
      <c r="D1000">
        <v>74</v>
      </c>
      <c r="E1000" t="s">
        <v>154</v>
      </c>
    </row>
    <row r="1001" spans="1:5" x14ac:dyDescent="0.3">
      <c r="A1001">
        <v>1000</v>
      </c>
      <c r="B1001" s="1" t="s">
        <v>112</v>
      </c>
      <c r="C1001" t="s">
        <v>151</v>
      </c>
      <c r="D1001">
        <v>69</v>
      </c>
      <c r="E1001" t="s">
        <v>154</v>
      </c>
    </row>
    <row r="1002" spans="1:5" x14ac:dyDescent="0.3">
      <c r="A1002">
        <v>1001</v>
      </c>
      <c r="B1002" s="1" t="s">
        <v>98</v>
      </c>
      <c r="C1002" t="s">
        <v>151</v>
      </c>
      <c r="D1002">
        <v>41</v>
      </c>
      <c r="E1002" t="s">
        <v>155</v>
      </c>
    </row>
    <row r="1003" spans="1:5" x14ac:dyDescent="0.3">
      <c r="A1003">
        <v>1002</v>
      </c>
      <c r="B1003" s="1" t="s">
        <v>112</v>
      </c>
      <c r="C1003" t="s">
        <v>150</v>
      </c>
      <c r="D1003">
        <v>86</v>
      </c>
      <c r="E1003" t="s">
        <v>155</v>
      </c>
    </row>
    <row r="1004" spans="1:5" x14ac:dyDescent="0.3">
      <c r="A1004">
        <v>1003</v>
      </c>
      <c r="B1004" s="1" t="s">
        <v>98</v>
      </c>
      <c r="C1004" t="s">
        <v>151</v>
      </c>
      <c r="D1004">
        <v>64</v>
      </c>
      <c r="E1004" t="s">
        <v>155</v>
      </c>
    </row>
    <row r="1005" spans="1:5" x14ac:dyDescent="0.3">
      <c r="A1005">
        <v>1004</v>
      </c>
      <c r="B1005" s="1" t="s">
        <v>98</v>
      </c>
      <c r="C1005" t="s">
        <v>150</v>
      </c>
      <c r="D1005">
        <v>55</v>
      </c>
      <c r="E1005" t="s">
        <v>155</v>
      </c>
    </row>
    <row r="1006" spans="1:5" x14ac:dyDescent="0.3">
      <c r="A1006">
        <v>1005</v>
      </c>
      <c r="B1006" s="1" t="s">
        <v>99</v>
      </c>
      <c r="C1006" t="s">
        <v>150</v>
      </c>
      <c r="D1006">
        <v>60</v>
      </c>
      <c r="E1006" t="s">
        <v>155</v>
      </c>
    </row>
    <row r="1007" spans="1:5" x14ac:dyDescent="0.3">
      <c r="A1007">
        <v>1006</v>
      </c>
      <c r="B1007" s="1" t="s">
        <v>100</v>
      </c>
      <c r="C1007" t="s">
        <v>151</v>
      </c>
      <c r="D1007">
        <v>18</v>
      </c>
      <c r="E1007" t="s">
        <v>155</v>
      </c>
    </row>
    <row r="1008" spans="1:5" x14ac:dyDescent="0.3">
      <c r="A1008">
        <v>1007</v>
      </c>
      <c r="B1008" s="1" t="s">
        <v>98</v>
      </c>
      <c r="C1008" t="s">
        <v>151</v>
      </c>
      <c r="D1008">
        <v>62</v>
      </c>
      <c r="E1008" t="s">
        <v>155</v>
      </c>
    </row>
    <row r="1009" spans="1:5" x14ac:dyDescent="0.3">
      <c r="A1009">
        <v>1008</v>
      </c>
      <c r="B1009" s="1" t="s">
        <v>105</v>
      </c>
      <c r="C1009" t="s">
        <v>151</v>
      </c>
      <c r="D1009">
        <v>27</v>
      </c>
      <c r="E1009" t="s">
        <v>155</v>
      </c>
    </row>
    <row r="1010" spans="1:5" x14ac:dyDescent="0.3">
      <c r="A1010">
        <v>1009</v>
      </c>
      <c r="B1010" s="1" t="s">
        <v>98</v>
      </c>
      <c r="C1010" t="s">
        <v>151</v>
      </c>
      <c r="D1010">
        <v>44</v>
      </c>
      <c r="E1010" t="s">
        <v>155</v>
      </c>
    </row>
    <row r="1011" spans="1:5" x14ac:dyDescent="0.3">
      <c r="A1011">
        <v>1010</v>
      </c>
      <c r="B1011" s="1" t="s">
        <v>104</v>
      </c>
      <c r="C1011" t="s">
        <v>151</v>
      </c>
      <c r="D1011">
        <v>28</v>
      </c>
      <c r="E1011" t="s">
        <v>155</v>
      </c>
    </row>
    <row r="1012" spans="1:5" x14ac:dyDescent="0.3">
      <c r="A1012">
        <v>1011</v>
      </c>
      <c r="B1012" s="1" t="s">
        <v>99</v>
      </c>
      <c r="C1012" t="s">
        <v>150</v>
      </c>
      <c r="D1012">
        <v>20</v>
      </c>
      <c r="E1012" t="s">
        <v>155</v>
      </c>
    </row>
    <row r="1013" spans="1:5" x14ac:dyDescent="0.3">
      <c r="A1013">
        <v>1012</v>
      </c>
      <c r="B1013" s="1" t="s">
        <v>104</v>
      </c>
      <c r="C1013" t="s">
        <v>150</v>
      </c>
      <c r="D1013">
        <v>42</v>
      </c>
      <c r="E1013" t="s">
        <v>155</v>
      </c>
    </row>
    <row r="1014" spans="1:5" x14ac:dyDescent="0.3">
      <c r="A1014">
        <v>1013</v>
      </c>
      <c r="B1014" s="1" t="s">
        <v>112</v>
      </c>
      <c r="C1014" t="s">
        <v>151</v>
      </c>
      <c r="D1014">
        <v>54</v>
      </c>
      <c r="E1014" t="s">
        <v>155</v>
      </c>
    </row>
    <row r="1015" spans="1:5" x14ac:dyDescent="0.3">
      <c r="A1015">
        <v>1014</v>
      </c>
      <c r="B1015" s="1" t="s">
        <v>112</v>
      </c>
      <c r="C1015" t="s">
        <v>151</v>
      </c>
      <c r="D1015">
        <v>69</v>
      </c>
      <c r="E1015" t="s">
        <v>155</v>
      </c>
    </row>
    <row r="1016" spans="1:5" x14ac:dyDescent="0.3">
      <c r="A1016">
        <v>1015</v>
      </c>
      <c r="B1016" s="1" t="s">
        <v>106</v>
      </c>
      <c r="C1016" t="s">
        <v>151</v>
      </c>
      <c r="D1016">
        <v>50</v>
      </c>
      <c r="E1016" t="s">
        <v>155</v>
      </c>
    </row>
    <row r="1017" spans="1:5" x14ac:dyDescent="0.3">
      <c r="A1017">
        <v>1016</v>
      </c>
      <c r="B1017" s="1" t="s">
        <v>112</v>
      </c>
      <c r="C1017" t="s">
        <v>151</v>
      </c>
      <c r="D1017">
        <v>23</v>
      </c>
      <c r="E1017" t="s">
        <v>155</v>
      </c>
    </row>
    <row r="1018" spans="1:5" x14ac:dyDescent="0.3">
      <c r="A1018">
        <v>1017</v>
      </c>
      <c r="B1018" s="1" t="s">
        <v>112</v>
      </c>
      <c r="C1018" t="s">
        <v>150</v>
      </c>
      <c r="D1018">
        <v>38</v>
      </c>
      <c r="E1018" t="s">
        <v>155</v>
      </c>
    </row>
    <row r="1019" spans="1:5" x14ac:dyDescent="0.3">
      <c r="A1019">
        <v>1018</v>
      </c>
      <c r="B1019" s="1" t="s">
        <v>99</v>
      </c>
      <c r="C1019" t="s">
        <v>151</v>
      </c>
      <c r="D1019">
        <v>52</v>
      </c>
      <c r="E1019" t="s">
        <v>155</v>
      </c>
    </row>
    <row r="1020" spans="1:5" x14ac:dyDescent="0.3">
      <c r="A1020">
        <v>1019</v>
      </c>
      <c r="B1020" s="1" t="s">
        <v>106</v>
      </c>
      <c r="C1020" t="s">
        <v>151</v>
      </c>
      <c r="D1020">
        <v>64</v>
      </c>
      <c r="E1020" t="s">
        <v>155</v>
      </c>
    </row>
    <row r="1021" spans="1:5" x14ac:dyDescent="0.3">
      <c r="A1021">
        <v>1020</v>
      </c>
      <c r="B1021" s="1" t="s">
        <v>100</v>
      </c>
      <c r="C1021" t="s">
        <v>151</v>
      </c>
      <c r="D1021">
        <v>86</v>
      </c>
      <c r="E1021" t="s">
        <v>155</v>
      </c>
    </row>
    <row r="1022" spans="1:5" x14ac:dyDescent="0.3">
      <c r="A1022">
        <v>1021</v>
      </c>
      <c r="B1022" s="1" t="s">
        <v>105</v>
      </c>
      <c r="C1022" t="s">
        <v>150</v>
      </c>
      <c r="D1022">
        <v>49</v>
      </c>
      <c r="E1022" t="s">
        <v>155</v>
      </c>
    </row>
    <row r="1023" spans="1:5" x14ac:dyDescent="0.3">
      <c r="A1023">
        <v>1022</v>
      </c>
      <c r="B1023" s="1" t="s">
        <v>112</v>
      </c>
      <c r="C1023" t="s">
        <v>151</v>
      </c>
      <c r="D1023">
        <v>60</v>
      </c>
      <c r="E1023" t="s">
        <v>155</v>
      </c>
    </row>
    <row r="1024" spans="1:5" x14ac:dyDescent="0.3">
      <c r="A1024">
        <v>1023</v>
      </c>
      <c r="B1024" s="1" t="s">
        <v>108</v>
      </c>
      <c r="C1024" t="s">
        <v>150</v>
      </c>
      <c r="D1024">
        <v>52</v>
      </c>
      <c r="E1024" t="s">
        <v>155</v>
      </c>
    </row>
    <row r="1025" spans="1:5" x14ac:dyDescent="0.3">
      <c r="A1025">
        <v>1024</v>
      </c>
      <c r="B1025" s="1" t="s">
        <v>104</v>
      </c>
      <c r="C1025" t="s">
        <v>151</v>
      </c>
      <c r="D1025">
        <v>80</v>
      </c>
      <c r="E1025" t="s">
        <v>155</v>
      </c>
    </row>
    <row r="1026" spans="1:5" x14ac:dyDescent="0.3">
      <c r="A1026">
        <v>1025</v>
      </c>
      <c r="B1026" s="1" t="s">
        <v>100</v>
      </c>
      <c r="C1026" t="s">
        <v>150</v>
      </c>
      <c r="D1026">
        <v>48</v>
      </c>
      <c r="E1026" t="s">
        <v>155</v>
      </c>
    </row>
    <row r="1027" spans="1:5" x14ac:dyDescent="0.3">
      <c r="A1027">
        <v>1026</v>
      </c>
      <c r="B1027" s="1" t="s">
        <v>107</v>
      </c>
      <c r="C1027" t="s">
        <v>151</v>
      </c>
      <c r="D1027">
        <v>62</v>
      </c>
      <c r="E1027" t="s">
        <v>155</v>
      </c>
    </row>
    <row r="1028" spans="1:5" x14ac:dyDescent="0.3">
      <c r="A1028">
        <v>1027</v>
      </c>
      <c r="B1028" s="1" t="s">
        <v>104</v>
      </c>
      <c r="C1028" t="s">
        <v>150</v>
      </c>
      <c r="D1028">
        <v>45</v>
      </c>
      <c r="E1028" t="s">
        <v>155</v>
      </c>
    </row>
    <row r="1029" spans="1:5" x14ac:dyDescent="0.3">
      <c r="A1029">
        <v>1028</v>
      </c>
      <c r="B1029" s="1" t="s">
        <v>112</v>
      </c>
      <c r="C1029" t="s">
        <v>151</v>
      </c>
      <c r="D1029">
        <v>82</v>
      </c>
      <c r="E1029" t="s">
        <v>155</v>
      </c>
    </row>
    <row r="1030" spans="1:5" x14ac:dyDescent="0.3">
      <c r="A1030">
        <v>1029</v>
      </c>
      <c r="B1030" s="1" t="s">
        <v>104</v>
      </c>
      <c r="C1030" t="s">
        <v>151</v>
      </c>
      <c r="D1030">
        <v>45</v>
      </c>
      <c r="E1030" t="s">
        <v>155</v>
      </c>
    </row>
    <row r="1031" spans="1:5" x14ac:dyDescent="0.3">
      <c r="A1031">
        <v>1030</v>
      </c>
      <c r="B1031" s="1" t="s">
        <v>112</v>
      </c>
      <c r="C1031" t="s">
        <v>151</v>
      </c>
      <c r="D1031">
        <v>68</v>
      </c>
      <c r="E1031" t="s">
        <v>155</v>
      </c>
    </row>
    <row r="1032" spans="1:5" x14ac:dyDescent="0.3">
      <c r="A1032">
        <v>1031</v>
      </c>
      <c r="B1032" s="1" t="s">
        <v>100</v>
      </c>
      <c r="C1032" t="s">
        <v>150</v>
      </c>
      <c r="D1032">
        <v>40</v>
      </c>
      <c r="E1032" t="s">
        <v>155</v>
      </c>
    </row>
    <row r="1033" spans="1:5" x14ac:dyDescent="0.3">
      <c r="A1033">
        <v>1032</v>
      </c>
      <c r="B1033" s="1" t="s">
        <v>99</v>
      </c>
      <c r="C1033" t="s">
        <v>150</v>
      </c>
      <c r="D1033">
        <v>21</v>
      </c>
      <c r="E1033" t="s">
        <v>155</v>
      </c>
    </row>
    <row r="1034" spans="1:5" x14ac:dyDescent="0.3">
      <c r="A1034">
        <v>1033</v>
      </c>
      <c r="B1034" s="1" t="s">
        <v>112</v>
      </c>
      <c r="C1034" t="s">
        <v>151</v>
      </c>
      <c r="D1034">
        <v>56</v>
      </c>
      <c r="E1034" t="s">
        <v>155</v>
      </c>
    </row>
    <row r="1035" spans="1:5" x14ac:dyDescent="0.3">
      <c r="A1035">
        <v>1034</v>
      </c>
      <c r="B1035" s="1" t="s">
        <v>106</v>
      </c>
      <c r="C1035" t="s">
        <v>151</v>
      </c>
      <c r="D1035">
        <v>31</v>
      </c>
      <c r="E1035" t="s">
        <v>155</v>
      </c>
    </row>
    <row r="1036" spans="1:5" x14ac:dyDescent="0.3">
      <c r="A1036">
        <v>1035</v>
      </c>
      <c r="B1036" s="1" t="s">
        <v>112</v>
      </c>
      <c r="C1036" t="s">
        <v>150</v>
      </c>
      <c r="D1036">
        <v>56</v>
      </c>
      <c r="E1036" t="s">
        <v>155</v>
      </c>
    </row>
    <row r="1037" spans="1:5" x14ac:dyDescent="0.3">
      <c r="A1037">
        <v>1036</v>
      </c>
      <c r="B1037" s="1" t="s">
        <v>112</v>
      </c>
      <c r="C1037" t="s">
        <v>151</v>
      </c>
      <c r="D1037">
        <v>29</v>
      </c>
      <c r="E1037" t="s">
        <v>155</v>
      </c>
    </row>
    <row r="1038" spans="1:5" x14ac:dyDescent="0.3">
      <c r="A1038">
        <v>1037</v>
      </c>
      <c r="B1038" s="1" t="s">
        <v>112</v>
      </c>
      <c r="C1038" t="s">
        <v>151</v>
      </c>
      <c r="D1038">
        <v>21</v>
      </c>
      <c r="E1038" t="s">
        <v>155</v>
      </c>
    </row>
    <row r="1039" spans="1:5" x14ac:dyDescent="0.3">
      <c r="A1039">
        <v>1038</v>
      </c>
      <c r="B1039" s="1" t="s">
        <v>99</v>
      </c>
      <c r="C1039" t="s">
        <v>150</v>
      </c>
      <c r="D1039">
        <v>32</v>
      </c>
      <c r="E1039" t="s">
        <v>155</v>
      </c>
    </row>
    <row r="1040" spans="1:5" x14ac:dyDescent="0.3">
      <c r="A1040">
        <v>1039</v>
      </c>
      <c r="B1040" s="1" t="s">
        <v>104</v>
      </c>
      <c r="C1040" t="s">
        <v>151</v>
      </c>
      <c r="D1040">
        <v>66</v>
      </c>
      <c r="E1040" t="s">
        <v>155</v>
      </c>
    </row>
    <row r="1041" spans="1:5" x14ac:dyDescent="0.3">
      <c r="A1041">
        <v>1040</v>
      </c>
      <c r="B1041" s="1" t="s">
        <v>112</v>
      </c>
      <c r="C1041" t="s">
        <v>151</v>
      </c>
      <c r="D1041">
        <v>63</v>
      </c>
      <c r="E1041" t="s">
        <v>155</v>
      </c>
    </row>
    <row r="1042" spans="1:5" x14ac:dyDescent="0.3">
      <c r="A1042">
        <v>1041</v>
      </c>
      <c r="B1042" s="1" t="s">
        <v>106</v>
      </c>
      <c r="C1042" t="s">
        <v>150</v>
      </c>
      <c r="D1042">
        <v>30</v>
      </c>
      <c r="E1042" t="s">
        <v>155</v>
      </c>
    </row>
    <row r="1043" spans="1:5" x14ac:dyDescent="0.3">
      <c r="A1043">
        <v>1042</v>
      </c>
      <c r="B1043" s="1" t="s">
        <v>99</v>
      </c>
      <c r="C1043" t="s">
        <v>150</v>
      </c>
      <c r="D1043">
        <v>57</v>
      </c>
      <c r="E1043" t="s">
        <v>155</v>
      </c>
    </row>
    <row r="1044" spans="1:5" x14ac:dyDescent="0.3">
      <c r="A1044">
        <v>1043</v>
      </c>
      <c r="B1044" s="1" t="s">
        <v>112</v>
      </c>
      <c r="C1044" t="s">
        <v>151</v>
      </c>
      <c r="D1044">
        <v>42</v>
      </c>
      <c r="E1044" t="s">
        <v>155</v>
      </c>
    </row>
    <row r="1045" spans="1:5" x14ac:dyDescent="0.3">
      <c r="A1045">
        <v>1044</v>
      </c>
      <c r="B1045" s="1" t="s">
        <v>112</v>
      </c>
      <c r="C1045" t="s">
        <v>150</v>
      </c>
      <c r="D1045">
        <v>26</v>
      </c>
      <c r="E1045" t="s">
        <v>155</v>
      </c>
    </row>
    <row r="1046" spans="1:5" x14ac:dyDescent="0.3">
      <c r="A1046">
        <v>1045</v>
      </c>
      <c r="B1046" s="1" t="s">
        <v>104</v>
      </c>
      <c r="C1046" t="s">
        <v>151</v>
      </c>
      <c r="D1046">
        <v>19</v>
      </c>
      <c r="E1046" t="s">
        <v>155</v>
      </c>
    </row>
    <row r="1047" spans="1:5" x14ac:dyDescent="0.3">
      <c r="A1047">
        <v>1046</v>
      </c>
      <c r="B1047" s="1" t="s">
        <v>112</v>
      </c>
      <c r="C1047" t="s">
        <v>150</v>
      </c>
      <c r="D1047">
        <v>52</v>
      </c>
      <c r="E1047" t="s">
        <v>155</v>
      </c>
    </row>
    <row r="1048" spans="1:5" x14ac:dyDescent="0.3">
      <c r="A1048">
        <v>1047</v>
      </c>
      <c r="B1048" s="1" t="s">
        <v>106</v>
      </c>
      <c r="C1048" t="s">
        <v>151</v>
      </c>
      <c r="D1048">
        <v>20</v>
      </c>
      <c r="E1048" t="s">
        <v>155</v>
      </c>
    </row>
    <row r="1049" spans="1:5" x14ac:dyDescent="0.3">
      <c r="A1049">
        <v>1048</v>
      </c>
      <c r="B1049" s="1" t="s">
        <v>112</v>
      </c>
      <c r="C1049" t="s">
        <v>151</v>
      </c>
      <c r="D1049">
        <v>26</v>
      </c>
      <c r="E1049" t="s">
        <v>155</v>
      </c>
    </row>
    <row r="1050" spans="1:5" x14ac:dyDescent="0.3">
      <c r="A1050">
        <v>1049</v>
      </c>
      <c r="B1050" s="1" t="s">
        <v>104</v>
      </c>
      <c r="C1050" t="s">
        <v>150</v>
      </c>
      <c r="D1050">
        <v>83</v>
      </c>
      <c r="E1050" t="s">
        <v>155</v>
      </c>
    </row>
    <row r="1051" spans="1:5" x14ac:dyDescent="0.3">
      <c r="A1051">
        <v>1050</v>
      </c>
      <c r="B1051" s="1" t="s">
        <v>99</v>
      </c>
      <c r="C1051" t="s">
        <v>151</v>
      </c>
      <c r="D1051">
        <v>31</v>
      </c>
      <c r="E1051" t="s">
        <v>155</v>
      </c>
    </row>
    <row r="1052" spans="1:5" x14ac:dyDescent="0.3">
      <c r="A1052">
        <v>1051</v>
      </c>
      <c r="B1052" s="1" t="s">
        <v>104</v>
      </c>
      <c r="C1052" t="s">
        <v>150</v>
      </c>
      <c r="D1052">
        <v>36</v>
      </c>
      <c r="E1052" t="s">
        <v>155</v>
      </c>
    </row>
    <row r="1053" spans="1:5" x14ac:dyDescent="0.3">
      <c r="A1053">
        <v>1052</v>
      </c>
      <c r="B1053" s="1" t="s">
        <v>108</v>
      </c>
      <c r="C1053" t="s">
        <v>150</v>
      </c>
      <c r="D1053">
        <v>66</v>
      </c>
      <c r="E1053" t="s">
        <v>155</v>
      </c>
    </row>
    <row r="1054" spans="1:5" x14ac:dyDescent="0.3">
      <c r="A1054">
        <v>1053</v>
      </c>
      <c r="B1054" s="1" t="s">
        <v>112</v>
      </c>
      <c r="C1054" t="s">
        <v>151</v>
      </c>
      <c r="D1054">
        <v>67</v>
      </c>
      <c r="E1054" t="s">
        <v>155</v>
      </c>
    </row>
    <row r="1055" spans="1:5" x14ac:dyDescent="0.3">
      <c r="A1055">
        <v>1054</v>
      </c>
      <c r="B1055" s="1" t="s">
        <v>112</v>
      </c>
      <c r="C1055" t="s">
        <v>150</v>
      </c>
      <c r="D1055">
        <v>86</v>
      </c>
      <c r="E1055" t="s">
        <v>155</v>
      </c>
    </row>
    <row r="1056" spans="1:5" x14ac:dyDescent="0.3">
      <c r="A1056">
        <v>1055</v>
      </c>
      <c r="B1056" s="1" t="s">
        <v>112</v>
      </c>
      <c r="C1056" t="s">
        <v>150</v>
      </c>
      <c r="D1056">
        <v>21</v>
      </c>
      <c r="E1056" t="s">
        <v>155</v>
      </c>
    </row>
    <row r="1057" spans="1:5" x14ac:dyDescent="0.3">
      <c r="A1057">
        <v>1056</v>
      </c>
      <c r="B1057" s="1" t="s">
        <v>104</v>
      </c>
      <c r="C1057" t="s">
        <v>150</v>
      </c>
      <c r="D1057">
        <v>83</v>
      </c>
      <c r="E1057" t="s">
        <v>155</v>
      </c>
    </row>
    <row r="1058" spans="1:5" x14ac:dyDescent="0.3">
      <c r="A1058">
        <v>1057</v>
      </c>
      <c r="B1058" s="1" t="s">
        <v>104</v>
      </c>
      <c r="C1058" t="s">
        <v>150</v>
      </c>
      <c r="D1058">
        <v>71</v>
      </c>
      <c r="E1058" t="s">
        <v>155</v>
      </c>
    </row>
    <row r="1059" spans="1:5" x14ac:dyDescent="0.3">
      <c r="A1059">
        <v>1058</v>
      </c>
      <c r="B1059" s="1" t="s">
        <v>112</v>
      </c>
      <c r="C1059" t="s">
        <v>151</v>
      </c>
      <c r="D1059">
        <v>74</v>
      </c>
      <c r="E1059" t="s">
        <v>155</v>
      </c>
    </row>
    <row r="1060" spans="1:5" x14ac:dyDescent="0.3">
      <c r="A1060">
        <v>1059</v>
      </c>
      <c r="B1060" s="1" t="s">
        <v>112</v>
      </c>
      <c r="C1060" t="s">
        <v>151</v>
      </c>
      <c r="D1060">
        <v>75</v>
      </c>
      <c r="E1060" t="s">
        <v>155</v>
      </c>
    </row>
    <row r="1061" spans="1:5" x14ac:dyDescent="0.3">
      <c r="A1061">
        <v>1060</v>
      </c>
      <c r="B1061" s="1" t="s">
        <v>112</v>
      </c>
      <c r="C1061" t="s">
        <v>151</v>
      </c>
      <c r="D1061">
        <v>62</v>
      </c>
      <c r="E1061" t="s">
        <v>155</v>
      </c>
    </row>
    <row r="1062" spans="1:5" x14ac:dyDescent="0.3">
      <c r="A1062">
        <v>1061</v>
      </c>
      <c r="B1062" s="1" t="s">
        <v>101</v>
      </c>
      <c r="C1062" t="s">
        <v>151</v>
      </c>
      <c r="D1062">
        <v>61</v>
      </c>
      <c r="E1062" t="s">
        <v>155</v>
      </c>
    </row>
    <row r="1063" spans="1:5" x14ac:dyDescent="0.3">
      <c r="A1063">
        <v>1062</v>
      </c>
      <c r="B1063" s="1" t="s">
        <v>112</v>
      </c>
      <c r="C1063" t="s">
        <v>151</v>
      </c>
      <c r="D1063">
        <v>68</v>
      </c>
      <c r="E1063" t="s">
        <v>155</v>
      </c>
    </row>
    <row r="1064" spans="1:5" x14ac:dyDescent="0.3">
      <c r="A1064">
        <v>1063</v>
      </c>
      <c r="B1064" s="1" t="s">
        <v>112</v>
      </c>
      <c r="C1064" t="s">
        <v>151</v>
      </c>
      <c r="D1064">
        <v>82</v>
      </c>
      <c r="E1064" t="s">
        <v>155</v>
      </c>
    </row>
    <row r="1065" spans="1:5" x14ac:dyDescent="0.3">
      <c r="A1065">
        <v>1064</v>
      </c>
      <c r="B1065" s="1" t="s">
        <v>103</v>
      </c>
      <c r="C1065" t="s">
        <v>150</v>
      </c>
      <c r="D1065">
        <v>75</v>
      </c>
      <c r="E1065" t="s">
        <v>155</v>
      </c>
    </row>
    <row r="1066" spans="1:5" x14ac:dyDescent="0.3">
      <c r="A1066">
        <v>1065</v>
      </c>
      <c r="B1066" s="1" t="s">
        <v>102</v>
      </c>
      <c r="C1066" t="s">
        <v>151</v>
      </c>
      <c r="D1066">
        <v>25</v>
      </c>
      <c r="E1066" t="s">
        <v>155</v>
      </c>
    </row>
    <row r="1067" spans="1:5" x14ac:dyDescent="0.3">
      <c r="A1067">
        <v>1066</v>
      </c>
      <c r="B1067" s="1" t="s">
        <v>112</v>
      </c>
      <c r="C1067" t="s">
        <v>150</v>
      </c>
      <c r="D1067">
        <v>70</v>
      </c>
      <c r="E1067" t="s">
        <v>155</v>
      </c>
    </row>
    <row r="1068" spans="1:5" x14ac:dyDescent="0.3">
      <c r="A1068">
        <v>1067</v>
      </c>
      <c r="B1068" s="1" t="s">
        <v>112</v>
      </c>
      <c r="C1068" t="s">
        <v>151</v>
      </c>
      <c r="D1068">
        <v>60</v>
      </c>
      <c r="E1068" t="s">
        <v>155</v>
      </c>
    </row>
    <row r="1069" spans="1:5" x14ac:dyDescent="0.3">
      <c r="A1069">
        <v>1068</v>
      </c>
      <c r="B1069" s="1" t="s">
        <v>104</v>
      </c>
      <c r="C1069" t="s">
        <v>150</v>
      </c>
      <c r="D1069">
        <v>56</v>
      </c>
      <c r="E1069" t="s">
        <v>155</v>
      </c>
    </row>
    <row r="1070" spans="1:5" x14ac:dyDescent="0.3">
      <c r="A1070">
        <v>1069</v>
      </c>
      <c r="B1070" s="1" t="s">
        <v>100</v>
      </c>
      <c r="C1070" t="s">
        <v>150</v>
      </c>
      <c r="D1070">
        <v>80</v>
      </c>
      <c r="E1070" t="s">
        <v>155</v>
      </c>
    </row>
    <row r="1071" spans="1:5" x14ac:dyDescent="0.3">
      <c r="A1071">
        <v>1070</v>
      </c>
      <c r="B1071" s="1" t="s">
        <v>105</v>
      </c>
      <c r="C1071" t="s">
        <v>151</v>
      </c>
      <c r="D1071">
        <v>60</v>
      </c>
      <c r="E1071" t="s">
        <v>155</v>
      </c>
    </row>
    <row r="1072" spans="1:5" x14ac:dyDescent="0.3">
      <c r="A1072">
        <v>1071</v>
      </c>
      <c r="B1072" s="1" t="s">
        <v>112</v>
      </c>
      <c r="C1072" t="s">
        <v>151</v>
      </c>
      <c r="D1072">
        <v>32</v>
      </c>
      <c r="E1072" t="s">
        <v>155</v>
      </c>
    </row>
    <row r="1073" spans="1:5" x14ac:dyDescent="0.3">
      <c r="A1073">
        <v>1072</v>
      </c>
      <c r="B1073" s="1" t="s">
        <v>112</v>
      </c>
      <c r="C1073" t="s">
        <v>151</v>
      </c>
      <c r="D1073">
        <v>78</v>
      </c>
      <c r="E1073" t="s">
        <v>155</v>
      </c>
    </row>
    <row r="1074" spans="1:5" x14ac:dyDescent="0.3">
      <c r="A1074">
        <v>1073</v>
      </c>
      <c r="B1074" s="1" t="s">
        <v>104</v>
      </c>
      <c r="C1074" t="s">
        <v>151</v>
      </c>
      <c r="D1074">
        <v>60</v>
      </c>
      <c r="E1074" t="s">
        <v>155</v>
      </c>
    </row>
    <row r="1075" spans="1:5" x14ac:dyDescent="0.3">
      <c r="A1075">
        <v>1074</v>
      </c>
      <c r="B1075" s="1" t="s">
        <v>104</v>
      </c>
      <c r="C1075" t="s">
        <v>151</v>
      </c>
      <c r="D1075">
        <v>48</v>
      </c>
      <c r="E1075" t="s">
        <v>155</v>
      </c>
    </row>
    <row r="1076" spans="1:5" x14ac:dyDescent="0.3">
      <c r="A1076">
        <v>1075</v>
      </c>
      <c r="B1076" s="1" t="s">
        <v>107</v>
      </c>
      <c r="C1076" t="s">
        <v>150</v>
      </c>
      <c r="D1076">
        <v>55</v>
      </c>
      <c r="E1076" t="s">
        <v>155</v>
      </c>
    </row>
    <row r="1077" spans="1:5" x14ac:dyDescent="0.3">
      <c r="A1077">
        <v>1076</v>
      </c>
      <c r="B1077" s="1" t="s">
        <v>112</v>
      </c>
      <c r="C1077" t="s">
        <v>151</v>
      </c>
      <c r="D1077">
        <v>18</v>
      </c>
      <c r="E1077" t="s">
        <v>155</v>
      </c>
    </row>
    <row r="1078" spans="1:5" x14ac:dyDescent="0.3">
      <c r="A1078">
        <v>1077</v>
      </c>
      <c r="B1078" s="1" t="s">
        <v>112</v>
      </c>
      <c r="C1078" t="s">
        <v>150</v>
      </c>
      <c r="D1078">
        <v>24</v>
      </c>
      <c r="E1078" t="s">
        <v>155</v>
      </c>
    </row>
    <row r="1079" spans="1:5" x14ac:dyDescent="0.3">
      <c r="A1079">
        <v>1078</v>
      </c>
      <c r="B1079" s="1" t="s">
        <v>100</v>
      </c>
      <c r="C1079" t="s">
        <v>151</v>
      </c>
      <c r="D1079">
        <v>55</v>
      </c>
      <c r="E1079" t="s">
        <v>155</v>
      </c>
    </row>
    <row r="1080" spans="1:5" x14ac:dyDescent="0.3">
      <c r="A1080">
        <v>1079</v>
      </c>
      <c r="B1080" s="1" t="s">
        <v>112</v>
      </c>
      <c r="C1080" t="s">
        <v>151</v>
      </c>
      <c r="D1080">
        <v>29</v>
      </c>
      <c r="E1080" t="s">
        <v>155</v>
      </c>
    </row>
    <row r="1081" spans="1:5" x14ac:dyDescent="0.3">
      <c r="A1081">
        <v>1080</v>
      </c>
      <c r="B1081" s="1" t="s">
        <v>112</v>
      </c>
      <c r="C1081" t="s">
        <v>150</v>
      </c>
      <c r="D1081">
        <v>78</v>
      </c>
      <c r="E1081" t="s">
        <v>155</v>
      </c>
    </row>
    <row r="1082" spans="1:5" x14ac:dyDescent="0.3">
      <c r="A1082">
        <v>1081</v>
      </c>
      <c r="B1082" s="1" t="s">
        <v>106</v>
      </c>
      <c r="C1082" t="s">
        <v>151</v>
      </c>
      <c r="D1082">
        <v>77</v>
      </c>
      <c r="E1082" t="s">
        <v>155</v>
      </c>
    </row>
    <row r="1083" spans="1:5" x14ac:dyDescent="0.3">
      <c r="A1083">
        <v>1082</v>
      </c>
      <c r="B1083" s="1" t="s">
        <v>112</v>
      </c>
      <c r="C1083" t="s">
        <v>150</v>
      </c>
      <c r="D1083">
        <v>70</v>
      </c>
      <c r="E1083" t="s">
        <v>155</v>
      </c>
    </row>
    <row r="1084" spans="1:5" x14ac:dyDescent="0.3">
      <c r="A1084">
        <v>1083</v>
      </c>
      <c r="B1084" s="1" t="s">
        <v>104</v>
      </c>
      <c r="C1084" t="s">
        <v>151</v>
      </c>
      <c r="D1084">
        <v>25</v>
      </c>
      <c r="E1084" t="s">
        <v>155</v>
      </c>
    </row>
    <row r="1085" spans="1:5" x14ac:dyDescent="0.3">
      <c r="A1085">
        <v>1084</v>
      </c>
      <c r="B1085" s="1" t="s">
        <v>112</v>
      </c>
      <c r="C1085" t="s">
        <v>150</v>
      </c>
      <c r="D1085">
        <v>75</v>
      </c>
      <c r="E1085" t="s">
        <v>155</v>
      </c>
    </row>
    <row r="1086" spans="1:5" x14ac:dyDescent="0.3">
      <c r="A1086">
        <v>1085</v>
      </c>
      <c r="B1086" s="1" t="s">
        <v>104</v>
      </c>
      <c r="C1086" t="s">
        <v>150</v>
      </c>
      <c r="D1086">
        <v>78</v>
      </c>
      <c r="E1086" t="s">
        <v>155</v>
      </c>
    </row>
    <row r="1087" spans="1:5" x14ac:dyDescent="0.3">
      <c r="A1087">
        <v>1086</v>
      </c>
      <c r="B1087" s="1" t="s">
        <v>99</v>
      </c>
      <c r="C1087" t="s">
        <v>150</v>
      </c>
      <c r="D1087">
        <v>63</v>
      </c>
      <c r="E1087" t="s">
        <v>155</v>
      </c>
    </row>
    <row r="1088" spans="1:5" x14ac:dyDescent="0.3">
      <c r="A1088">
        <v>1087</v>
      </c>
      <c r="B1088" s="1" t="s">
        <v>112</v>
      </c>
      <c r="C1088" t="s">
        <v>151</v>
      </c>
      <c r="D1088">
        <v>32</v>
      </c>
      <c r="E1088" t="s">
        <v>155</v>
      </c>
    </row>
    <row r="1089" spans="1:5" x14ac:dyDescent="0.3">
      <c r="A1089">
        <v>1088</v>
      </c>
      <c r="B1089" s="1" t="s">
        <v>112</v>
      </c>
      <c r="C1089" t="s">
        <v>151</v>
      </c>
      <c r="D1089">
        <v>72</v>
      </c>
      <c r="E1089" t="s">
        <v>155</v>
      </c>
    </row>
    <row r="1090" spans="1:5" x14ac:dyDescent="0.3">
      <c r="A1090">
        <v>1089</v>
      </c>
      <c r="B1090" s="1" t="s">
        <v>99</v>
      </c>
      <c r="C1090" t="s">
        <v>150</v>
      </c>
      <c r="D1090">
        <v>28</v>
      </c>
      <c r="E1090" t="s">
        <v>155</v>
      </c>
    </row>
    <row r="1091" spans="1:5" x14ac:dyDescent="0.3">
      <c r="A1091">
        <v>1090</v>
      </c>
      <c r="B1091" s="1" t="s">
        <v>99</v>
      </c>
      <c r="C1091" t="s">
        <v>151</v>
      </c>
      <c r="D1091">
        <v>19</v>
      </c>
      <c r="E1091" t="s">
        <v>155</v>
      </c>
    </row>
    <row r="1092" spans="1:5" x14ac:dyDescent="0.3">
      <c r="A1092">
        <v>1091</v>
      </c>
      <c r="B1092" s="1" t="s">
        <v>99</v>
      </c>
      <c r="C1092" t="s">
        <v>151</v>
      </c>
      <c r="D1092">
        <v>26</v>
      </c>
      <c r="E1092" t="s">
        <v>155</v>
      </c>
    </row>
    <row r="1093" spans="1:5" x14ac:dyDescent="0.3">
      <c r="A1093">
        <v>1092</v>
      </c>
      <c r="B1093" s="1" t="s">
        <v>112</v>
      </c>
      <c r="C1093" t="s">
        <v>150</v>
      </c>
      <c r="D1093">
        <v>35</v>
      </c>
      <c r="E1093" t="s">
        <v>155</v>
      </c>
    </row>
    <row r="1094" spans="1:5" x14ac:dyDescent="0.3">
      <c r="A1094">
        <v>1093</v>
      </c>
      <c r="B1094" s="1" t="s">
        <v>112</v>
      </c>
      <c r="C1094" t="s">
        <v>151</v>
      </c>
      <c r="D1094">
        <v>34</v>
      </c>
      <c r="E1094" t="s">
        <v>155</v>
      </c>
    </row>
    <row r="1095" spans="1:5" x14ac:dyDescent="0.3">
      <c r="A1095">
        <v>1094</v>
      </c>
      <c r="B1095" s="1" t="s">
        <v>112</v>
      </c>
      <c r="C1095" t="s">
        <v>150</v>
      </c>
      <c r="D1095">
        <v>66</v>
      </c>
      <c r="E1095" t="s">
        <v>155</v>
      </c>
    </row>
    <row r="1096" spans="1:5" x14ac:dyDescent="0.3">
      <c r="A1096">
        <v>1095</v>
      </c>
      <c r="B1096" s="1" t="s">
        <v>112</v>
      </c>
      <c r="C1096" t="s">
        <v>150</v>
      </c>
      <c r="D1096">
        <v>58</v>
      </c>
      <c r="E1096" t="s">
        <v>155</v>
      </c>
    </row>
    <row r="1097" spans="1:5" x14ac:dyDescent="0.3">
      <c r="A1097">
        <v>1096</v>
      </c>
      <c r="B1097" s="1" t="s">
        <v>104</v>
      </c>
      <c r="C1097" t="s">
        <v>150</v>
      </c>
      <c r="D1097">
        <v>87</v>
      </c>
      <c r="E1097" t="s">
        <v>155</v>
      </c>
    </row>
    <row r="1098" spans="1:5" x14ac:dyDescent="0.3">
      <c r="A1098">
        <v>1097</v>
      </c>
      <c r="B1098" s="1" t="s">
        <v>112</v>
      </c>
      <c r="C1098" t="s">
        <v>151</v>
      </c>
      <c r="D1098">
        <v>81</v>
      </c>
      <c r="E1098" t="s">
        <v>155</v>
      </c>
    </row>
    <row r="1099" spans="1:5" x14ac:dyDescent="0.3">
      <c r="A1099">
        <v>1098</v>
      </c>
      <c r="B1099" s="1" t="s">
        <v>105</v>
      </c>
      <c r="C1099" t="s">
        <v>150</v>
      </c>
      <c r="D1099">
        <v>31</v>
      </c>
      <c r="E1099" t="s">
        <v>155</v>
      </c>
    </row>
    <row r="1100" spans="1:5" x14ac:dyDescent="0.3">
      <c r="A1100">
        <v>1099</v>
      </c>
      <c r="B1100" s="1" t="s">
        <v>99</v>
      </c>
      <c r="C1100" t="s">
        <v>151</v>
      </c>
      <c r="D1100">
        <v>76</v>
      </c>
      <c r="E1100" t="s">
        <v>155</v>
      </c>
    </row>
    <row r="1101" spans="1:5" x14ac:dyDescent="0.3">
      <c r="A1101">
        <v>1100</v>
      </c>
      <c r="B1101" s="1" t="s">
        <v>104</v>
      </c>
      <c r="C1101" t="s">
        <v>151</v>
      </c>
      <c r="D1101">
        <v>30</v>
      </c>
      <c r="E1101" t="s">
        <v>155</v>
      </c>
    </row>
    <row r="1102" spans="1:5" x14ac:dyDescent="0.3">
      <c r="A1102">
        <v>1101</v>
      </c>
      <c r="B1102" s="1" t="s">
        <v>112</v>
      </c>
      <c r="C1102" t="s">
        <v>151</v>
      </c>
      <c r="D1102">
        <v>27</v>
      </c>
      <c r="E1102" t="s">
        <v>155</v>
      </c>
    </row>
    <row r="1103" spans="1:5" x14ac:dyDescent="0.3">
      <c r="A1103">
        <v>1102</v>
      </c>
      <c r="B1103" s="1" t="s">
        <v>112</v>
      </c>
      <c r="C1103" t="s">
        <v>150</v>
      </c>
      <c r="D1103">
        <v>66</v>
      </c>
      <c r="E1103" t="s">
        <v>155</v>
      </c>
    </row>
    <row r="1104" spans="1:5" x14ac:dyDescent="0.3">
      <c r="A1104">
        <v>1103</v>
      </c>
      <c r="B1104" s="1" t="s">
        <v>112</v>
      </c>
      <c r="C1104" t="s">
        <v>151</v>
      </c>
      <c r="D1104">
        <v>32</v>
      </c>
      <c r="E1104" t="s">
        <v>155</v>
      </c>
    </row>
    <row r="1105" spans="1:5" x14ac:dyDescent="0.3">
      <c r="A1105">
        <v>1104</v>
      </c>
      <c r="B1105" s="1" t="s">
        <v>104</v>
      </c>
      <c r="C1105" t="s">
        <v>151</v>
      </c>
      <c r="D1105">
        <v>21</v>
      </c>
      <c r="E1105" t="s">
        <v>155</v>
      </c>
    </row>
    <row r="1106" spans="1:5" x14ac:dyDescent="0.3">
      <c r="A1106">
        <v>1105</v>
      </c>
      <c r="B1106" s="1" t="s">
        <v>99</v>
      </c>
      <c r="C1106" t="s">
        <v>151</v>
      </c>
      <c r="D1106">
        <v>79</v>
      </c>
      <c r="E1106" t="s">
        <v>155</v>
      </c>
    </row>
    <row r="1107" spans="1:5" x14ac:dyDescent="0.3">
      <c r="A1107">
        <v>1106</v>
      </c>
      <c r="B1107" s="1" t="s">
        <v>105</v>
      </c>
      <c r="C1107" t="s">
        <v>150</v>
      </c>
      <c r="D1107">
        <v>70</v>
      </c>
      <c r="E1107" t="s">
        <v>155</v>
      </c>
    </row>
    <row r="1108" spans="1:5" x14ac:dyDescent="0.3">
      <c r="A1108">
        <v>1107</v>
      </c>
      <c r="B1108" s="1" t="s">
        <v>112</v>
      </c>
      <c r="C1108" t="s">
        <v>151</v>
      </c>
      <c r="D1108">
        <v>40</v>
      </c>
      <c r="E1108" t="s">
        <v>155</v>
      </c>
    </row>
    <row r="1109" spans="1:5" x14ac:dyDescent="0.3">
      <c r="A1109">
        <v>1108</v>
      </c>
      <c r="B1109" s="1" t="s">
        <v>112</v>
      </c>
      <c r="C1109" t="s">
        <v>151</v>
      </c>
      <c r="D1109">
        <v>47</v>
      </c>
      <c r="E1109" t="s">
        <v>155</v>
      </c>
    </row>
    <row r="1110" spans="1:5" x14ac:dyDescent="0.3">
      <c r="A1110">
        <v>1109</v>
      </c>
      <c r="B1110" s="1" t="s">
        <v>112</v>
      </c>
      <c r="C1110" t="s">
        <v>151</v>
      </c>
      <c r="D1110">
        <v>86</v>
      </c>
      <c r="E1110" t="s">
        <v>155</v>
      </c>
    </row>
    <row r="1111" spans="1:5" x14ac:dyDescent="0.3">
      <c r="A1111">
        <v>1110</v>
      </c>
      <c r="B1111" s="1" t="s">
        <v>107</v>
      </c>
      <c r="C1111" t="s">
        <v>151</v>
      </c>
      <c r="D1111">
        <v>43</v>
      </c>
      <c r="E1111" t="s">
        <v>155</v>
      </c>
    </row>
    <row r="1112" spans="1:5" x14ac:dyDescent="0.3">
      <c r="A1112">
        <v>1111</v>
      </c>
      <c r="B1112" s="1" t="s">
        <v>109</v>
      </c>
      <c r="C1112" t="s">
        <v>151</v>
      </c>
      <c r="D1112">
        <v>31</v>
      </c>
      <c r="E1112" t="s">
        <v>155</v>
      </c>
    </row>
    <row r="1113" spans="1:5" x14ac:dyDescent="0.3">
      <c r="A1113">
        <v>1112</v>
      </c>
      <c r="B1113" s="1" t="s">
        <v>104</v>
      </c>
      <c r="C1113" t="s">
        <v>151</v>
      </c>
      <c r="D1113">
        <v>30</v>
      </c>
      <c r="E1113" t="s">
        <v>155</v>
      </c>
    </row>
    <row r="1114" spans="1:5" x14ac:dyDescent="0.3">
      <c r="A1114">
        <v>1113</v>
      </c>
      <c r="B1114" s="1" t="s">
        <v>105</v>
      </c>
      <c r="C1114" t="s">
        <v>151</v>
      </c>
      <c r="D1114">
        <v>39</v>
      </c>
      <c r="E1114" t="s">
        <v>155</v>
      </c>
    </row>
    <row r="1115" spans="1:5" x14ac:dyDescent="0.3">
      <c r="A1115">
        <v>1114</v>
      </c>
      <c r="B1115" s="1" t="s">
        <v>112</v>
      </c>
      <c r="C1115" t="s">
        <v>151</v>
      </c>
      <c r="D1115">
        <v>39</v>
      </c>
      <c r="E1115" t="s">
        <v>155</v>
      </c>
    </row>
    <row r="1116" spans="1:5" x14ac:dyDescent="0.3">
      <c r="A1116">
        <v>1115</v>
      </c>
      <c r="B1116" s="1" t="s">
        <v>101</v>
      </c>
      <c r="C1116" t="s">
        <v>150</v>
      </c>
      <c r="D1116">
        <v>22</v>
      </c>
      <c r="E1116" t="s">
        <v>155</v>
      </c>
    </row>
    <row r="1117" spans="1:5" x14ac:dyDescent="0.3">
      <c r="A1117">
        <v>1116</v>
      </c>
      <c r="B1117" s="1" t="s">
        <v>99</v>
      </c>
      <c r="C1117" t="s">
        <v>150</v>
      </c>
      <c r="D1117">
        <v>79</v>
      </c>
      <c r="E1117" t="s">
        <v>155</v>
      </c>
    </row>
    <row r="1118" spans="1:5" x14ac:dyDescent="0.3">
      <c r="A1118">
        <v>1117</v>
      </c>
      <c r="B1118" s="1" t="s">
        <v>100</v>
      </c>
      <c r="C1118" t="s">
        <v>151</v>
      </c>
      <c r="D1118">
        <v>63</v>
      </c>
      <c r="E1118" t="s">
        <v>155</v>
      </c>
    </row>
    <row r="1119" spans="1:5" x14ac:dyDescent="0.3">
      <c r="A1119">
        <v>1118</v>
      </c>
      <c r="B1119" s="1" t="s">
        <v>100</v>
      </c>
      <c r="C1119" t="s">
        <v>150</v>
      </c>
      <c r="D1119">
        <v>45</v>
      </c>
      <c r="E1119" t="s">
        <v>155</v>
      </c>
    </row>
    <row r="1120" spans="1:5" x14ac:dyDescent="0.3">
      <c r="A1120">
        <v>1119</v>
      </c>
      <c r="B1120" s="1" t="s">
        <v>100</v>
      </c>
      <c r="C1120" t="s">
        <v>150</v>
      </c>
      <c r="D1120">
        <v>89</v>
      </c>
      <c r="E1120" t="s">
        <v>155</v>
      </c>
    </row>
    <row r="1121" spans="1:5" x14ac:dyDescent="0.3">
      <c r="A1121">
        <v>1120</v>
      </c>
      <c r="B1121" s="1" t="s">
        <v>107</v>
      </c>
      <c r="C1121" t="s">
        <v>151</v>
      </c>
      <c r="D1121">
        <v>53</v>
      </c>
      <c r="E1121" t="s">
        <v>155</v>
      </c>
    </row>
    <row r="1122" spans="1:5" x14ac:dyDescent="0.3">
      <c r="A1122">
        <v>1121</v>
      </c>
      <c r="B1122" s="1" t="s">
        <v>112</v>
      </c>
      <c r="C1122" t="s">
        <v>151</v>
      </c>
      <c r="D1122">
        <v>51</v>
      </c>
      <c r="E1122" t="s">
        <v>155</v>
      </c>
    </row>
    <row r="1123" spans="1:5" x14ac:dyDescent="0.3">
      <c r="A1123">
        <v>1122</v>
      </c>
      <c r="B1123" s="1" t="s">
        <v>108</v>
      </c>
      <c r="C1123" t="s">
        <v>150</v>
      </c>
      <c r="D1123">
        <v>33</v>
      </c>
      <c r="E1123" t="s">
        <v>155</v>
      </c>
    </row>
    <row r="1124" spans="1:5" x14ac:dyDescent="0.3">
      <c r="A1124">
        <v>1123</v>
      </c>
      <c r="B1124" s="1" t="s">
        <v>99</v>
      </c>
      <c r="C1124" t="s">
        <v>151</v>
      </c>
      <c r="D1124">
        <v>54</v>
      </c>
      <c r="E1124" t="s">
        <v>155</v>
      </c>
    </row>
    <row r="1125" spans="1:5" x14ac:dyDescent="0.3">
      <c r="A1125">
        <v>1124</v>
      </c>
      <c r="B1125" s="1" t="s">
        <v>104</v>
      </c>
      <c r="C1125" t="s">
        <v>150</v>
      </c>
      <c r="D1125">
        <v>36</v>
      </c>
      <c r="E1125" t="s">
        <v>155</v>
      </c>
    </row>
    <row r="1126" spans="1:5" x14ac:dyDescent="0.3">
      <c r="A1126">
        <v>1125</v>
      </c>
      <c r="B1126" s="1" t="s">
        <v>105</v>
      </c>
      <c r="C1126" t="s">
        <v>150</v>
      </c>
      <c r="D1126">
        <v>18</v>
      </c>
      <c r="E1126" t="s">
        <v>155</v>
      </c>
    </row>
    <row r="1127" spans="1:5" x14ac:dyDescent="0.3">
      <c r="A1127">
        <v>1126</v>
      </c>
      <c r="B1127" s="1" t="s">
        <v>99</v>
      </c>
      <c r="C1127" t="s">
        <v>150</v>
      </c>
      <c r="D1127">
        <v>65</v>
      </c>
      <c r="E1127" t="s">
        <v>155</v>
      </c>
    </row>
    <row r="1128" spans="1:5" x14ac:dyDescent="0.3">
      <c r="A1128">
        <v>1127</v>
      </c>
      <c r="B1128" s="1" t="s">
        <v>102</v>
      </c>
      <c r="C1128" t="s">
        <v>151</v>
      </c>
      <c r="D1128">
        <v>83</v>
      </c>
      <c r="E1128" t="s">
        <v>155</v>
      </c>
    </row>
    <row r="1129" spans="1:5" x14ac:dyDescent="0.3">
      <c r="A1129">
        <v>1128</v>
      </c>
      <c r="B1129" s="1" t="s">
        <v>99</v>
      </c>
      <c r="C1129" t="s">
        <v>151</v>
      </c>
      <c r="D1129">
        <v>18</v>
      </c>
      <c r="E1129" t="s">
        <v>155</v>
      </c>
    </row>
    <row r="1130" spans="1:5" x14ac:dyDescent="0.3">
      <c r="A1130">
        <v>1129</v>
      </c>
      <c r="B1130" s="1" t="s">
        <v>112</v>
      </c>
      <c r="C1130" t="s">
        <v>150</v>
      </c>
      <c r="D1130">
        <v>67</v>
      </c>
      <c r="E1130" t="s">
        <v>155</v>
      </c>
    </row>
    <row r="1131" spans="1:5" x14ac:dyDescent="0.3">
      <c r="A1131">
        <v>1130</v>
      </c>
      <c r="B1131" s="1" t="s">
        <v>112</v>
      </c>
      <c r="C1131" t="s">
        <v>150</v>
      </c>
      <c r="D1131">
        <v>30</v>
      </c>
      <c r="E1131" t="s">
        <v>155</v>
      </c>
    </row>
    <row r="1132" spans="1:5" x14ac:dyDescent="0.3">
      <c r="A1132">
        <v>1131</v>
      </c>
      <c r="B1132" s="1" t="s">
        <v>100</v>
      </c>
      <c r="C1132" t="s">
        <v>151</v>
      </c>
      <c r="D1132">
        <v>38</v>
      </c>
      <c r="E1132" t="s">
        <v>155</v>
      </c>
    </row>
    <row r="1133" spans="1:5" x14ac:dyDescent="0.3">
      <c r="A1133">
        <v>1132</v>
      </c>
      <c r="B1133" s="1" t="s">
        <v>99</v>
      </c>
      <c r="C1133" t="s">
        <v>150</v>
      </c>
      <c r="D1133">
        <v>27</v>
      </c>
      <c r="E1133" t="s">
        <v>155</v>
      </c>
    </row>
    <row r="1134" spans="1:5" x14ac:dyDescent="0.3">
      <c r="A1134">
        <v>1133</v>
      </c>
      <c r="B1134" s="1" t="s">
        <v>112</v>
      </c>
      <c r="C1134" t="s">
        <v>151</v>
      </c>
      <c r="D1134">
        <v>59</v>
      </c>
      <c r="E1134" t="s">
        <v>155</v>
      </c>
    </row>
    <row r="1135" spans="1:5" x14ac:dyDescent="0.3">
      <c r="A1135">
        <v>1134</v>
      </c>
      <c r="B1135" s="1" t="s">
        <v>106</v>
      </c>
      <c r="C1135" t="s">
        <v>150</v>
      </c>
      <c r="D1135">
        <v>53</v>
      </c>
      <c r="E1135" t="s">
        <v>155</v>
      </c>
    </row>
    <row r="1136" spans="1:5" x14ac:dyDescent="0.3">
      <c r="A1136">
        <v>1135</v>
      </c>
      <c r="B1136" s="1" t="s">
        <v>112</v>
      </c>
      <c r="C1136" t="s">
        <v>150</v>
      </c>
      <c r="D1136">
        <v>74</v>
      </c>
      <c r="E1136" t="s">
        <v>155</v>
      </c>
    </row>
    <row r="1137" spans="1:5" x14ac:dyDescent="0.3">
      <c r="A1137">
        <v>1136</v>
      </c>
      <c r="B1137" s="1" t="s">
        <v>105</v>
      </c>
      <c r="C1137" t="s">
        <v>151</v>
      </c>
      <c r="D1137">
        <v>89</v>
      </c>
      <c r="E1137" t="s">
        <v>155</v>
      </c>
    </row>
    <row r="1138" spans="1:5" x14ac:dyDescent="0.3">
      <c r="A1138">
        <v>1137</v>
      </c>
      <c r="B1138" s="1" t="s">
        <v>99</v>
      </c>
      <c r="C1138" t="s">
        <v>150</v>
      </c>
      <c r="D1138">
        <v>52</v>
      </c>
      <c r="E1138" t="s">
        <v>155</v>
      </c>
    </row>
    <row r="1139" spans="1:5" x14ac:dyDescent="0.3">
      <c r="A1139">
        <v>1138</v>
      </c>
      <c r="B1139" s="1" t="s">
        <v>100</v>
      </c>
      <c r="C1139" t="s">
        <v>151</v>
      </c>
      <c r="D1139">
        <v>83</v>
      </c>
      <c r="E1139" t="s">
        <v>155</v>
      </c>
    </row>
    <row r="1140" spans="1:5" x14ac:dyDescent="0.3">
      <c r="A1140">
        <v>1139</v>
      </c>
      <c r="B1140" s="1" t="s">
        <v>98</v>
      </c>
      <c r="C1140" t="s">
        <v>151</v>
      </c>
      <c r="D1140">
        <v>84</v>
      </c>
      <c r="E1140" t="s">
        <v>155</v>
      </c>
    </row>
    <row r="1141" spans="1:5" x14ac:dyDescent="0.3">
      <c r="A1141">
        <v>1140</v>
      </c>
      <c r="B1141" s="1" t="s">
        <v>101</v>
      </c>
      <c r="C1141" t="s">
        <v>150</v>
      </c>
      <c r="D1141">
        <v>69</v>
      </c>
      <c r="E1141" t="s">
        <v>155</v>
      </c>
    </row>
    <row r="1142" spans="1:5" x14ac:dyDescent="0.3">
      <c r="A1142">
        <v>1141</v>
      </c>
      <c r="B1142" s="1" t="s">
        <v>99</v>
      </c>
      <c r="C1142" t="s">
        <v>150</v>
      </c>
      <c r="D1142">
        <v>60</v>
      </c>
      <c r="E1142" t="s">
        <v>155</v>
      </c>
    </row>
    <row r="1143" spans="1:5" x14ac:dyDescent="0.3">
      <c r="A1143">
        <v>1142</v>
      </c>
      <c r="B1143" s="1" t="s">
        <v>98</v>
      </c>
      <c r="C1143" t="s">
        <v>151</v>
      </c>
      <c r="D1143">
        <v>59</v>
      </c>
      <c r="E1143" t="s">
        <v>155</v>
      </c>
    </row>
    <row r="1144" spans="1:5" x14ac:dyDescent="0.3">
      <c r="A1144">
        <v>1143</v>
      </c>
      <c r="B1144" s="1" t="s">
        <v>106</v>
      </c>
      <c r="C1144" t="s">
        <v>150</v>
      </c>
      <c r="D1144">
        <v>59</v>
      </c>
      <c r="E1144" t="s">
        <v>155</v>
      </c>
    </row>
    <row r="1145" spans="1:5" x14ac:dyDescent="0.3">
      <c r="A1145">
        <v>1144</v>
      </c>
      <c r="B1145" s="1" t="s">
        <v>98</v>
      </c>
      <c r="C1145" t="s">
        <v>151</v>
      </c>
      <c r="D1145">
        <v>61</v>
      </c>
      <c r="E1145" t="s">
        <v>155</v>
      </c>
    </row>
    <row r="1146" spans="1:5" x14ac:dyDescent="0.3">
      <c r="A1146">
        <v>1145</v>
      </c>
      <c r="B1146" s="1" t="s">
        <v>98</v>
      </c>
      <c r="C1146" t="s">
        <v>151</v>
      </c>
      <c r="D1146">
        <v>50</v>
      </c>
      <c r="E1146" t="s">
        <v>155</v>
      </c>
    </row>
    <row r="1147" spans="1:5" x14ac:dyDescent="0.3">
      <c r="A1147">
        <v>1146</v>
      </c>
      <c r="B1147" s="1" t="s">
        <v>98</v>
      </c>
      <c r="C1147" t="s">
        <v>150</v>
      </c>
      <c r="D1147">
        <v>23</v>
      </c>
      <c r="E1147" t="s">
        <v>155</v>
      </c>
    </row>
    <row r="1148" spans="1:5" x14ac:dyDescent="0.3">
      <c r="A1148">
        <v>1147</v>
      </c>
      <c r="B1148" s="1" t="s">
        <v>99</v>
      </c>
      <c r="C1148" t="s">
        <v>150</v>
      </c>
      <c r="D1148">
        <v>53</v>
      </c>
      <c r="E1148" t="s">
        <v>155</v>
      </c>
    </row>
    <row r="1149" spans="1:5" x14ac:dyDescent="0.3">
      <c r="A1149">
        <v>1148</v>
      </c>
      <c r="B1149" s="1" t="s">
        <v>101</v>
      </c>
      <c r="C1149" t="s">
        <v>151</v>
      </c>
      <c r="D1149">
        <v>53</v>
      </c>
      <c r="E1149" t="s">
        <v>155</v>
      </c>
    </row>
    <row r="1150" spans="1:5" x14ac:dyDescent="0.3">
      <c r="A1150">
        <v>1149</v>
      </c>
      <c r="B1150" s="1" t="s">
        <v>98</v>
      </c>
      <c r="C1150" t="s">
        <v>150</v>
      </c>
      <c r="D1150">
        <v>31</v>
      </c>
      <c r="E1150" t="s">
        <v>155</v>
      </c>
    </row>
    <row r="1151" spans="1:5" x14ac:dyDescent="0.3">
      <c r="A1151">
        <v>1150</v>
      </c>
      <c r="B1151" s="1" t="s">
        <v>98</v>
      </c>
      <c r="C1151" t="s">
        <v>150</v>
      </c>
      <c r="D1151">
        <v>77</v>
      </c>
      <c r="E1151" t="s">
        <v>155</v>
      </c>
    </row>
    <row r="1152" spans="1:5" x14ac:dyDescent="0.3">
      <c r="A1152">
        <v>1151</v>
      </c>
      <c r="B1152" s="1" t="s">
        <v>100</v>
      </c>
      <c r="C1152" t="s">
        <v>151</v>
      </c>
      <c r="D1152">
        <v>76</v>
      </c>
      <c r="E1152" t="s">
        <v>155</v>
      </c>
    </row>
    <row r="1153" spans="1:5" x14ac:dyDescent="0.3">
      <c r="A1153">
        <v>1152</v>
      </c>
      <c r="B1153" s="1" t="s">
        <v>104</v>
      </c>
      <c r="C1153" t="s">
        <v>150</v>
      </c>
      <c r="D1153">
        <v>67</v>
      </c>
      <c r="E1153" t="s">
        <v>155</v>
      </c>
    </row>
    <row r="1154" spans="1:5" x14ac:dyDescent="0.3">
      <c r="A1154">
        <v>1153</v>
      </c>
      <c r="B1154" s="1" t="s">
        <v>106</v>
      </c>
      <c r="C1154" t="s">
        <v>151</v>
      </c>
      <c r="D1154">
        <v>39</v>
      </c>
      <c r="E1154" t="s">
        <v>155</v>
      </c>
    </row>
    <row r="1155" spans="1:5" x14ac:dyDescent="0.3">
      <c r="A1155">
        <v>1154</v>
      </c>
      <c r="B1155" s="1" t="s">
        <v>104</v>
      </c>
      <c r="C1155" t="s">
        <v>150</v>
      </c>
      <c r="D1155">
        <v>88</v>
      </c>
      <c r="E1155" t="s">
        <v>155</v>
      </c>
    </row>
    <row r="1156" spans="1:5" x14ac:dyDescent="0.3">
      <c r="A1156">
        <v>1155</v>
      </c>
      <c r="B1156" s="1" t="s">
        <v>104</v>
      </c>
      <c r="C1156" t="s">
        <v>150</v>
      </c>
      <c r="D1156">
        <v>58</v>
      </c>
      <c r="E1156" t="s">
        <v>155</v>
      </c>
    </row>
    <row r="1157" spans="1:5" x14ac:dyDescent="0.3">
      <c r="A1157">
        <v>1156</v>
      </c>
      <c r="B1157" s="1" t="s">
        <v>102</v>
      </c>
      <c r="C1157" t="s">
        <v>150</v>
      </c>
      <c r="D1157">
        <v>35</v>
      </c>
      <c r="E1157" t="s">
        <v>155</v>
      </c>
    </row>
    <row r="1158" spans="1:5" x14ac:dyDescent="0.3">
      <c r="A1158">
        <v>1157</v>
      </c>
      <c r="B1158" s="1" t="s">
        <v>105</v>
      </c>
      <c r="C1158" t="s">
        <v>151</v>
      </c>
      <c r="D1158">
        <v>70</v>
      </c>
      <c r="E1158" t="s">
        <v>155</v>
      </c>
    </row>
    <row r="1159" spans="1:5" x14ac:dyDescent="0.3">
      <c r="A1159">
        <v>1158</v>
      </c>
      <c r="B1159" s="1" t="s">
        <v>102</v>
      </c>
      <c r="C1159" t="s">
        <v>150</v>
      </c>
      <c r="D1159">
        <v>59</v>
      </c>
      <c r="E1159" t="s">
        <v>155</v>
      </c>
    </row>
    <row r="1160" spans="1:5" x14ac:dyDescent="0.3">
      <c r="A1160">
        <v>1159</v>
      </c>
      <c r="B1160" s="1" t="s">
        <v>98</v>
      </c>
      <c r="C1160" t="s">
        <v>151</v>
      </c>
      <c r="D1160">
        <v>58</v>
      </c>
      <c r="E1160" t="s">
        <v>155</v>
      </c>
    </row>
    <row r="1161" spans="1:5" x14ac:dyDescent="0.3">
      <c r="A1161">
        <v>1160</v>
      </c>
      <c r="B1161" s="1" t="s">
        <v>100</v>
      </c>
      <c r="C1161" t="s">
        <v>150</v>
      </c>
      <c r="D1161">
        <v>58</v>
      </c>
      <c r="E1161" t="s">
        <v>155</v>
      </c>
    </row>
    <row r="1162" spans="1:5" x14ac:dyDescent="0.3">
      <c r="A1162">
        <v>1161</v>
      </c>
      <c r="B1162" s="1" t="s">
        <v>104</v>
      </c>
      <c r="C1162" t="s">
        <v>151</v>
      </c>
      <c r="D1162">
        <v>36</v>
      </c>
      <c r="E1162" t="s">
        <v>155</v>
      </c>
    </row>
    <row r="1163" spans="1:5" x14ac:dyDescent="0.3">
      <c r="A1163">
        <v>1162</v>
      </c>
      <c r="B1163" s="1" t="s">
        <v>98</v>
      </c>
      <c r="C1163" t="s">
        <v>151</v>
      </c>
      <c r="D1163">
        <v>87</v>
      </c>
      <c r="E1163" t="s">
        <v>155</v>
      </c>
    </row>
    <row r="1164" spans="1:5" x14ac:dyDescent="0.3">
      <c r="A1164">
        <v>1163</v>
      </c>
      <c r="B1164" s="1" t="s">
        <v>107</v>
      </c>
      <c r="C1164" t="s">
        <v>151</v>
      </c>
      <c r="D1164">
        <v>72</v>
      </c>
      <c r="E1164" t="s">
        <v>155</v>
      </c>
    </row>
    <row r="1165" spans="1:5" x14ac:dyDescent="0.3">
      <c r="A1165">
        <v>1164</v>
      </c>
      <c r="B1165" s="1" t="s">
        <v>98</v>
      </c>
      <c r="C1165" t="s">
        <v>150</v>
      </c>
      <c r="D1165">
        <v>63</v>
      </c>
      <c r="E1165" t="s">
        <v>155</v>
      </c>
    </row>
    <row r="1166" spans="1:5" x14ac:dyDescent="0.3">
      <c r="A1166">
        <v>1165</v>
      </c>
      <c r="B1166" s="1" t="s">
        <v>104</v>
      </c>
      <c r="C1166" t="s">
        <v>150</v>
      </c>
      <c r="D1166">
        <v>28</v>
      </c>
      <c r="E1166" t="s">
        <v>155</v>
      </c>
    </row>
    <row r="1167" spans="1:5" x14ac:dyDescent="0.3">
      <c r="A1167">
        <v>1166</v>
      </c>
      <c r="B1167" s="1" t="s">
        <v>98</v>
      </c>
      <c r="C1167" t="s">
        <v>151</v>
      </c>
      <c r="D1167">
        <v>31</v>
      </c>
      <c r="E1167" t="s">
        <v>155</v>
      </c>
    </row>
    <row r="1168" spans="1:5" x14ac:dyDescent="0.3">
      <c r="A1168">
        <v>1167</v>
      </c>
      <c r="B1168" s="1" t="s">
        <v>98</v>
      </c>
      <c r="C1168" t="s">
        <v>150</v>
      </c>
      <c r="D1168">
        <v>78</v>
      </c>
      <c r="E1168" t="s">
        <v>155</v>
      </c>
    </row>
    <row r="1169" spans="1:5" x14ac:dyDescent="0.3">
      <c r="A1169">
        <v>1168</v>
      </c>
      <c r="B1169" s="1" t="s">
        <v>98</v>
      </c>
      <c r="C1169" t="s">
        <v>151</v>
      </c>
      <c r="D1169">
        <v>41</v>
      </c>
      <c r="E1169" t="s">
        <v>155</v>
      </c>
    </row>
    <row r="1170" spans="1:5" x14ac:dyDescent="0.3">
      <c r="A1170">
        <v>1169</v>
      </c>
      <c r="B1170" s="1" t="s">
        <v>99</v>
      </c>
      <c r="C1170" t="s">
        <v>150</v>
      </c>
      <c r="D1170">
        <v>26</v>
      </c>
      <c r="E1170" t="s">
        <v>155</v>
      </c>
    </row>
    <row r="1171" spans="1:5" x14ac:dyDescent="0.3">
      <c r="A1171">
        <v>1170</v>
      </c>
      <c r="B1171" s="1" t="s">
        <v>108</v>
      </c>
      <c r="C1171" t="s">
        <v>151</v>
      </c>
      <c r="D1171">
        <v>65</v>
      </c>
      <c r="E1171" t="s">
        <v>155</v>
      </c>
    </row>
    <row r="1172" spans="1:5" x14ac:dyDescent="0.3">
      <c r="A1172">
        <v>1171</v>
      </c>
      <c r="B1172" s="1" t="s">
        <v>99</v>
      </c>
      <c r="C1172" t="s">
        <v>150</v>
      </c>
      <c r="D1172">
        <v>53</v>
      </c>
      <c r="E1172" t="s">
        <v>155</v>
      </c>
    </row>
    <row r="1173" spans="1:5" x14ac:dyDescent="0.3">
      <c r="A1173">
        <v>1172</v>
      </c>
      <c r="B1173" s="1" t="s">
        <v>100</v>
      </c>
      <c r="C1173" t="s">
        <v>151</v>
      </c>
      <c r="D1173">
        <v>23</v>
      </c>
      <c r="E1173" t="s">
        <v>155</v>
      </c>
    </row>
    <row r="1174" spans="1:5" x14ac:dyDescent="0.3">
      <c r="A1174">
        <v>1173</v>
      </c>
      <c r="B1174" s="1" t="s">
        <v>98</v>
      </c>
      <c r="C1174" t="s">
        <v>150</v>
      </c>
      <c r="D1174">
        <v>84</v>
      </c>
      <c r="E1174" t="s">
        <v>155</v>
      </c>
    </row>
    <row r="1175" spans="1:5" x14ac:dyDescent="0.3">
      <c r="A1175">
        <v>1174</v>
      </c>
      <c r="B1175" s="1" t="s">
        <v>98</v>
      </c>
      <c r="C1175" t="s">
        <v>150</v>
      </c>
      <c r="D1175">
        <v>60</v>
      </c>
      <c r="E1175" t="s">
        <v>155</v>
      </c>
    </row>
    <row r="1176" spans="1:5" x14ac:dyDescent="0.3">
      <c r="A1176">
        <v>1175</v>
      </c>
      <c r="B1176" s="1" t="s">
        <v>108</v>
      </c>
      <c r="C1176" t="s">
        <v>151</v>
      </c>
      <c r="D1176">
        <v>87</v>
      </c>
      <c r="E1176" t="s">
        <v>155</v>
      </c>
    </row>
    <row r="1177" spans="1:5" x14ac:dyDescent="0.3">
      <c r="A1177">
        <v>1176</v>
      </c>
      <c r="B1177" s="1" t="s">
        <v>98</v>
      </c>
      <c r="C1177" t="s">
        <v>151</v>
      </c>
      <c r="D1177">
        <v>89</v>
      </c>
      <c r="E1177" t="s">
        <v>155</v>
      </c>
    </row>
    <row r="1178" spans="1:5" x14ac:dyDescent="0.3">
      <c r="A1178">
        <v>1177</v>
      </c>
      <c r="B1178" s="1" t="s">
        <v>107</v>
      </c>
      <c r="C1178" t="s">
        <v>151</v>
      </c>
      <c r="D1178">
        <v>90</v>
      </c>
      <c r="E1178" t="s">
        <v>155</v>
      </c>
    </row>
    <row r="1179" spans="1:5" x14ac:dyDescent="0.3">
      <c r="A1179">
        <v>1178</v>
      </c>
      <c r="B1179" s="1" t="s">
        <v>100</v>
      </c>
      <c r="C1179" t="s">
        <v>151</v>
      </c>
      <c r="D1179">
        <v>56</v>
      </c>
      <c r="E1179" t="s">
        <v>155</v>
      </c>
    </row>
    <row r="1180" spans="1:5" x14ac:dyDescent="0.3">
      <c r="A1180">
        <v>1179</v>
      </c>
      <c r="B1180" s="1" t="s">
        <v>104</v>
      </c>
      <c r="C1180" t="s">
        <v>151</v>
      </c>
      <c r="D1180">
        <v>49</v>
      </c>
      <c r="E1180" t="s">
        <v>155</v>
      </c>
    </row>
    <row r="1181" spans="1:5" x14ac:dyDescent="0.3">
      <c r="A1181">
        <v>1180</v>
      </c>
      <c r="B1181" s="1" t="s">
        <v>104</v>
      </c>
      <c r="C1181" t="s">
        <v>151</v>
      </c>
      <c r="D1181">
        <v>85</v>
      </c>
      <c r="E1181" t="s">
        <v>155</v>
      </c>
    </row>
    <row r="1182" spans="1:5" x14ac:dyDescent="0.3">
      <c r="A1182">
        <v>1181</v>
      </c>
      <c r="B1182" s="1" t="s">
        <v>105</v>
      </c>
      <c r="C1182" t="s">
        <v>151</v>
      </c>
      <c r="D1182">
        <v>68</v>
      </c>
      <c r="E1182" t="s">
        <v>155</v>
      </c>
    </row>
    <row r="1183" spans="1:5" x14ac:dyDescent="0.3">
      <c r="A1183">
        <v>1182</v>
      </c>
      <c r="B1183" s="1" t="s">
        <v>98</v>
      </c>
      <c r="C1183" t="s">
        <v>150</v>
      </c>
      <c r="D1183">
        <v>36</v>
      </c>
      <c r="E1183" t="s">
        <v>155</v>
      </c>
    </row>
    <row r="1184" spans="1:5" x14ac:dyDescent="0.3">
      <c r="A1184">
        <v>1183</v>
      </c>
      <c r="B1184" s="1" t="s">
        <v>99</v>
      </c>
      <c r="C1184" t="s">
        <v>150</v>
      </c>
      <c r="D1184">
        <v>66</v>
      </c>
      <c r="E1184" t="s">
        <v>155</v>
      </c>
    </row>
    <row r="1185" spans="1:5" x14ac:dyDescent="0.3">
      <c r="A1185">
        <v>1184</v>
      </c>
      <c r="B1185" s="1" t="s">
        <v>99</v>
      </c>
      <c r="C1185" t="s">
        <v>151</v>
      </c>
      <c r="D1185">
        <v>64</v>
      </c>
      <c r="E1185" t="s">
        <v>155</v>
      </c>
    </row>
    <row r="1186" spans="1:5" x14ac:dyDescent="0.3">
      <c r="A1186">
        <v>1185</v>
      </c>
      <c r="B1186" s="1" t="s">
        <v>100</v>
      </c>
      <c r="C1186" t="s">
        <v>151</v>
      </c>
      <c r="D1186">
        <v>34</v>
      </c>
      <c r="E1186" t="s">
        <v>155</v>
      </c>
    </row>
    <row r="1187" spans="1:5" x14ac:dyDescent="0.3">
      <c r="A1187">
        <v>1186</v>
      </c>
      <c r="B1187" s="1" t="s">
        <v>105</v>
      </c>
      <c r="C1187" t="s">
        <v>150</v>
      </c>
      <c r="D1187">
        <v>89</v>
      </c>
      <c r="E1187" t="s">
        <v>155</v>
      </c>
    </row>
    <row r="1188" spans="1:5" x14ac:dyDescent="0.3">
      <c r="A1188">
        <v>1187</v>
      </c>
      <c r="B1188" s="1" t="s">
        <v>100</v>
      </c>
      <c r="C1188" t="s">
        <v>150</v>
      </c>
      <c r="D1188">
        <v>31</v>
      </c>
      <c r="E1188" t="s">
        <v>155</v>
      </c>
    </row>
    <row r="1189" spans="1:5" x14ac:dyDescent="0.3">
      <c r="A1189">
        <v>1188</v>
      </c>
      <c r="B1189" s="1" t="s">
        <v>98</v>
      </c>
      <c r="C1189" t="s">
        <v>150</v>
      </c>
      <c r="D1189">
        <v>89</v>
      </c>
      <c r="E1189" t="s">
        <v>155</v>
      </c>
    </row>
    <row r="1190" spans="1:5" x14ac:dyDescent="0.3">
      <c r="A1190">
        <v>1189</v>
      </c>
      <c r="B1190" s="1" t="s">
        <v>99</v>
      </c>
      <c r="C1190" t="s">
        <v>151</v>
      </c>
      <c r="D1190">
        <v>69</v>
      </c>
      <c r="E1190" t="s">
        <v>155</v>
      </c>
    </row>
    <row r="1191" spans="1:5" x14ac:dyDescent="0.3">
      <c r="A1191">
        <v>1190</v>
      </c>
      <c r="B1191" s="1" t="s">
        <v>102</v>
      </c>
      <c r="C1191" t="s">
        <v>150</v>
      </c>
      <c r="D1191">
        <v>50</v>
      </c>
      <c r="E1191" t="s">
        <v>155</v>
      </c>
    </row>
    <row r="1192" spans="1:5" x14ac:dyDescent="0.3">
      <c r="A1192">
        <v>1191</v>
      </c>
      <c r="B1192" s="1" t="s">
        <v>100</v>
      </c>
      <c r="C1192" t="s">
        <v>150</v>
      </c>
      <c r="D1192">
        <v>48</v>
      </c>
      <c r="E1192" t="s">
        <v>155</v>
      </c>
    </row>
    <row r="1193" spans="1:5" x14ac:dyDescent="0.3">
      <c r="A1193">
        <v>1192</v>
      </c>
      <c r="B1193" s="1" t="s">
        <v>98</v>
      </c>
      <c r="C1193" t="s">
        <v>151</v>
      </c>
      <c r="D1193">
        <v>87</v>
      </c>
      <c r="E1193" t="s">
        <v>155</v>
      </c>
    </row>
    <row r="1194" spans="1:5" x14ac:dyDescent="0.3">
      <c r="A1194">
        <v>1193</v>
      </c>
      <c r="B1194" s="1" t="s">
        <v>106</v>
      </c>
      <c r="C1194" t="s">
        <v>150</v>
      </c>
      <c r="D1194">
        <v>69</v>
      </c>
      <c r="E1194" t="s">
        <v>155</v>
      </c>
    </row>
    <row r="1195" spans="1:5" x14ac:dyDescent="0.3">
      <c r="A1195">
        <v>1194</v>
      </c>
      <c r="B1195" s="1" t="s">
        <v>103</v>
      </c>
      <c r="C1195" t="s">
        <v>150</v>
      </c>
      <c r="D1195">
        <v>64</v>
      </c>
      <c r="E1195" t="s">
        <v>155</v>
      </c>
    </row>
    <row r="1196" spans="1:5" x14ac:dyDescent="0.3">
      <c r="A1196">
        <v>1195</v>
      </c>
      <c r="B1196" s="1" t="s">
        <v>104</v>
      </c>
      <c r="C1196" t="s">
        <v>150</v>
      </c>
      <c r="D1196">
        <v>35</v>
      </c>
      <c r="E1196" t="s">
        <v>155</v>
      </c>
    </row>
    <row r="1197" spans="1:5" x14ac:dyDescent="0.3">
      <c r="A1197">
        <v>1196</v>
      </c>
      <c r="B1197" s="1" t="s">
        <v>98</v>
      </c>
      <c r="C1197" t="s">
        <v>150</v>
      </c>
      <c r="D1197">
        <v>82</v>
      </c>
      <c r="E1197" t="s">
        <v>155</v>
      </c>
    </row>
    <row r="1198" spans="1:5" x14ac:dyDescent="0.3">
      <c r="A1198">
        <v>1197</v>
      </c>
      <c r="B1198" s="1" t="s">
        <v>105</v>
      </c>
      <c r="C1198" t="s">
        <v>151</v>
      </c>
      <c r="D1198">
        <v>55</v>
      </c>
      <c r="E1198" t="s">
        <v>155</v>
      </c>
    </row>
    <row r="1199" spans="1:5" x14ac:dyDescent="0.3">
      <c r="A1199">
        <v>1198</v>
      </c>
      <c r="B1199" s="1" t="s">
        <v>98</v>
      </c>
      <c r="C1199" t="s">
        <v>150</v>
      </c>
      <c r="D1199">
        <v>63</v>
      </c>
      <c r="E1199" t="s">
        <v>155</v>
      </c>
    </row>
    <row r="1200" spans="1:5" x14ac:dyDescent="0.3">
      <c r="A1200">
        <v>1199</v>
      </c>
      <c r="B1200" s="1" t="s">
        <v>106</v>
      </c>
      <c r="C1200" t="s">
        <v>150</v>
      </c>
      <c r="D1200">
        <v>38</v>
      </c>
      <c r="E1200" t="s">
        <v>155</v>
      </c>
    </row>
    <row r="1201" spans="1:5" x14ac:dyDescent="0.3">
      <c r="A1201">
        <v>1200</v>
      </c>
      <c r="B1201" s="1" t="s">
        <v>98</v>
      </c>
      <c r="C1201" t="s">
        <v>151</v>
      </c>
      <c r="D1201">
        <v>31</v>
      </c>
      <c r="E1201" t="s">
        <v>155</v>
      </c>
    </row>
    <row r="1202" spans="1:5" x14ac:dyDescent="0.3">
      <c r="A1202">
        <v>1201</v>
      </c>
      <c r="B1202" s="1" t="s">
        <v>99</v>
      </c>
      <c r="C1202" t="s">
        <v>150</v>
      </c>
      <c r="D1202">
        <v>89</v>
      </c>
      <c r="E1202" t="s">
        <v>155</v>
      </c>
    </row>
    <row r="1203" spans="1:5" x14ac:dyDescent="0.3">
      <c r="A1203">
        <v>1202</v>
      </c>
      <c r="B1203" s="1" t="s">
        <v>99</v>
      </c>
      <c r="C1203" t="s">
        <v>151</v>
      </c>
      <c r="D1203">
        <v>25</v>
      </c>
      <c r="E1203" t="s">
        <v>155</v>
      </c>
    </row>
    <row r="1204" spans="1:5" x14ac:dyDescent="0.3">
      <c r="A1204">
        <v>1203</v>
      </c>
      <c r="B1204" s="1" t="s">
        <v>98</v>
      </c>
      <c r="C1204" t="s">
        <v>150</v>
      </c>
      <c r="D1204">
        <v>64</v>
      </c>
      <c r="E1204" t="s">
        <v>155</v>
      </c>
    </row>
    <row r="1205" spans="1:5" x14ac:dyDescent="0.3">
      <c r="A1205">
        <v>1204</v>
      </c>
      <c r="B1205" s="1" t="s">
        <v>98</v>
      </c>
      <c r="C1205" t="s">
        <v>151</v>
      </c>
      <c r="D1205">
        <v>89</v>
      </c>
      <c r="E1205" t="s">
        <v>155</v>
      </c>
    </row>
    <row r="1206" spans="1:5" x14ac:dyDescent="0.3">
      <c r="A1206">
        <v>1205</v>
      </c>
      <c r="B1206" s="1" t="s">
        <v>104</v>
      </c>
      <c r="C1206" t="s">
        <v>151</v>
      </c>
      <c r="D1206">
        <v>89</v>
      </c>
      <c r="E1206" t="s">
        <v>155</v>
      </c>
    </row>
    <row r="1207" spans="1:5" x14ac:dyDescent="0.3">
      <c r="A1207">
        <v>1206</v>
      </c>
      <c r="B1207" s="1" t="s">
        <v>98</v>
      </c>
      <c r="C1207" t="s">
        <v>151</v>
      </c>
      <c r="D1207">
        <v>89</v>
      </c>
      <c r="E1207" t="s">
        <v>155</v>
      </c>
    </row>
    <row r="1208" spans="1:5" x14ac:dyDescent="0.3">
      <c r="A1208">
        <v>1207</v>
      </c>
      <c r="B1208" s="1" t="s">
        <v>106</v>
      </c>
      <c r="C1208" t="s">
        <v>151</v>
      </c>
      <c r="D1208">
        <v>44</v>
      </c>
      <c r="E1208" t="s">
        <v>155</v>
      </c>
    </row>
    <row r="1209" spans="1:5" x14ac:dyDescent="0.3">
      <c r="A1209">
        <v>1208</v>
      </c>
      <c r="B1209" s="1" t="s">
        <v>98</v>
      </c>
      <c r="C1209" t="s">
        <v>150</v>
      </c>
      <c r="D1209">
        <v>73</v>
      </c>
      <c r="E1209" t="s">
        <v>155</v>
      </c>
    </row>
    <row r="1210" spans="1:5" x14ac:dyDescent="0.3">
      <c r="A1210">
        <v>1209</v>
      </c>
      <c r="B1210" s="1" t="s">
        <v>101</v>
      </c>
      <c r="C1210" t="s">
        <v>150</v>
      </c>
      <c r="D1210">
        <v>38</v>
      </c>
      <c r="E1210" t="s">
        <v>155</v>
      </c>
    </row>
    <row r="1211" spans="1:5" x14ac:dyDescent="0.3">
      <c r="A1211">
        <v>1210</v>
      </c>
      <c r="B1211" s="1" t="s">
        <v>104</v>
      </c>
      <c r="C1211" t="s">
        <v>150</v>
      </c>
      <c r="D1211">
        <v>88</v>
      </c>
      <c r="E1211" t="s">
        <v>155</v>
      </c>
    </row>
    <row r="1212" spans="1:5" x14ac:dyDescent="0.3">
      <c r="A1212">
        <v>1211</v>
      </c>
      <c r="B1212" s="1" t="s">
        <v>98</v>
      </c>
      <c r="C1212" t="s">
        <v>151</v>
      </c>
      <c r="D1212">
        <v>41</v>
      </c>
      <c r="E1212" t="s">
        <v>155</v>
      </c>
    </row>
    <row r="1213" spans="1:5" x14ac:dyDescent="0.3">
      <c r="A1213">
        <v>1212</v>
      </c>
      <c r="B1213" s="1" t="s">
        <v>105</v>
      </c>
      <c r="C1213" t="s">
        <v>151</v>
      </c>
      <c r="D1213">
        <v>43</v>
      </c>
      <c r="E1213" t="s">
        <v>155</v>
      </c>
    </row>
    <row r="1214" spans="1:5" x14ac:dyDescent="0.3">
      <c r="A1214">
        <v>1213</v>
      </c>
      <c r="B1214" s="1" t="s">
        <v>104</v>
      </c>
      <c r="C1214" t="s">
        <v>151</v>
      </c>
      <c r="D1214">
        <v>75</v>
      </c>
      <c r="E1214" t="s">
        <v>155</v>
      </c>
    </row>
    <row r="1215" spans="1:5" x14ac:dyDescent="0.3">
      <c r="A1215">
        <v>1214</v>
      </c>
      <c r="B1215" s="1" t="s">
        <v>99</v>
      </c>
      <c r="C1215" t="s">
        <v>150</v>
      </c>
      <c r="D1215">
        <v>29</v>
      </c>
      <c r="E1215" t="s">
        <v>155</v>
      </c>
    </row>
    <row r="1216" spans="1:5" x14ac:dyDescent="0.3">
      <c r="A1216">
        <v>1215</v>
      </c>
      <c r="B1216" s="1" t="s">
        <v>98</v>
      </c>
      <c r="C1216" t="s">
        <v>150</v>
      </c>
      <c r="D1216">
        <v>33</v>
      </c>
      <c r="E1216" t="s">
        <v>155</v>
      </c>
    </row>
    <row r="1217" spans="1:5" x14ac:dyDescent="0.3">
      <c r="A1217">
        <v>1216</v>
      </c>
      <c r="B1217" s="1" t="s">
        <v>100</v>
      </c>
      <c r="C1217" t="s">
        <v>150</v>
      </c>
      <c r="D1217">
        <v>63</v>
      </c>
      <c r="E1217" t="s">
        <v>155</v>
      </c>
    </row>
    <row r="1218" spans="1:5" x14ac:dyDescent="0.3">
      <c r="A1218">
        <v>1217</v>
      </c>
      <c r="B1218" s="1" t="s">
        <v>98</v>
      </c>
      <c r="C1218" t="s">
        <v>151</v>
      </c>
      <c r="D1218">
        <v>68</v>
      </c>
      <c r="E1218" t="s">
        <v>155</v>
      </c>
    </row>
    <row r="1219" spans="1:5" x14ac:dyDescent="0.3">
      <c r="A1219">
        <v>1218</v>
      </c>
      <c r="B1219" s="1" t="s">
        <v>98</v>
      </c>
      <c r="C1219" t="s">
        <v>150</v>
      </c>
      <c r="D1219">
        <v>68</v>
      </c>
      <c r="E1219" t="s">
        <v>155</v>
      </c>
    </row>
    <row r="1220" spans="1:5" x14ac:dyDescent="0.3">
      <c r="A1220">
        <v>1219</v>
      </c>
      <c r="B1220" s="1" t="s">
        <v>98</v>
      </c>
      <c r="C1220" t="s">
        <v>150</v>
      </c>
      <c r="D1220">
        <v>19</v>
      </c>
      <c r="E1220" t="s">
        <v>155</v>
      </c>
    </row>
    <row r="1221" spans="1:5" x14ac:dyDescent="0.3">
      <c r="A1221">
        <v>1220</v>
      </c>
      <c r="B1221" s="1" t="s">
        <v>98</v>
      </c>
      <c r="C1221" t="s">
        <v>150</v>
      </c>
      <c r="D1221">
        <v>58</v>
      </c>
      <c r="E1221" t="s">
        <v>155</v>
      </c>
    </row>
    <row r="1222" spans="1:5" x14ac:dyDescent="0.3">
      <c r="A1222">
        <v>1221</v>
      </c>
      <c r="B1222" s="1" t="s">
        <v>107</v>
      </c>
      <c r="C1222" t="s">
        <v>150</v>
      </c>
      <c r="D1222">
        <v>54</v>
      </c>
      <c r="E1222" t="s">
        <v>155</v>
      </c>
    </row>
    <row r="1223" spans="1:5" x14ac:dyDescent="0.3">
      <c r="A1223">
        <v>1222</v>
      </c>
      <c r="B1223" s="1" t="s">
        <v>104</v>
      </c>
      <c r="C1223" t="s">
        <v>151</v>
      </c>
      <c r="D1223">
        <v>58</v>
      </c>
      <c r="E1223" t="s">
        <v>155</v>
      </c>
    </row>
    <row r="1224" spans="1:5" x14ac:dyDescent="0.3">
      <c r="A1224">
        <v>1223</v>
      </c>
      <c r="B1224" s="1" t="s">
        <v>98</v>
      </c>
      <c r="C1224" t="s">
        <v>150</v>
      </c>
      <c r="D1224">
        <v>63</v>
      </c>
      <c r="E1224" t="s">
        <v>155</v>
      </c>
    </row>
    <row r="1225" spans="1:5" x14ac:dyDescent="0.3">
      <c r="A1225">
        <v>1224</v>
      </c>
      <c r="B1225" s="1" t="s">
        <v>99</v>
      </c>
      <c r="C1225" t="s">
        <v>151</v>
      </c>
      <c r="D1225">
        <v>71</v>
      </c>
      <c r="E1225" t="s">
        <v>155</v>
      </c>
    </row>
    <row r="1226" spans="1:5" x14ac:dyDescent="0.3">
      <c r="A1226">
        <v>1225</v>
      </c>
      <c r="B1226" s="1" t="s">
        <v>104</v>
      </c>
      <c r="C1226" t="s">
        <v>150</v>
      </c>
      <c r="D1226">
        <v>84</v>
      </c>
      <c r="E1226" t="s">
        <v>155</v>
      </c>
    </row>
    <row r="1227" spans="1:5" x14ac:dyDescent="0.3">
      <c r="A1227">
        <v>1226</v>
      </c>
      <c r="B1227" s="1" t="s">
        <v>102</v>
      </c>
      <c r="C1227" t="s">
        <v>150</v>
      </c>
      <c r="D1227">
        <v>55</v>
      </c>
      <c r="E1227" t="s">
        <v>155</v>
      </c>
    </row>
    <row r="1228" spans="1:5" x14ac:dyDescent="0.3">
      <c r="A1228">
        <v>1227</v>
      </c>
      <c r="B1228" s="1" t="s">
        <v>98</v>
      </c>
      <c r="C1228" t="s">
        <v>151</v>
      </c>
      <c r="D1228">
        <v>40</v>
      </c>
      <c r="E1228" t="s">
        <v>155</v>
      </c>
    </row>
    <row r="1229" spans="1:5" x14ac:dyDescent="0.3">
      <c r="A1229">
        <v>1228</v>
      </c>
      <c r="B1229" s="1" t="s">
        <v>98</v>
      </c>
      <c r="C1229" t="s">
        <v>150</v>
      </c>
      <c r="D1229">
        <v>87</v>
      </c>
      <c r="E1229" t="s">
        <v>155</v>
      </c>
    </row>
    <row r="1230" spans="1:5" x14ac:dyDescent="0.3">
      <c r="A1230">
        <v>1229</v>
      </c>
      <c r="B1230" s="1" t="s">
        <v>100</v>
      </c>
      <c r="C1230" t="s">
        <v>151</v>
      </c>
      <c r="D1230">
        <v>67</v>
      </c>
      <c r="E1230" t="s">
        <v>155</v>
      </c>
    </row>
    <row r="1231" spans="1:5" x14ac:dyDescent="0.3">
      <c r="A1231">
        <v>1230</v>
      </c>
      <c r="B1231" s="1" t="s">
        <v>104</v>
      </c>
      <c r="C1231" t="s">
        <v>151</v>
      </c>
      <c r="D1231">
        <v>80</v>
      </c>
      <c r="E1231" t="s">
        <v>155</v>
      </c>
    </row>
    <row r="1232" spans="1:5" x14ac:dyDescent="0.3">
      <c r="A1232">
        <v>1231</v>
      </c>
      <c r="B1232" s="1" t="s">
        <v>103</v>
      </c>
      <c r="C1232" t="s">
        <v>150</v>
      </c>
      <c r="D1232">
        <v>83</v>
      </c>
      <c r="E1232" t="s">
        <v>155</v>
      </c>
    </row>
    <row r="1233" spans="1:5" x14ac:dyDescent="0.3">
      <c r="A1233">
        <v>1232</v>
      </c>
      <c r="B1233" s="1" t="s">
        <v>104</v>
      </c>
      <c r="C1233" t="s">
        <v>150</v>
      </c>
      <c r="D1233">
        <v>31</v>
      </c>
      <c r="E1233" t="s">
        <v>155</v>
      </c>
    </row>
    <row r="1234" spans="1:5" x14ac:dyDescent="0.3">
      <c r="A1234">
        <v>1233</v>
      </c>
      <c r="B1234" s="1" t="s">
        <v>110</v>
      </c>
      <c r="C1234" t="s">
        <v>151</v>
      </c>
      <c r="D1234">
        <v>47</v>
      </c>
      <c r="E1234" t="s">
        <v>155</v>
      </c>
    </row>
    <row r="1235" spans="1:5" x14ac:dyDescent="0.3">
      <c r="A1235">
        <v>1234</v>
      </c>
      <c r="B1235" s="1" t="s">
        <v>98</v>
      </c>
      <c r="C1235" t="s">
        <v>150</v>
      </c>
      <c r="D1235">
        <v>89</v>
      </c>
      <c r="E1235" t="s">
        <v>155</v>
      </c>
    </row>
    <row r="1236" spans="1:5" x14ac:dyDescent="0.3">
      <c r="A1236">
        <v>1235</v>
      </c>
      <c r="B1236" s="1" t="s">
        <v>105</v>
      </c>
      <c r="C1236" t="s">
        <v>150</v>
      </c>
      <c r="D1236">
        <v>69</v>
      </c>
      <c r="E1236" t="s">
        <v>155</v>
      </c>
    </row>
    <row r="1237" spans="1:5" x14ac:dyDescent="0.3">
      <c r="A1237">
        <v>1236</v>
      </c>
      <c r="B1237" s="1" t="s">
        <v>98</v>
      </c>
      <c r="C1237" t="s">
        <v>150</v>
      </c>
      <c r="D1237">
        <v>47</v>
      </c>
      <c r="E1237" t="s">
        <v>155</v>
      </c>
    </row>
    <row r="1238" spans="1:5" x14ac:dyDescent="0.3">
      <c r="A1238">
        <v>1237</v>
      </c>
      <c r="B1238" s="1" t="s">
        <v>98</v>
      </c>
      <c r="C1238" t="s">
        <v>151</v>
      </c>
      <c r="D1238">
        <v>87</v>
      </c>
      <c r="E1238" t="s">
        <v>155</v>
      </c>
    </row>
    <row r="1239" spans="1:5" x14ac:dyDescent="0.3">
      <c r="A1239">
        <v>1238</v>
      </c>
      <c r="B1239" s="1" t="s">
        <v>98</v>
      </c>
      <c r="C1239" t="s">
        <v>151</v>
      </c>
      <c r="D1239">
        <v>65</v>
      </c>
      <c r="E1239" t="s">
        <v>155</v>
      </c>
    </row>
    <row r="1240" spans="1:5" x14ac:dyDescent="0.3">
      <c r="A1240">
        <v>1239</v>
      </c>
      <c r="B1240" s="1" t="s">
        <v>104</v>
      </c>
      <c r="C1240" t="s">
        <v>151</v>
      </c>
      <c r="D1240">
        <v>86</v>
      </c>
      <c r="E1240" t="s">
        <v>155</v>
      </c>
    </row>
    <row r="1241" spans="1:5" x14ac:dyDescent="0.3">
      <c r="A1241">
        <v>1240</v>
      </c>
      <c r="B1241" s="1" t="s">
        <v>108</v>
      </c>
      <c r="C1241" t="s">
        <v>150</v>
      </c>
      <c r="D1241">
        <v>24</v>
      </c>
      <c r="E1241" t="s">
        <v>155</v>
      </c>
    </row>
    <row r="1242" spans="1:5" x14ac:dyDescent="0.3">
      <c r="A1242">
        <v>1241</v>
      </c>
      <c r="B1242" s="1" t="s">
        <v>103</v>
      </c>
      <c r="C1242" t="s">
        <v>151</v>
      </c>
      <c r="D1242">
        <v>34</v>
      </c>
      <c r="E1242" t="s">
        <v>155</v>
      </c>
    </row>
    <row r="1243" spans="1:5" x14ac:dyDescent="0.3">
      <c r="A1243">
        <v>1242</v>
      </c>
      <c r="B1243" s="1" t="s">
        <v>104</v>
      </c>
      <c r="C1243" t="s">
        <v>151</v>
      </c>
      <c r="D1243">
        <v>55</v>
      </c>
      <c r="E1243" t="s">
        <v>155</v>
      </c>
    </row>
    <row r="1244" spans="1:5" x14ac:dyDescent="0.3">
      <c r="A1244">
        <v>1243</v>
      </c>
      <c r="B1244" s="1" t="s">
        <v>104</v>
      </c>
      <c r="C1244" t="s">
        <v>150</v>
      </c>
      <c r="D1244">
        <v>24</v>
      </c>
      <c r="E1244" t="s">
        <v>155</v>
      </c>
    </row>
    <row r="1245" spans="1:5" x14ac:dyDescent="0.3">
      <c r="A1245">
        <v>1244</v>
      </c>
      <c r="B1245" s="1" t="s">
        <v>104</v>
      </c>
      <c r="C1245" t="s">
        <v>151</v>
      </c>
      <c r="D1245">
        <v>20</v>
      </c>
      <c r="E1245" t="s">
        <v>155</v>
      </c>
    </row>
    <row r="1246" spans="1:5" x14ac:dyDescent="0.3">
      <c r="A1246">
        <v>1245</v>
      </c>
      <c r="B1246" s="1" t="s">
        <v>104</v>
      </c>
      <c r="C1246" t="s">
        <v>151</v>
      </c>
      <c r="D1246">
        <v>62</v>
      </c>
      <c r="E1246" t="s">
        <v>155</v>
      </c>
    </row>
    <row r="1247" spans="1:5" x14ac:dyDescent="0.3">
      <c r="A1247">
        <v>1246</v>
      </c>
      <c r="B1247" s="1" t="s">
        <v>99</v>
      </c>
      <c r="C1247" t="s">
        <v>150</v>
      </c>
      <c r="D1247">
        <v>85</v>
      </c>
      <c r="E1247" t="s">
        <v>155</v>
      </c>
    </row>
    <row r="1248" spans="1:5" x14ac:dyDescent="0.3">
      <c r="A1248">
        <v>1247</v>
      </c>
      <c r="B1248" s="1" t="s">
        <v>98</v>
      </c>
      <c r="C1248" t="s">
        <v>151</v>
      </c>
      <c r="D1248">
        <v>24</v>
      </c>
      <c r="E1248" t="s">
        <v>155</v>
      </c>
    </row>
    <row r="1249" spans="1:5" x14ac:dyDescent="0.3">
      <c r="A1249">
        <v>1248</v>
      </c>
      <c r="B1249" s="1" t="s">
        <v>98</v>
      </c>
      <c r="C1249" t="s">
        <v>150</v>
      </c>
      <c r="D1249">
        <v>87</v>
      </c>
      <c r="E1249" t="s">
        <v>155</v>
      </c>
    </row>
    <row r="1250" spans="1:5" x14ac:dyDescent="0.3">
      <c r="A1250">
        <v>1249</v>
      </c>
      <c r="B1250" s="1" t="s">
        <v>98</v>
      </c>
      <c r="C1250" t="s">
        <v>151</v>
      </c>
      <c r="D1250">
        <v>76</v>
      </c>
      <c r="E1250" t="s">
        <v>155</v>
      </c>
    </row>
    <row r="1251" spans="1:5" x14ac:dyDescent="0.3">
      <c r="A1251">
        <v>1250</v>
      </c>
      <c r="B1251" s="1" t="s">
        <v>98</v>
      </c>
      <c r="C1251" t="s">
        <v>150</v>
      </c>
      <c r="D1251">
        <v>57</v>
      </c>
      <c r="E1251" t="s">
        <v>155</v>
      </c>
    </row>
    <row r="1252" spans="1:5" x14ac:dyDescent="0.3">
      <c r="A1252">
        <v>1251</v>
      </c>
      <c r="B1252" s="1" t="s">
        <v>98</v>
      </c>
      <c r="C1252" t="s">
        <v>150</v>
      </c>
      <c r="D1252">
        <v>31</v>
      </c>
      <c r="E1252" t="s">
        <v>155</v>
      </c>
    </row>
    <row r="1253" spans="1:5" x14ac:dyDescent="0.3">
      <c r="A1253">
        <v>1252</v>
      </c>
      <c r="B1253" s="1" t="s">
        <v>98</v>
      </c>
      <c r="C1253" t="s">
        <v>151</v>
      </c>
      <c r="D1253">
        <v>66</v>
      </c>
      <c r="E1253" t="s">
        <v>155</v>
      </c>
    </row>
    <row r="1254" spans="1:5" x14ac:dyDescent="0.3">
      <c r="A1254">
        <v>1253</v>
      </c>
      <c r="B1254" s="1" t="s">
        <v>98</v>
      </c>
      <c r="C1254" t="s">
        <v>151</v>
      </c>
      <c r="D1254">
        <v>79</v>
      </c>
      <c r="E1254" t="s">
        <v>155</v>
      </c>
    </row>
    <row r="1255" spans="1:5" x14ac:dyDescent="0.3">
      <c r="A1255">
        <v>1254</v>
      </c>
      <c r="B1255" s="1" t="s">
        <v>99</v>
      </c>
      <c r="C1255" t="s">
        <v>150</v>
      </c>
      <c r="D1255">
        <v>71</v>
      </c>
      <c r="E1255" t="s">
        <v>155</v>
      </c>
    </row>
    <row r="1256" spans="1:5" x14ac:dyDescent="0.3">
      <c r="A1256">
        <v>1255</v>
      </c>
      <c r="B1256" s="1" t="s">
        <v>104</v>
      </c>
      <c r="C1256" t="s">
        <v>150</v>
      </c>
      <c r="D1256">
        <v>77</v>
      </c>
      <c r="E1256" t="s">
        <v>155</v>
      </c>
    </row>
    <row r="1257" spans="1:5" x14ac:dyDescent="0.3">
      <c r="A1257">
        <v>1256</v>
      </c>
      <c r="B1257" s="1" t="s">
        <v>104</v>
      </c>
      <c r="C1257" t="s">
        <v>150</v>
      </c>
      <c r="D1257">
        <v>29</v>
      </c>
      <c r="E1257" t="s">
        <v>155</v>
      </c>
    </row>
    <row r="1258" spans="1:5" x14ac:dyDescent="0.3">
      <c r="A1258">
        <v>1257</v>
      </c>
      <c r="B1258" s="1" t="s">
        <v>98</v>
      </c>
      <c r="C1258" t="s">
        <v>150</v>
      </c>
      <c r="D1258">
        <v>69</v>
      </c>
      <c r="E1258" t="s">
        <v>155</v>
      </c>
    </row>
    <row r="1259" spans="1:5" x14ac:dyDescent="0.3">
      <c r="A1259">
        <v>1258</v>
      </c>
      <c r="B1259" s="1" t="s">
        <v>98</v>
      </c>
      <c r="C1259" t="s">
        <v>150</v>
      </c>
      <c r="D1259">
        <v>87</v>
      </c>
      <c r="E1259" t="s">
        <v>155</v>
      </c>
    </row>
    <row r="1260" spans="1:5" x14ac:dyDescent="0.3">
      <c r="A1260">
        <v>1259</v>
      </c>
      <c r="B1260" s="1" t="s">
        <v>98</v>
      </c>
      <c r="C1260" t="s">
        <v>150</v>
      </c>
      <c r="D1260">
        <v>45</v>
      </c>
      <c r="E1260" t="s">
        <v>155</v>
      </c>
    </row>
    <row r="1261" spans="1:5" x14ac:dyDescent="0.3">
      <c r="A1261">
        <v>1260</v>
      </c>
      <c r="B1261" s="1" t="s">
        <v>99</v>
      </c>
      <c r="C1261" t="s">
        <v>150</v>
      </c>
      <c r="D1261" s="15">
        <v>67</v>
      </c>
      <c r="E1261" t="s">
        <v>155</v>
      </c>
    </row>
    <row r="1262" spans="1:5" x14ac:dyDescent="0.3">
      <c r="A1262">
        <v>1261</v>
      </c>
      <c r="B1262" s="1" t="s">
        <v>98</v>
      </c>
      <c r="C1262" t="s">
        <v>150</v>
      </c>
      <c r="D1262">
        <v>49</v>
      </c>
      <c r="E1262" t="s">
        <v>155</v>
      </c>
    </row>
    <row r="1263" spans="1:5" x14ac:dyDescent="0.3">
      <c r="A1263">
        <v>1262</v>
      </c>
      <c r="B1263" s="1" t="s">
        <v>98</v>
      </c>
      <c r="C1263" t="s">
        <v>150</v>
      </c>
      <c r="D1263">
        <v>41</v>
      </c>
      <c r="E1263" t="s">
        <v>155</v>
      </c>
    </row>
    <row r="1264" spans="1:5" x14ac:dyDescent="0.3">
      <c r="A1264">
        <v>1263</v>
      </c>
      <c r="B1264" s="1" t="s">
        <v>98</v>
      </c>
      <c r="C1264" t="s">
        <v>151</v>
      </c>
      <c r="D1264">
        <v>78</v>
      </c>
      <c r="E1264" t="s">
        <v>155</v>
      </c>
    </row>
    <row r="1265" spans="1:5" x14ac:dyDescent="0.3">
      <c r="A1265">
        <v>1264</v>
      </c>
      <c r="B1265" s="1" t="s">
        <v>106</v>
      </c>
      <c r="C1265" t="s">
        <v>151</v>
      </c>
      <c r="D1265">
        <v>47</v>
      </c>
      <c r="E1265" t="s">
        <v>155</v>
      </c>
    </row>
    <row r="1266" spans="1:5" x14ac:dyDescent="0.3">
      <c r="A1266">
        <v>1265</v>
      </c>
      <c r="B1266" s="1" t="s">
        <v>98</v>
      </c>
      <c r="C1266" t="s">
        <v>150</v>
      </c>
      <c r="D1266">
        <v>72</v>
      </c>
      <c r="E1266" t="s">
        <v>155</v>
      </c>
    </row>
    <row r="1267" spans="1:5" x14ac:dyDescent="0.3">
      <c r="A1267">
        <v>1266</v>
      </c>
      <c r="B1267" s="1" t="s">
        <v>98</v>
      </c>
      <c r="C1267" t="s">
        <v>150</v>
      </c>
      <c r="D1267">
        <v>42</v>
      </c>
      <c r="E1267" t="s">
        <v>155</v>
      </c>
    </row>
    <row r="1268" spans="1:5" x14ac:dyDescent="0.3">
      <c r="A1268">
        <v>1267</v>
      </c>
      <c r="B1268" s="1" t="s">
        <v>106</v>
      </c>
      <c r="C1268" t="s">
        <v>150</v>
      </c>
      <c r="D1268">
        <v>62</v>
      </c>
      <c r="E1268" t="s">
        <v>155</v>
      </c>
    </row>
    <row r="1269" spans="1:5" x14ac:dyDescent="0.3">
      <c r="A1269">
        <v>1268</v>
      </c>
      <c r="B1269" s="1" t="s">
        <v>98</v>
      </c>
      <c r="C1269" t="s">
        <v>150</v>
      </c>
      <c r="D1269">
        <v>48</v>
      </c>
      <c r="E1269" t="s">
        <v>155</v>
      </c>
    </row>
    <row r="1270" spans="1:5" x14ac:dyDescent="0.3">
      <c r="A1270">
        <v>1269</v>
      </c>
      <c r="B1270" s="1" t="s">
        <v>109</v>
      </c>
      <c r="C1270" t="s">
        <v>150</v>
      </c>
      <c r="D1270">
        <v>48</v>
      </c>
      <c r="E1270" t="s">
        <v>155</v>
      </c>
    </row>
    <row r="1271" spans="1:5" x14ac:dyDescent="0.3">
      <c r="A1271">
        <v>1270</v>
      </c>
      <c r="B1271" s="1" t="s">
        <v>98</v>
      </c>
      <c r="C1271" t="s">
        <v>150</v>
      </c>
      <c r="D1271">
        <v>48</v>
      </c>
      <c r="E1271" t="s">
        <v>155</v>
      </c>
    </row>
    <row r="1272" spans="1:5" x14ac:dyDescent="0.3">
      <c r="A1272">
        <v>1271</v>
      </c>
      <c r="B1272" s="1" t="s">
        <v>99</v>
      </c>
      <c r="C1272" t="s">
        <v>151</v>
      </c>
      <c r="D1272">
        <v>43</v>
      </c>
      <c r="E1272" t="s">
        <v>155</v>
      </c>
    </row>
    <row r="1273" spans="1:5" x14ac:dyDescent="0.3">
      <c r="A1273">
        <v>1272</v>
      </c>
      <c r="B1273" s="1" t="s">
        <v>100</v>
      </c>
      <c r="C1273" t="s">
        <v>151</v>
      </c>
      <c r="D1273">
        <v>39</v>
      </c>
      <c r="E1273" t="s">
        <v>155</v>
      </c>
    </row>
    <row r="1274" spans="1:5" x14ac:dyDescent="0.3">
      <c r="A1274">
        <v>1273</v>
      </c>
      <c r="B1274" s="1" t="s">
        <v>104</v>
      </c>
      <c r="C1274" t="s">
        <v>151</v>
      </c>
      <c r="D1274">
        <v>18</v>
      </c>
      <c r="E1274" t="s">
        <v>155</v>
      </c>
    </row>
    <row r="1275" spans="1:5" x14ac:dyDescent="0.3">
      <c r="A1275">
        <v>1274</v>
      </c>
      <c r="B1275" s="1" t="s">
        <v>98</v>
      </c>
      <c r="C1275" t="s">
        <v>151</v>
      </c>
      <c r="D1275">
        <v>78</v>
      </c>
      <c r="E1275" t="s">
        <v>155</v>
      </c>
    </row>
    <row r="1276" spans="1:5" x14ac:dyDescent="0.3">
      <c r="A1276">
        <v>1275</v>
      </c>
      <c r="B1276" s="1" t="s">
        <v>105</v>
      </c>
      <c r="C1276" t="s">
        <v>151</v>
      </c>
      <c r="D1276">
        <v>88</v>
      </c>
      <c r="E1276" t="s">
        <v>155</v>
      </c>
    </row>
    <row r="1277" spans="1:5" x14ac:dyDescent="0.3">
      <c r="A1277">
        <v>1276</v>
      </c>
      <c r="B1277" s="1" t="s">
        <v>99</v>
      </c>
      <c r="C1277" t="s">
        <v>150</v>
      </c>
      <c r="D1277">
        <v>88</v>
      </c>
      <c r="E1277" t="s">
        <v>155</v>
      </c>
    </row>
    <row r="1278" spans="1:5" x14ac:dyDescent="0.3">
      <c r="A1278">
        <v>1277</v>
      </c>
      <c r="B1278" s="1" t="s">
        <v>109</v>
      </c>
      <c r="C1278" t="s">
        <v>151</v>
      </c>
      <c r="D1278">
        <v>73</v>
      </c>
      <c r="E1278" t="s">
        <v>155</v>
      </c>
    </row>
    <row r="1279" spans="1:5" x14ac:dyDescent="0.3">
      <c r="A1279">
        <v>1278</v>
      </c>
      <c r="B1279" s="1" t="s">
        <v>98</v>
      </c>
      <c r="C1279" t="s">
        <v>151</v>
      </c>
      <c r="D1279">
        <v>69</v>
      </c>
      <c r="E1279" t="s">
        <v>155</v>
      </c>
    </row>
    <row r="1280" spans="1:5" x14ac:dyDescent="0.3">
      <c r="A1280">
        <v>1279</v>
      </c>
      <c r="B1280" s="1" t="s">
        <v>98</v>
      </c>
      <c r="C1280" t="s">
        <v>151</v>
      </c>
      <c r="D1280">
        <v>52</v>
      </c>
      <c r="E1280" t="s">
        <v>155</v>
      </c>
    </row>
    <row r="1281" spans="1:5" x14ac:dyDescent="0.3">
      <c r="A1281">
        <v>1280</v>
      </c>
      <c r="B1281" s="1" t="s">
        <v>98</v>
      </c>
      <c r="C1281" t="s">
        <v>150</v>
      </c>
      <c r="D1281">
        <v>69</v>
      </c>
      <c r="E1281" t="s">
        <v>155</v>
      </c>
    </row>
    <row r="1282" spans="1:5" x14ac:dyDescent="0.3">
      <c r="A1282">
        <v>1281</v>
      </c>
      <c r="B1282" s="1" t="s">
        <v>104</v>
      </c>
      <c r="C1282" t="s">
        <v>151</v>
      </c>
      <c r="D1282">
        <v>61</v>
      </c>
      <c r="E1282" t="s">
        <v>155</v>
      </c>
    </row>
    <row r="1283" spans="1:5" x14ac:dyDescent="0.3">
      <c r="A1283">
        <v>1282</v>
      </c>
      <c r="B1283" s="1" t="s">
        <v>99</v>
      </c>
      <c r="C1283" t="s">
        <v>150</v>
      </c>
      <c r="D1283">
        <v>35</v>
      </c>
      <c r="E1283" t="s">
        <v>155</v>
      </c>
    </row>
    <row r="1284" spans="1:5" x14ac:dyDescent="0.3">
      <c r="A1284">
        <v>1283</v>
      </c>
      <c r="B1284" s="1" t="s">
        <v>98</v>
      </c>
      <c r="C1284" t="s">
        <v>150</v>
      </c>
      <c r="D1284">
        <v>30</v>
      </c>
      <c r="E1284" t="s">
        <v>155</v>
      </c>
    </row>
    <row r="1285" spans="1:5" x14ac:dyDescent="0.3">
      <c r="A1285">
        <v>1284</v>
      </c>
      <c r="B1285" s="1" t="s">
        <v>104</v>
      </c>
      <c r="C1285" t="s">
        <v>150</v>
      </c>
      <c r="D1285">
        <v>73</v>
      </c>
      <c r="E1285" t="s">
        <v>155</v>
      </c>
    </row>
    <row r="1286" spans="1:5" x14ac:dyDescent="0.3">
      <c r="A1286">
        <v>1285</v>
      </c>
      <c r="B1286" s="1" t="s">
        <v>104</v>
      </c>
      <c r="C1286" t="s">
        <v>151</v>
      </c>
      <c r="D1286">
        <v>56</v>
      </c>
      <c r="E1286" t="s">
        <v>155</v>
      </c>
    </row>
    <row r="1287" spans="1:5" x14ac:dyDescent="0.3">
      <c r="A1287">
        <v>1286</v>
      </c>
      <c r="B1287" s="1" t="s">
        <v>98</v>
      </c>
      <c r="C1287" t="s">
        <v>150</v>
      </c>
      <c r="D1287">
        <v>61</v>
      </c>
      <c r="E1287" t="s">
        <v>155</v>
      </c>
    </row>
    <row r="1288" spans="1:5" x14ac:dyDescent="0.3">
      <c r="A1288">
        <v>1287</v>
      </c>
      <c r="B1288" s="1" t="s">
        <v>98</v>
      </c>
      <c r="C1288" t="s">
        <v>150</v>
      </c>
      <c r="D1288">
        <v>55</v>
      </c>
      <c r="E1288" t="s">
        <v>155</v>
      </c>
    </row>
    <row r="1289" spans="1:5" x14ac:dyDescent="0.3">
      <c r="A1289">
        <v>1288</v>
      </c>
      <c r="B1289" s="1" t="s">
        <v>98</v>
      </c>
      <c r="C1289" t="s">
        <v>150</v>
      </c>
      <c r="D1289">
        <v>39</v>
      </c>
      <c r="E1289" t="s">
        <v>155</v>
      </c>
    </row>
    <row r="1290" spans="1:5" x14ac:dyDescent="0.3">
      <c r="A1290">
        <v>1289</v>
      </c>
      <c r="B1290" s="1" t="s">
        <v>98</v>
      </c>
      <c r="C1290" t="s">
        <v>151</v>
      </c>
      <c r="D1290">
        <v>30</v>
      </c>
      <c r="E1290" t="s">
        <v>155</v>
      </c>
    </row>
    <row r="1291" spans="1:5" x14ac:dyDescent="0.3">
      <c r="A1291">
        <v>1290</v>
      </c>
      <c r="B1291" s="1" t="s">
        <v>98</v>
      </c>
      <c r="C1291" t="s">
        <v>150</v>
      </c>
      <c r="D1291">
        <v>31</v>
      </c>
      <c r="E1291" t="s">
        <v>155</v>
      </c>
    </row>
    <row r="1292" spans="1:5" x14ac:dyDescent="0.3">
      <c r="A1292">
        <v>1291</v>
      </c>
      <c r="B1292" s="1" t="s">
        <v>98</v>
      </c>
      <c r="C1292" t="s">
        <v>151</v>
      </c>
      <c r="D1292">
        <v>72</v>
      </c>
      <c r="E1292" t="s">
        <v>155</v>
      </c>
    </row>
    <row r="1293" spans="1:5" x14ac:dyDescent="0.3">
      <c r="A1293">
        <v>1292</v>
      </c>
      <c r="B1293" s="1" t="s">
        <v>98</v>
      </c>
      <c r="C1293" t="s">
        <v>151</v>
      </c>
      <c r="D1293">
        <v>38</v>
      </c>
      <c r="E1293" t="s">
        <v>155</v>
      </c>
    </row>
    <row r="1294" spans="1:5" x14ac:dyDescent="0.3">
      <c r="A1294">
        <v>1293</v>
      </c>
      <c r="B1294" s="1" t="s">
        <v>98</v>
      </c>
      <c r="C1294" t="s">
        <v>150</v>
      </c>
      <c r="D1294">
        <v>38</v>
      </c>
      <c r="E1294" t="s">
        <v>155</v>
      </c>
    </row>
    <row r="1295" spans="1:5" x14ac:dyDescent="0.3">
      <c r="A1295">
        <v>1294</v>
      </c>
      <c r="B1295" s="1" t="s">
        <v>99</v>
      </c>
      <c r="C1295" t="s">
        <v>151</v>
      </c>
      <c r="D1295">
        <v>54</v>
      </c>
      <c r="E1295" t="s">
        <v>155</v>
      </c>
    </row>
    <row r="1296" spans="1:5" x14ac:dyDescent="0.3">
      <c r="A1296">
        <v>1295</v>
      </c>
      <c r="B1296" s="1" t="s">
        <v>101</v>
      </c>
      <c r="C1296" t="s">
        <v>151</v>
      </c>
      <c r="D1296">
        <v>86</v>
      </c>
      <c r="E1296" t="s">
        <v>155</v>
      </c>
    </row>
    <row r="1297" spans="1:5" x14ac:dyDescent="0.3">
      <c r="A1297">
        <v>1296</v>
      </c>
      <c r="B1297" s="1" t="s">
        <v>104</v>
      </c>
      <c r="C1297" t="s">
        <v>150</v>
      </c>
      <c r="D1297">
        <v>20</v>
      </c>
      <c r="E1297" t="s">
        <v>155</v>
      </c>
    </row>
    <row r="1298" spans="1:5" x14ac:dyDescent="0.3">
      <c r="A1298">
        <v>1297</v>
      </c>
      <c r="B1298" s="1" t="s">
        <v>98</v>
      </c>
      <c r="C1298" t="s">
        <v>151</v>
      </c>
      <c r="D1298">
        <v>86</v>
      </c>
      <c r="E1298" t="s">
        <v>155</v>
      </c>
    </row>
    <row r="1299" spans="1:5" x14ac:dyDescent="0.3">
      <c r="A1299">
        <v>1298</v>
      </c>
      <c r="B1299" s="1" t="s">
        <v>100</v>
      </c>
      <c r="C1299" t="s">
        <v>150</v>
      </c>
      <c r="D1299">
        <v>31</v>
      </c>
      <c r="E1299" t="s">
        <v>155</v>
      </c>
    </row>
    <row r="1300" spans="1:5" x14ac:dyDescent="0.3">
      <c r="A1300">
        <v>1299</v>
      </c>
      <c r="B1300" s="1" t="s">
        <v>98</v>
      </c>
      <c r="C1300" t="s">
        <v>150</v>
      </c>
      <c r="D1300">
        <v>44</v>
      </c>
      <c r="E1300" t="s">
        <v>155</v>
      </c>
    </row>
    <row r="1301" spans="1:5" x14ac:dyDescent="0.3">
      <c r="A1301">
        <v>1300</v>
      </c>
      <c r="B1301" s="1" t="s">
        <v>108</v>
      </c>
      <c r="C1301" t="s">
        <v>150</v>
      </c>
      <c r="D1301">
        <v>74</v>
      </c>
      <c r="E1301" t="s">
        <v>155</v>
      </c>
    </row>
    <row r="1302" spans="1:5" x14ac:dyDescent="0.3">
      <c r="A1302">
        <v>1301</v>
      </c>
      <c r="B1302" s="1" t="s">
        <v>104</v>
      </c>
      <c r="C1302" t="s">
        <v>150</v>
      </c>
      <c r="D1302">
        <v>84</v>
      </c>
      <c r="E1302" t="s">
        <v>155</v>
      </c>
    </row>
    <row r="1303" spans="1:5" x14ac:dyDescent="0.3">
      <c r="A1303">
        <v>1302</v>
      </c>
      <c r="B1303" s="1" t="s">
        <v>99</v>
      </c>
      <c r="C1303" t="s">
        <v>151</v>
      </c>
      <c r="D1303">
        <v>28</v>
      </c>
      <c r="E1303" t="s">
        <v>155</v>
      </c>
    </row>
    <row r="1304" spans="1:5" x14ac:dyDescent="0.3">
      <c r="A1304">
        <v>1303</v>
      </c>
      <c r="B1304" s="1" t="s">
        <v>104</v>
      </c>
      <c r="C1304" t="s">
        <v>150</v>
      </c>
      <c r="D1304">
        <v>81</v>
      </c>
      <c r="E1304" t="s">
        <v>155</v>
      </c>
    </row>
    <row r="1305" spans="1:5" x14ac:dyDescent="0.3">
      <c r="A1305">
        <v>1304</v>
      </c>
      <c r="B1305" s="1" t="s">
        <v>106</v>
      </c>
      <c r="C1305" t="s">
        <v>151</v>
      </c>
      <c r="D1305">
        <v>18</v>
      </c>
      <c r="E1305" t="s">
        <v>155</v>
      </c>
    </row>
    <row r="1306" spans="1:5" x14ac:dyDescent="0.3">
      <c r="A1306">
        <v>1305</v>
      </c>
      <c r="B1306" s="1" t="s">
        <v>99</v>
      </c>
      <c r="C1306" t="s">
        <v>150</v>
      </c>
      <c r="D1306">
        <v>58</v>
      </c>
      <c r="E1306" t="s">
        <v>155</v>
      </c>
    </row>
    <row r="1307" spans="1:5" x14ac:dyDescent="0.3">
      <c r="A1307">
        <v>1306</v>
      </c>
      <c r="B1307" s="1" t="s">
        <v>98</v>
      </c>
      <c r="C1307" t="s">
        <v>150</v>
      </c>
      <c r="D1307">
        <v>65</v>
      </c>
      <c r="E1307" t="s">
        <v>155</v>
      </c>
    </row>
    <row r="1308" spans="1:5" x14ac:dyDescent="0.3">
      <c r="A1308">
        <v>1307</v>
      </c>
      <c r="B1308" s="1" t="s">
        <v>99</v>
      </c>
      <c r="C1308" t="s">
        <v>151</v>
      </c>
      <c r="D1308">
        <v>78</v>
      </c>
      <c r="E1308" t="s">
        <v>155</v>
      </c>
    </row>
    <row r="1309" spans="1:5" x14ac:dyDescent="0.3">
      <c r="A1309">
        <v>1308</v>
      </c>
      <c r="B1309" s="1" t="s">
        <v>104</v>
      </c>
      <c r="C1309" t="s">
        <v>151</v>
      </c>
      <c r="D1309">
        <v>56</v>
      </c>
      <c r="E1309" t="s">
        <v>155</v>
      </c>
    </row>
    <row r="1310" spans="1:5" x14ac:dyDescent="0.3">
      <c r="A1310">
        <v>1309</v>
      </c>
      <c r="B1310" s="1" t="s">
        <v>98</v>
      </c>
      <c r="C1310" t="s">
        <v>151</v>
      </c>
      <c r="D1310">
        <v>88</v>
      </c>
      <c r="E1310" t="s">
        <v>155</v>
      </c>
    </row>
    <row r="1311" spans="1:5" x14ac:dyDescent="0.3">
      <c r="A1311">
        <v>1310</v>
      </c>
      <c r="B1311" s="1" t="s">
        <v>104</v>
      </c>
      <c r="C1311" t="s">
        <v>150</v>
      </c>
      <c r="D1311">
        <v>70</v>
      </c>
      <c r="E1311" t="s">
        <v>155</v>
      </c>
    </row>
    <row r="1312" spans="1:5" x14ac:dyDescent="0.3">
      <c r="A1312">
        <v>1311</v>
      </c>
      <c r="B1312" s="1" t="s">
        <v>98</v>
      </c>
      <c r="C1312" t="s">
        <v>150</v>
      </c>
      <c r="D1312">
        <v>20</v>
      </c>
      <c r="E1312" t="s">
        <v>155</v>
      </c>
    </row>
    <row r="1313" spans="1:5" x14ac:dyDescent="0.3">
      <c r="A1313">
        <v>1312</v>
      </c>
      <c r="B1313" s="1" t="s">
        <v>98</v>
      </c>
      <c r="C1313" t="s">
        <v>151</v>
      </c>
      <c r="D1313">
        <v>59</v>
      </c>
      <c r="E1313" t="s">
        <v>155</v>
      </c>
    </row>
    <row r="1314" spans="1:5" x14ac:dyDescent="0.3">
      <c r="A1314">
        <v>1313</v>
      </c>
      <c r="B1314" s="1" t="s">
        <v>98</v>
      </c>
      <c r="C1314" t="s">
        <v>150</v>
      </c>
      <c r="D1314">
        <v>61</v>
      </c>
      <c r="E1314" t="s">
        <v>155</v>
      </c>
    </row>
    <row r="1315" spans="1:5" x14ac:dyDescent="0.3">
      <c r="A1315">
        <v>1314</v>
      </c>
      <c r="B1315" s="1" t="s">
        <v>98</v>
      </c>
      <c r="C1315" t="s">
        <v>151</v>
      </c>
      <c r="D1315">
        <v>86</v>
      </c>
      <c r="E1315" t="s">
        <v>155</v>
      </c>
    </row>
    <row r="1316" spans="1:5" x14ac:dyDescent="0.3">
      <c r="A1316">
        <v>1315</v>
      </c>
      <c r="B1316" s="1" t="s">
        <v>98</v>
      </c>
      <c r="C1316" t="s">
        <v>151</v>
      </c>
      <c r="D1316">
        <v>76</v>
      </c>
      <c r="E1316" t="s">
        <v>155</v>
      </c>
    </row>
    <row r="1317" spans="1:5" x14ac:dyDescent="0.3">
      <c r="A1317">
        <v>1316</v>
      </c>
      <c r="B1317" s="1" t="s">
        <v>100</v>
      </c>
      <c r="C1317" t="s">
        <v>151</v>
      </c>
      <c r="D1317">
        <v>70</v>
      </c>
      <c r="E1317" t="s">
        <v>155</v>
      </c>
    </row>
    <row r="1318" spans="1:5" x14ac:dyDescent="0.3">
      <c r="A1318">
        <v>1317</v>
      </c>
      <c r="B1318" s="1" t="s">
        <v>99</v>
      </c>
      <c r="C1318" t="s">
        <v>150</v>
      </c>
      <c r="D1318">
        <v>54</v>
      </c>
      <c r="E1318" t="s">
        <v>155</v>
      </c>
    </row>
    <row r="1319" spans="1:5" x14ac:dyDescent="0.3">
      <c r="A1319">
        <v>1318</v>
      </c>
      <c r="B1319" s="1" t="s">
        <v>98</v>
      </c>
      <c r="C1319" t="s">
        <v>150</v>
      </c>
      <c r="D1319">
        <v>24</v>
      </c>
      <c r="E1319" t="s">
        <v>155</v>
      </c>
    </row>
    <row r="1320" spans="1:5" x14ac:dyDescent="0.3">
      <c r="A1320">
        <v>1319</v>
      </c>
      <c r="B1320" s="1" t="s">
        <v>98</v>
      </c>
      <c r="C1320" t="s">
        <v>151</v>
      </c>
      <c r="D1320">
        <v>19</v>
      </c>
      <c r="E1320" t="s">
        <v>155</v>
      </c>
    </row>
    <row r="1321" spans="1:5" x14ac:dyDescent="0.3">
      <c r="A1321">
        <v>1320</v>
      </c>
      <c r="B1321" s="1" t="s">
        <v>108</v>
      </c>
      <c r="C1321" t="s">
        <v>150</v>
      </c>
      <c r="D1321">
        <v>71</v>
      </c>
      <c r="E1321" t="s">
        <v>155</v>
      </c>
    </row>
    <row r="1322" spans="1:5" x14ac:dyDescent="0.3">
      <c r="A1322">
        <v>1321</v>
      </c>
      <c r="B1322" s="1" t="s">
        <v>106</v>
      </c>
      <c r="C1322" t="s">
        <v>151</v>
      </c>
      <c r="D1322">
        <v>83</v>
      </c>
      <c r="E1322" t="s">
        <v>155</v>
      </c>
    </row>
    <row r="1323" spans="1:5" x14ac:dyDescent="0.3">
      <c r="A1323">
        <v>1322</v>
      </c>
      <c r="B1323" s="1" t="s">
        <v>98</v>
      </c>
      <c r="C1323" t="s">
        <v>151</v>
      </c>
      <c r="D1323">
        <v>49</v>
      </c>
      <c r="E1323" t="s">
        <v>155</v>
      </c>
    </row>
    <row r="1324" spans="1:5" x14ac:dyDescent="0.3">
      <c r="A1324">
        <v>1323</v>
      </c>
      <c r="B1324" s="1" t="s">
        <v>109</v>
      </c>
      <c r="C1324" t="s">
        <v>151</v>
      </c>
      <c r="D1324">
        <v>81</v>
      </c>
      <c r="E1324" t="s">
        <v>155</v>
      </c>
    </row>
    <row r="1325" spans="1:5" x14ac:dyDescent="0.3">
      <c r="A1325">
        <v>1324</v>
      </c>
      <c r="B1325" s="1" t="s">
        <v>98</v>
      </c>
      <c r="C1325" t="s">
        <v>150</v>
      </c>
      <c r="D1325">
        <v>67</v>
      </c>
      <c r="E1325" t="s">
        <v>155</v>
      </c>
    </row>
    <row r="1326" spans="1:5" x14ac:dyDescent="0.3">
      <c r="A1326">
        <v>1325</v>
      </c>
      <c r="B1326" s="1" t="s">
        <v>104</v>
      </c>
      <c r="C1326" t="s">
        <v>151</v>
      </c>
      <c r="D1326">
        <v>29</v>
      </c>
      <c r="E1326" t="s">
        <v>155</v>
      </c>
    </row>
    <row r="1327" spans="1:5" x14ac:dyDescent="0.3">
      <c r="A1327">
        <v>1326</v>
      </c>
      <c r="B1327" s="1" t="s">
        <v>99</v>
      </c>
      <c r="C1327" t="s">
        <v>150</v>
      </c>
      <c r="D1327">
        <v>84</v>
      </c>
      <c r="E1327" t="s">
        <v>155</v>
      </c>
    </row>
    <row r="1328" spans="1:5" x14ac:dyDescent="0.3">
      <c r="A1328">
        <v>1327</v>
      </c>
      <c r="B1328" s="1" t="s">
        <v>99</v>
      </c>
      <c r="C1328" t="s">
        <v>150</v>
      </c>
      <c r="D1328">
        <v>34</v>
      </c>
      <c r="E1328" t="s">
        <v>155</v>
      </c>
    </row>
    <row r="1329" spans="1:5" x14ac:dyDescent="0.3">
      <c r="A1329">
        <v>1328</v>
      </c>
      <c r="B1329" s="1" t="s">
        <v>98</v>
      </c>
      <c r="C1329" t="s">
        <v>150</v>
      </c>
      <c r="D1329">
        <v>38</v>
      </c>
      <c r="E1329" t="s">
        <v>155</v>
      </c>
    </row>
    <row r="1330" spans="1:5" x14ac:dyDescent="0.3">
      <c r="A1330">
        <v>1329</v>
      </c>
      <c r="B1330" s="1" t="s">
        <v>98</v>
      </c>
      <c r="C1330" t="s">
        <v>150</v>
      </c>
      <c r="D1330">
        <v>62</v>
      </c>
      <c r="E1330" t="s">
        <v>155</v>
      </c>
    </row>
    <row r="1331" spans="1:5" x14ac:dyDescent="0.3">
      <c r="A1331">
        <v>1330</v>
      </c>
      <c r="B1331" s="1" t="s">
        <v>100</v>
      </c>
      <c r="C1331" t="s">
        <v>150</v>
      </c>
      <c r="D1331">
        <v>59</v>
      </c>
      <c r="E1331" t="s">
        <v>155</v>
      </c>
    </row>
    <row r="1332" spans="1:5" x14ac:dyDescent="0.3">
      <c r="A1332">
        <v>1331</v>
      </c>
      <c r="B1332" s="1" t="s">
        <v>98</v>
      </c>
      <c r="C1332" t="s">
        <v>151</v>
      </c>
      <c r="D1332">
        <v>84</v>
      </c>
      <c r="E1332" t="s">
        <v>155</v>
      </c>
    </row>
    <row r="1333" spans="1:5" x14ac:dyDescent="0.3">
      <c r="A1333">
        <v>1332</v>
      </c>
      <c r="B1333" s="1" t="s">
        <v>101</v>
      </c>
      <c r="C1333" t="s">
        <v>150</v>
      </c>
      <c r="D1333">
        <v>49</v>
      </c>
      <c r="E1333" t="s">
        <v>155</v>
      </c>
    </row>
    <row r="1334" spans="1:5" x14ac:dyDescent="0.3">
      <c r="A1334">
        <v>1333</v>
      </c>
      <c r="B1334" s="1" t="s">
        <v>98</v>
      </c>
      <c r="C1334" t="s">
        <v>150</v>
      </c>
      <c r="D1334">
        <v>31</v>
      </c>
      <c r="E1334" t="s">
        <v>155</v>
      </c>
    </row>
    <row r="1335" spans="1:5" x14ac:dyDescent="0.3">
      <c r="A1335">
        <v>1334</v>
      </c>
      <c r="B1335" s="1" t="s">
        <v>98</v>
      </c>
      <c r="C1335" t="s">
        <v>151</v>
      </c>
      <c r="D1335">
        <v>30</v>
      </c>
      <c r="E1335" t="s">
        <v>155</v>
      </c>
    </row>
    <row r="1336" spans="1:5" x14ac:dyDescent="0.3">
      <c r="A1336">
        <v>1335</v>
      </c>
      <c r="B1336" s="1" t="s">
        <v>98</v>
      </c>
      <c r="C1336" t="s">
        <v>151</v>
      </c>
      <c r="D1336">
        <v>70</v>
      </c>
      <c r="E1336" t="s">
        <v>155</v>
      </c>
    </row>
    <row r="1337" spans="1:5" x14ac:dyDescent="0.3">
      <c r="A1337">
        <v>1336</v>
      </c>
      <c r="B1337" s="1" t="s">
        <v>98</v>
      </c>
      <c r="C1337" t="s">
        <v>150</v>
      </c>
      <c r="D1337">
        <v>89</v>
      </c>
      <c r="E1337" t="s">
        <v>155</v>
      </c>
    </row>
    <row r="1338" spans="1:5" x14ac:dyDescent="0.3">
      <c r="A1338">
        <v>1337</v>
      </c>
      <c r="B1338" s="1" t="s">
        <v>104</v>
      </c>
      <c r="C1338" t="s">
        <v>151</v>
      </c>
      <c r="D1338">
        <v>54</v>
      </c>
      <c r="E1338" t="s">
        <v>155</v>
      </c>
    </row>
    <row r="1339" spans="1:5" x14ac:dyDescent="0.3">
      <c r="A1339">
        <v>1338</v>
      </c>
      <c r="B1339" s="1" t="s">
        <v>106</v>
      </c>
      <c r="C1339" t="s">
        <v>150</v>
      </c>
      <c r="D1339">
        <v>37</v>
      </c>
      <c r="E1339" t="s">
        <v>155</v>
      </c>
    </row>
    <row r="1340" spans="1:5" x14ac:dyDescent="0.3">
      <c r="A1340">
        <v>1339</v>
      </c>
      <c r="B1340" s="1" t="s">
        <v>99</v>
      </c>
      <c r="C1340" t="s">
        <v>150</v>
      </c>
      <c r="D1340">
        <v>34</v>
      </c>
      <c r="E1340" t="s">
        <v>155</v>
      </c>
    </row>
    <row r="1341" spans="1:5" x14ac:dyDescent="0.3">
      <c r="A1341">
        <v>1340</v>
      </c>
      <c r="B1341" s="1" t="s">
        <v>106</v>
      </c>
      <c r="C1341" t="s">
        <v>151</v>
      </c>
      <c r="D1341">
        <v>40</v>
      </c>
      <c r="E1341" t="s">
        <v>155</v>
      </c>
    </row>
    <row r="1342" spans="1:5" x14ac:dyDescent="0.3">
      <c r="A1342">
        <v>1341</v>
      </c>
      <c r="B1342" s="1" t="s">
        <v>99</v>
      </c>
      <c r="C1342" t="s">
        <v>151</v>
      </c>
      <c r="D1342">
        <v>56</v>
      </c>
      <c r="E1342" t="s">
        <v>155</v>
      </c>
    </row>
    <row r="1343" spans="1:5" x14ac:dyDescent="0.3">
      <c r="A1343">
        <v>1342</v>
      </c>
      <c r="B1343" s="1" t="s">
        <v>98</v>
      </c>
      <c r="C1343" t="s">
        <v>150</v>
      </c>
      <c r="D1343">
        <v>24</v>
      </c>
      <c r="E1343" t="s">
        <v>155</v>
      </c>
    </row>
    <row r="1344" spans="1:5" x14ac:dyDescent="0.3">
      <c r="A1344">
        <v>1343</v>
      </c>
      <c r="B1344" s="1" t="s">
        <v>98</v>
      </c>
      <c r="C1344" t="s">
        <v>151</v>
      </c>
      <c r="D1344">
        <v>32</v>
      </c>
      <c r="E1344" t="s">
        <v>155</v>
      </c>
    </row>
    <row r="1345" spans="1:5" x14ac:dyDescent="0.3">
      <c r="A1345">
        <v>1344</v>
      </c>
      <c r="B1345" s="1" t="s">
        <v>104</v>
      </c>
      <c r="C1345" t="s">
        <v>150</v>
      </c>
      <c r="D1345">
        <v>40</v>
      </c>
      <c r="E1345" t="s">
        <v>155</v>
      </c>
    </row>
    <row r="1346" spans="1:5" x14ac:dyDescent="0.3">
      <c r="A1346">
        <v>1345</v>
      </c>
      <c r="B1346" s="1" t="s">
        <v>98</v>
      </c>
      <c r="C1346" t="s">
        <v>150</v>
      </c>
      <c r="D1346">
        <v>58</v>
      </c>
      <c r="E1346" t="s">
        <v>155</v>
      </c>
    </row>
    <row r="1347" spans="1:5" x14ac:dyDescent="0.3">
      <c r="A1347">
        <v>1346</v>
      </c>
      <c r="B1347" s="1" t="s">
        <v>98</v>
      </c>
      <c r="C1347" t="s">
        <v>150</v>
      </c>
      <c r="D1347">
        <v>81</v>
      </c>
      <c r="E1347" t="s">
        <v>155</v>
      </c>
    </row>
    <row r="1348" spans="1:5" x14ac:dyDescent="0.3">
      <c r="A1348">
        <v>1347</v>
      </c>
      <c r="B1348" s="1" t="s">
        <v>99</v>
      </c>
      <c r="C1348" t="s">
        <v>150</v>
      </c>
      <c r="D1348">
        <v>55</v>
      </c>
      <c r="E1348" t="s">
        <v>155</v>
      </c>
    </row>
    <row r="1349" spans="1:5" x14ac:dyDescent="0.3">
      <c r="A1349">
        <v>1348</v>
      </c>
      <c r="B1349" s="1" t="s">
        <v>98</v>
      </c>
      <c r="C1349" t="s">
        <v>150</v>
      </c>
      <c r="D1349">
        <v>87</v>
      </c>
      <c r="E1349" t="s">
        <v>155</v>
      </c>
    </row>
    <row r="1350" spans="1:5" x14ac:dyDescent="0.3">
      <c r="A1350">
        <v>1349</v>
      </c>
      <c r="B1350" s="1" t="s">
        <v>100</v>
      </c>
      <c r="C1350" t="s">
        <v>150</v>
      </c>
      <c r="D1350">
        <v>66</v>
      </c>
      <c r="E1350" t="s">
        <v>155</v>
      </c>
    </row>
    <row r="1351" spans="1:5" x14ac:dyDescent="0.3">
      <c r="A1351">
        <v>1350</v>
      </c>
      <c r="B1351" s="1" t="s">
        <v>104</v>
      </c>
      <c r="C1351" t="s">
        <v>150</v>
      </c>
      <c r="D1351">
        <v>51</v>
      </c>
      <c r="E1351" t="s">
        <v>155</v>
      </c>
    </row>
    <row r="1352" spans="1:5" x14ac:dyDescent="0.3">
      <c r="A1352">
        <v>1351</v>
      </c>
      <c r="B1352" s="1" t="s">
        <v>104</v>
      </c>
      <c r="C1352" t="s">
        <v>151</v>
      </c>
      <c r="D1352">
        <v>42</v>
      </c>
      <c r="E1352" t="s">
        <v>155</v>
      </c>
    </row>
    <row r="1353" spans="1:5" x14ac:dyDescent="0.3">
      <c r="A1353">
        <v>1352</v>
      </c>
      <c r="B1353" s="1" t="s">
        <v>98</v>
      </c>
      <c r="C1353" t="s">
        <v>151</v>
      </c>
      <c r="D1353">
        <v>20</v>
      </c>
      <c r="E1353" t="s">
        <v>155</v>
      </c>
    </row>
    <row r="1354" spans="1:5" x14ac:dyDescent="0.3">
      <c r="A1354">
        <v>1353</v>
      </c>
      <c r="B1354" s="1" t="s">
        <v>98</v>
      </c>
      <c r="C1354" t="s">
        <v>150</v>
      </c>
      <c r="D1354">
        <v>27</v>
      </c>
      <c r="E1354" t="s">
        <v>155</v>
      </c>
    </row>
    <row r="1355" spans="1:5" x14ac:dyDescent="0.3">
      <c r="A1355">
        <v>1354</v>
      </c>
      <c r="B1355" s="1" t="s">
        <v>105</v>
      </c>
      <c r="C1355" t="s">
        <v>150</v>
      </c>
      <c r="D1355">
        <v>68</v>
      </c>
      <c r="E1355" t="s">
        <v>155</v>
      </c>
    </row>
    <row r="1356" spans="1:5" x14ac:dyDescent="0.3">
      <c r="A1356">
        <v>1355</v>
      </c>
      <c r="B1356" s="1" t="s">
        <v>104</v>
      </c>
      <c r="C1356" t="s">
        <v>150</v>
      </c>
      <c r="D1356">
        <v>83</v>
      </c>
      <c r="E1356" t="s">
        <v>155</v>
      </c>
    </row>
    <row r="1357" spans="1:5" x14ac:dyDescent="0.3">
      <c r="A1357">
        <v>1356</v>
      </c>
      <c r="B1357" s="1" t="s">
        <v>104</v>
      </c>
      <c r="C1357" t="s">
        <v>150</v>
      </c>
      <c r="D1357">
        <v>26</v>
      </c>
      <c r="E1357" t="s">
        <v>155</v>
      </c>
    </row>
    <row r="1358" spans="1:5" x14ac:dyDescent="0.3">
      <c r="A1358">
        <v>1357</v>
      </c>
      <c r="B1358" s="1" t="s">
        <v>110</v>
      </c>
      <c r="C1358" t="s">
        <v>150</v>
      </c>
      <c r="D1358">
        <v>43</v>
      </c>
      <c r="E1358" t="s">
        <v>155</v>
      </c>
    </row>
    <row r="1359" spans="1:5" x14ac:dyDescent="0.3">
      <c r="A1359">
        <v>1358</v>
      </c>
      <c r="B1359" s="1" t="s">
        <v>100</v>
      </c>
      <c r="C1359" t="s">
        <v>151</v>
      </c>
      <c r="D1359">
        <v>60</v>
      </c>
      <c r="E1359" t="s">
        <v>155</v>
      </c>
    </row>
    <row r="1360" spans="1:5" x14ac:dyDescent="0.3">
      <c r="A1360">
        <v>1359</v>
      </c>
      <c r="B1360" s="1" t="s">
        <v>98</v>
      </c>
      <c r="C1360" t="s">
        <v>150</v>
      </c>
      <c r="D1360">
        <v>78</v>
      </c>
      <c r="E1360" t="s">
        <v>155</v>
      </c>
    </row>
    <row r="1361" spans="1:5" x14ac:dyDescent="0.3">
      <c r="A1361">
        <v>1360</v>
      </c>
      <c r="B1361" s="1" t="s">
        <v>104</v>
      </c>
      <c r="C1361" t="s">
        <v>151</v>
      </c>
      <c r="D1361">
        <v>40</v>
      </c>
      <c r="E1361" t="s">
        <v>155</v>
      </c>
    </row>
    <row r="1362" spans="1:5" x14ac:dyDescent="0.3">
      <c r="A1362">
        <v>1361</v>
      </c>
      <c r="B1362" s="1" t="s">
        <v>104</v>
      </c>
      <c r="C1362" t="s">
        <v>151</v>
      </c>
      <c r="D1362">
        <v>50</v>
      </c>
      <c r="E1362" t="s">
        <v>155</v>
      </c>
    </row>
    <row r="1363" spans="1:5" x14ac:dyDescent="0.3">
      <c r="A1363">
        <v>1362</v>
      </c>
      <c r="B1363" s="1" t="s">
        <v>101</v>
      </c>
      <c r="C1363" t="s">
        <v>150</v>
      </c>
      <c r="D1363">
        <v>40</v>
      </c>
      <c r="E1363" t="s">
        <v>155</v>
      </c>
    </row>
    <row r="1364" spans="1:5" x14ac:dyDescent="0.3">
      <c r="A1364">
        <v>1363</v>
      </c>
      <c r="B1364" s="1" t="s">
        <v>99</v>
      </c>
      <c r="C1364" t="s">
        <v>151</v>
      </c>
      <c r="D1364">
        <v>81</v>
      </c>
      <c r="E1364" t="s">
        <v>155</v>
      </c>
    </row>
    <row r="1365" spans="1:5" x14ac:dyDescent="0.3">
      <c r="A1365">
        <v>1364</v>
      </c>
      <c r="B1365" s="1" t="s">
        <v>99</v>
      </c>
      <c r="C1365" t="s">
        <v>150</v>
      </c>
      <c r="D1365">
        <v>82</v>
      </c>
      <c r="E1365" t="s">
        <v>155</v>
      </c>
    </row>
    <row r="1366" spans="1:5" x14ac:dyDescent="0.3">
      <c r="A1366">
        <v>1365</v>
      </c>
      <c r="B1366" s="1" t="s">
        <v>98</v>
      </c>
      <c r="C1366" t="s">
        <v>151</v>
      </c>
      <c r="D1366">
        <v>53</v>
      </c>
      <c r="E1366" t="s">
        <v>155</v>
      </c>
    </row>
    <row r="1367" spans="1:5" x14ac:dyDescent="0.3">
      <c r="A1367">
        <v>1366</v>
      </c>
      <c r="B1367" s="1" t="s">
        <v>98</v>
      </c>
      <c r="C1367" t="s">
        <v>150</v>
      </c>
      <c r="D1367">
        <v>44</v>
      </c>
      <c r="E1367" t="s">
        <v>155</v>
      </c>
    </row>
    <row r="1368" spans="1:5" x14ac:dyDescent="0.3">
      <c r="A1368">
        <v>1367</v>
      </c>
      <c r="B1368" s="1" t="s">
        <v>106</v>
      </c>
      <c r="C1368" t="s">
        <v>151</v>
      </c>
      <c r="D1368">
        <v>25</v>
      </c>
      <c r="E1368" t="s">
        <v>155</v>
      </c>
    </row>
    <row r="1369" spans="1:5" x14ac:dyDescent="0.3">
      <c r="A1369">
        <v>1368</v>
      </c>
      <c r="B1369" s="1" t="s">
        <v>98</v>
      </c>
      <c r="C1369" t="s">
        <v>150</v>
      </c>
      <c r="D1369">
        <v>54</v>
      </c>
      <c r="E1369" t="s">
        <v>155</v>
      </c>
    </row>
    <row r="1370" spans="1:5" x14ac:dyDescent="0.3">
      <c r="A1370">
        <v>1369</v>
      </c>
      <c r="B1370" s="1" t="s">
        <v>98</v>
      </c>
      <c r="C1370" t="s">
        <v>151</v>
      </c>
      <c r="D1370">
        <v>87</v>
      </c>
      <c r="E1370" t="s">
        <v>155</v>
      </c>
    </row>
    <row r="1371" spans="1:5" x14ac:dyDescent="0.3">
      <c r="A1371">
        <v>1370</v>
      </c>
      <c r="B1371" s="1" t="s">
        <v>110</v>
      </c>
      <c r="C1371" t="s">
        <v>150</v>
      </c>
      <c r="D1371">
        <v>89</v>
      </c>
      <c r="E1371" t="s">
        <v>155</v>
      </c>
    </row>
    <row r="1372" spans="1:5" x14ac:dyDescent="0.3">
      <c r="A1372">
        <v>1371</v>
      </c>
      <c r="B1372" s="1" t="s">
        <v>98</v>
      </c>
      <c r="C1372" t="s">
        <v>150</v>
      </c>
      <c r="D1372">
        <v>29</v>
      </c>
      <c r="E1372" t="s">
        <v>155</v>
      </c>
    </row>
    <row r="1373" spans="1:5" x14ac:dyDescent="0.3">
      <c r="A1373">
        <v>1372</v>
      </c>
      <c r="B1373" s="1" t="s">
        <v>99</v>
      </c>
      <c r="C1373" t="s">
        <v>150</v>
      </c>
      <c r="D1373">
        <v>28</v>
      </c>
      <c r="E1373" t="s">
        <v>155</v>
      </c>
    </row>
    <row r="1374" spans="1:5" x14ac:dyDescent="0.3">
      <c r="A1374">
        <v>1373</v>
      </c>
      <c r="B1374" s="1" t="s">
        <v>100</v>
      </c>
      <c r="C1374" t="s">
        <v>151</v>
      </c>
      <c r="D1374">
        <v>43</v>
      </c>
      <c r="E1374" t="s">
        <v>155</v>
      </c>
    </row>
    <row r="1375" spans="1:5" x14ac:dyDescent="0.3">
      <c r="A1375">
        <v>1374</v>
      </c>
      <c r="B1375" s="1" t="s">
        <v>99</v>
      </c>
      <c r="C1375" t="s">
        <v>150</v>
      </c>
      <c r="D1375">
        <v>80</v>
      </c>
      <c r="E1375" t="s">
        <v>155</v>
      </c>
    </row>
    <row r="1376" spans="1:5" x14ac:dyDescent="0.3">
      <c r="A1376">
        <v>1375</v>
      </c>
      <c r="B1376" s="1" t="s">
        <v>98</v>
      </c>
      <c r="C1376" t="s">
        <v>150</v>
      </c>
      <c r="D1376">
        <v>59</v>
      </c>
      <c r="E1376" t="s">
        <v>155</v>
      </c>
    </row>
    <row r="1377" spans="1:5" x14ac:dyDescent="0.3">
      <c r="A1377">
        <v>1376</v>
      </c>
      <c r="B1377" s="1" t="s">
        <v>98</v>
      </c>
      <c r="C1377" t="s">
        <v>151</v>
      </c>
      <c r="D1377">
        <v>74</v>
      </c>
      <c r="E1377" t="s">
        <v>155</v>
      </c>
    </row>
    <row r="1378" spans="1:5" x14ac:dyDescent="0.3">
      <c r="A1378">
        <v>1377</v>
      </c>
      <c r="B1378" s="1" t="s">
        <v>108</v>
      </c>
      <c r="C1378" t="s">
        <v>150</v>
      </c>
      <c r="D1378">
        <v>33</v>
      </c>
      <c r="E1378" t="s">
        <v>155</v>
      </c>
    </row>
    <row r="1379" spans="1:5" x14ac:dyDescent="0.3">
      <c r="A1379">
        <v>1378</v>
      </c>
      <c r="B1379" s="1" t="s">
        <v>104</v>
      </c>
      <c r="C1379" t="s">
        <v>150</v>
      </c>
      <c r="D1379">
        <v>31</v>
      </c>
      <c r="E1379" t="s">
        <v>155</v>
      </c>
    </row>
    <row r="1380" spans="1:5" x14ac:dyDescent="0.3">
      <c r="A1380">
        <v>1379</v>
      </c>
      <c r="B1380" s="1" t="s">
        <v>98</v>
      </c>
      <c r="C1380" t="s">
        <v>150</v>
      </c>
      <c r="D1380">
        <v>62</v>
      </c>
      <c r="E1380" t="s">
        <v>155</v>
      </c>
    </row>
    <row r="1381" spans="1:5" x14ac:dyDescent="0.3">
      <c r="A1381">
        <v>1380</v>
      </c>
      <c r="B1381" s="1" t="s">
        <v>98</v>
      </c>
      <c r="C1381" t="s">
        <v>151</v>
      </c>
      <c r="D1381">
        <v>68</v>
      </c>
      <c r="E1381" t="s">
        <v>155</v>
      </c>
    </row>
    <row r="1382" spans="1:5" x14ac:dyDescent="0.3">
      <c r="A1382">
        <v>1381</v>
      </c>
      <c r="B1382" s="1" t="s">
        <v>98</v>
      </c>
      <c r="C1382" t="s">
        <v>150</v>
      </c>
      <c r="D1382">
        <v>28</v>
      </c>
      <c r="E1382" t="s">
        <v>155</v>
      </c>
    </row>
    <row r="1383" spans="1:5" x14ac:dyDescent="0.3">
      <c r="A1383">
        <v>1382</v>
      </c>
      <c r="B1383" s="1" t="s">
        <v>104</v>
      </c>
      <c r="C1383" t="s">
        <v>150</v>
      </c>
      <c r="D1383">
        <v>69</v>
      </c>
      <c r="E1383" t="s">
        <v>155</v>
      </c>
    </row>
    <row r="1384" spans="1:5" x14ac:dyDescent="0.3">
      <c r="A1384">
        <v>1383</v>
      </c>
      <c r="B1384" s="1" t="s">
        <v>99</v>
      </c>
      <c r="C1384" t="s">
        <v>150</v>
      </c>
      <c r="D1384">
        <v>50</v>
      </c>
      <c r="E1384" t="s">
        <v>155</v>
      </c>
    </row>
    <row r="1385" spans="1:5" x14ac:dyDescent="0.3">
      <c r="A1385">
        <v>1384</v>
      </c>
      <c r="B1385" s="1" t="s">
        <v>98</v>
      </c>
      <c r="C1385" t="s">
        <v>151</v>
      </c>
      <c r="D1385">
        <v>39</v>
      </c>
      <c r="E1385" t="s">
        <v>155</v>
      </c>
    </row>
    <row r="1386" spans="1:5" x14ac:dyDescent="0.3">
      <c r="A1386">
        <v>1385</v>
      </c>
      <c r="B1386" s="1" t="s">
        <v>98</v>
      </c>
      <c r="C1386" t="s">
        <v>150</v>
      </c>
      <c r="D1386">
        <v>32</v>
      </c>
      <c r="E1386" t="s">
        <v>155</v>
      </c>
    </row>
    <row r="1387" spans="1:5" x14ac:dyDescent="0.3">
      <c r="A1387">
        <v>1386</v>
      </c>
      <c r="B1387" s="1" t="s">
        <v>103</v>
      </c>
      <c r="C1387" t="s">
        <v>150</v>
      </c>
      <c r="D1387">
        <v>18</v>
      </c>
      <c r="E1387" t="s">
        <v>155</v>
      </c>
    </row>
    <row r="1388" spans="1:5" x14ac:dyDescent="0.3">
      <c r="A1388">
        <v>1387</v>
      </c>
      <c r="B1388" s="1" t="s">
        <v>98</v>
      </c>
      <c r="C1388" t="s">
        <v>150</v>
      </c>
      <c r="D1388">
        <v>90</v>
      </c>
      <c r="E1388" t="s">
        <v>155</v>
      </c>
    </row>
    <row r="1389" spans="1:5" x14ac:dyDescent="0.3">
      <c r="A1389">
        <v>1388</v>
      </c>
      <c r="B1389" s="1" t="s">
        <v>105</v>
      </c>
      <c r="C1389" t="s">
        <v>151</v>
      </c>
      <c r="D1389">
        <v>65</v>
      </c>
      <c r="E1389" t="s">
        <v>155</v>
      </c>
    </row>
    <row r="1390" spans="1:5" x14ac:dyDescent="0.3">
      <c r="A1390">
        <v>1389</v>
      </c>
      <c r="B1390" s="1" t="s">
        <v>98</v>
      </c>
      <c r="C1390" t="s">
        <v>151</v>
      </c>
      <c r="D1390">
        <v>29</v>
      </c>
      <c r="E1390" t="s">
        <v>155</v>
      </c>
    </row>
    <row r="1391" spans="1:5" x14ac:dyDescent="0.3">
      <c r="A1391">
        <v>1390</v>
      </c>
      <c r="B1391" s="1" t="s">
        <v>106</v>
      </c>
      <c r="C1391" t="s">
        <v>151</v>
      </c>
      <c r="D1391">
        <v>27</v>
      </c>
      <c r="E1391" t="s">
        <v>155</v>
      </c>
    </row>
    <row r="1392" spans="1:5" x14ac:dyDescent="0.3">
      <c r="A1392">
        <v>1391</v>
      </c>
      <c r="B1392" s="1" t="s">
        <v>98</v>
      </c>
      <c r="C1392" t="s">
        <v>150</v>
      </c>
      <c r="D1392">
        <v>61</v>
      </c>
      <c r="E1392" t="s">
        <v>155</v>
      </c>
    </row>
    <row r="1393" spans="1:5" x14ac:dyDescent="0.3">
      <c r="A1393">
        <v>1392</v>
      </c>
      <c r="B1393" s="1" t="s">
        <v>110</v>
      </c>
      <c r="C1393" t="s">
        <v>151</v>
      </c>
      <c r="D1393">
        <v>81</v>
      </c>
      <c r="E1393" t="s">
        <v>155</v>
      </c>
    </row>
    <row r="1394" spans="1:5" x14ac:dyDescent="0.3">
      <c r="A1394">
        <v>1393</v>
      </c>
      <c r="B1394" s="1" t="s">
        <v>106</v>
      </c>
      <c r="C1394" t="s">
        <v>151</v>
      </c>
      <c r="D1394">
        <v>76</v>
      </c>
      <c r="E1394" t="s">
        <v>155</v>
      </c>
    </row>
    <row r="1395" spans="1:5" x14ac:dyDescent="0.3">
      <c r="A1395">
        <v>1394</v>
      </c>
      <c r="B1395" s="1" t="s">
        <v>98</v>
      </c>
      <c r="C1395" t="s">
        <v>151</v>
      </c>
      <c r="D1395">
        <v>58</v>
      </c>
      <c r="E1395" t="s">
        <v>155</v>
      </c>
    </row>
    <row r="1396" spans="1:5" x14ac:dyDescent="0.3">
      <c r="A1396">
        <v>1395</v>
      </c>
      <c r="B1396" s="1" t="s">
        <v>98</v>
      </c>
      <c r="C1396" t="s">
        <v>151</v>
      </c>
      <c r="D1396">
        <v>63</v>
      </c>
      <c r="E1396" t="s">
        <v>155</v>
      </c>
    </row>
    <row r="1397" spans="1:5" x14ac:dyDescent="0.3">
      <c r="A1397">
        <v>1396</v>
      </c>
      <c r="B1397" s="1" t="s">
        <v>98</v>
      </c>
      <c r="C1397" t="s">
        <v>150</v>
      </c>
      <c r="D1397">
        <v>90</v>
      </c>
      <c r="E1397" t="s">
        <v>155</v>
      </c>
    </row>
    <row r="1398" spans="1:5" x14ac:dyDescent="0.3">
      <c r="A1398">
        <v>1397</v>
      </c>
      <c r="B1398" s="1" t="s">
        <v>104</v>
      </c>
      <c r="C1398" t="s">
        <v>150</v>
      </c>
      <c r="D1398">
        <v>22</v>
      </c>
      <c r="E1398" t="s">
        <v>155</v>
      </c>
    </row>
    <row r="1399" spans="1:5" x14ac:dyDescent="0.3">
      <c r="A1399">
        <v>1398</v>
      </c>
      <c r="B1399" s="1" t="s">
        <v>107</v>
      </c>
      <c r="C1399" t="s">
        <v>151</v>
      </c>
      <c r="D1399">
        <v>44</v>
      </c>
      <c r="E1399" t="s">
        <v>155</v>
      </c>
    </row>
    <row r="1400" spans="1:5" x14ac:dyDescent="0.3">
      <c r="A1400">
        <v>1399</v>
      </c>
      <c r="B1400" s="1" t="s">
        <v>100</v>
      </c>
      <c r="C1400" t="s">
        <v>151</v>
      </c>
      <c r="D1400">
        <v>24</v>
      </c>
      <c r="E1400" t="s">
        <v>155</v>
      </c>
    </row>
    <row r="1401" spans="1:5" x14ac:dyDescent="0.3">
      <c r="A1401">
        <v>1400</v>
      </c>
      <c r="B1401" s="1" t="s">
        <v>98</v>
      </c>
      <c r="C1401" t="s">
        <v>151</v>
      </c>
      <c r="D1401">
        <v>34</v>
      </c>
      <c r="E1401" t="s">
        <v>155</v>
      </c>
    </row>
    <row r="1402" spans="1:5" x14ac:dyDescent="0.3">
      <c r="A1402">
        <v>1401</v>
      </c>
      <c r="B1402" s="1" t="s">
        <v>101</v>
      </c>
      <c r="C1402" t="s">
        <v>150</v>
      </c>
      <c r="D1402">
        <v>53</v>
      </c>
      <c r="E1402" t="s">
        <v>155</v>
      </c>
    </row>
    <row r="1403" spans="1:5" x14ac:dyDescent="0.3">
      <c r="A1403">
        <v>1402</v>
      </c>
      <c r="B1403" s="1" t="s">
        <v>98</v>
      </c>
      <c r="C1403" t="s">
        <v>150</v>
      </c>
      <c r="D1403">
        <v>80</v>
      </c>
      <c r="E1403" t="s">
        <v>155</v>
      </c>
    </row>
    <row r="1404" spans="1:5" x14ac:dyDescent="0.3">
      <c r="A1404">
        <v>1403</v>
      </c>
      <c r="B1404" s="1" t="s">
        <v>98</v>
      </c>
      <c r="C1404" t="s">
        <v>150</v>
      </c>
      <c r="D1404">
        <v>81</v>
      </c>
      <c r="E1404" t="s">
        <v>155</v>
      </c>
    </row>
    <row r="1405" spans="1:5" x14ac:dyDescent="0.3">
      <c r="A1405">
        <v>1404</v>
      </c>
      <c r="B1405" s="1" t="s">
        <v>98</v>
      </c>
      <c r="C1405" t="s">
        <v>151</v>
      </c>
      <c r="D1405">
        <v>59</v>
      </c>
      <c r="E1405" t="s">
        <v>155</v>
      </c>
    </row>
    <row r="1406" spans="1:5" x14ac:dyDescent="0.3">
      <c r="A1406">
        <v>1405</v>
      </c>
      <c r="B1406" s="1" t="s">
        <v>98</v>
      </c>
      <c r="C1406" t="s">
        <v>151</v>
      </c>
      <c r="D1406">
        <v>65</v>
      </c>
      <c r="E1406" t="s">
        <v>155</v>
      </c>
    </row>
    <row r="1407" spans="1:5" x14ac:dyDescent="0.3">
      <c r="A1407">
        <v>1406</v>
      </c>
      <c r="B1407" s="1" t="s">
        <v>100</v>
      </c>
      <c r="C1407" t="s">
        <v>150</v>
      </c>
      <c r="D1407">
        <v>18</v>
      </c>
      <c r="E1407" t="s">
        <v>155</v>
      </c>
    </row>
    <row r="1408" spans="1:5" x14ac:dyDescent="0.3">
      <c r="A1408">
        <v>1407</v>
      </c>
      <c r="B1408" s="1" t="s">
        <v>98</v>
      </c>
      <c r="C1408" t="s">
        <v>151</v>
      </c>
      <c r="D1408">
        <v>37</v>
      </c>
      <c r="E1408" t="s">
        <v>155</v>
      </c>
    </row>
    <row r="1409" spans="1:5" x14ac:dyDescent="0.3">
      <c r="A1409">
        <v>1408</v>
      </c>
      <c r="B1409" s="1" t="s">
        <v>98</v>
      </c>
      <c r="C1409" t="s">
        <v>151</v>
      </c>
      <c r="D1409">
        <v>68</v>
      </c>
      <c r="E1409" t="s">
        <v>155</v>
      </c>
    </row>
    <row r="1410" spans="1:5" x14ac:dyDescent="0.3">
      <c r="A1410">
        <v>1409</v>
      </c>
      <c r="B1410" s="1" t="s">
        <v>98</v>
      </c>
      <c r="C1410" t="s">
        <v>151</v>
      </c>
      <c r="D1410">
        <v>63</v>
      </c>
      <c r="E1410" t="s">
        <v>155</v>
      </c>
    </row>
    <row r="1411" spans="1:5" x14ac:dyDescent="0.3">
      <c r="A1411">
        <v>1410</v>
      </c>
      <c r="B1411" s="1" t="s">
        <v>98</v>
      </c>
      <c r="C1411" t="s">
        <v>150</v>
      </c>
      <c r="D1411">
        <v>55</v>
      </c>
      <c r="E1411" t="s">
        <v>155</v>
      </c>
    </row>
    <row r="1412" spans="1:5" x14ac:dyDescent="0.3">
      <c r="A1412">
        <v>1411</v>
      </c>
      <c r="B1412" s="1" t="s">
        <v>104</v>
      </c>
      <c r="C1412" t="s">
        <v>151</v>
      </c>
      <c r="D1412">
        <v>52</v>
      </c>
      <c r="E1412" t="s">
        <v>155</v>
      </c>
    </row>
    <row r="1413" spans="1:5" x14ac:dyDescent="0.3">
      <c r="A1413">
        <v>1412</v>
      </c>
      <c r="B1413" s="1" t="s">
        <v>106</v>
      </c>
      <c r="C1413" t="s">
        <v>151</v>
      </c>
      <c r="D1413">
        <v>33</v>
      </c>
      <c r="E1413" t="s">
        <v>155</v>
      </c>
    </row>
    <row r="1414" spans="1:5" x14ac:dyDescent="0.3">
      <c r="A1414">
        <v>1413</v>
      </c>
      <c r="B1414" s="1" t="s">
        <v>104</v>
      </c>
      <c r="C1414" t="s">
        <v>150</v>
      </c>
      <c r="D1414">
        <v>26</v>
      </c>
      <c r="E1414" t="s">
        <v>155</v>
      </c>
    </row>
    <row r="1415" spans="1:5" x14ac:dyDescent="0.3">
      <c r="A1415">
        <v>1414</v>
      </c>
      <c r="B1415" s="1" t="s">
        <v>98</v>
      </c>
      <c r="C1415" t="s">
        <v>151</v>
      </c>
      <c r="D1415">
        <v>28</v>
      </c>
      <c r="E1415" t="s">
        <v>155</v>
      </c>
    </row>
    <row r="1416" spans="1:5" x14ac:dyDescent="0.3">
      <c r="A1416">
        <v>1415</v>
      </c>
      <c r="B1416" s="1" t="s">
        <v>99</v>
      </c>
      <c r="C1416" t="s">
        <v>151</v>
      </c>
      <c r="D1416">
        <v>71</v>
      </c>
      <c r="E1416" t="s">
        <v>155</v>
      </c>
    </row>
    <row r="1417" spans="1:5" x14ac:dyDescent="0.3">
      <c r="A1417">
        <v>1416</v>
      </c>
      <c r="B1417" s="1" t="s">
        <v>98</v>
      </c>
      <c r="C1417" t="s">
        <v>151</v>
      </c>
      <c r="D1417">
        <v>84</v>
      </c>
      <c r="E1417" t="s">
        <v>155</v>
      </c>
    </row>
    <row r="1418" spans="1:5" x14ac:dyDescent="0.3">
      <c r="A1418">
        <v>1417</v>
      </c>
      <c r="B1418" s="1" t="s">
        <v>99</v>
      </c>
      <c r="C1418" t="s">
        <v>151</v>
      </c>
      <c r="D1418">
        <v>73</v>
      </c>
      <c r="E1418" t="s">
        <v>155</v>
      </c>
    </row>
    <row r="1419" spans="1:5" x14ac:dyDescent="0.3">
      <c r="A1419">
        <v>1418</v>
      </c>
      <c r="B1419" s="1" t="s">
        <v>98</v>
      </c>
      <c r="C1419" t="s">
        <v>150</v>
      </c>
      <c r="D1419">
        <v>24</v>
      </c>
      <c r="E1419" t="s">
        <v>155</v>
      </c>
    </row>
    <row r="1420" spans="1:5" x14ac:dyDescent="0.3">
      <c r="A1420">
        <v>1419</v>
      </c>
      <c r="B1420" s="1" t="s">
        <v>98</v>
      </c>
      <c r="C1420" t="s">
        <v>151</v>
      </c>
      <c r="D1420">
        <v>50</v>
      </c>
      <c r="E1420" t="s">
        <v>155</v>
      </c>
    </row>
    <row r="1421" spans="1:5" x14ac:dyDescent="0.3">
      <c r="A1421">
        <v>1420</v>
      </c>
      <c r="B1421" s="1" t="s">
        <v>98</v>
      </c>
      <c r="C1421" t="s">
        <v>150</v>
      </c>
      <c r="D1421">
        <v>28</v>
      </c>
      <c r="E1421" t="s">
        <v>155</v>
      </c>
    </row>
    <row r="1422" spans="1:5" x14ac:dyDescent="0.3">
      <c r="A1422">
        <v>1421</v>
      </c>
      <c r="B1422" s="1" t="s">
        <v>104</v>
      </c>
      <c r="C1422" t="s">
        <v>150</v>
      </c>
      <c r="D1422">
        <v>21</v>
      </c>
      <c r="E1422" t="s">
        <v>155</v>
      </c>
    </row>
    <row r="1423" spans="1:5" x14ac:dyDescent="0.3">
      <c r="A1423">
        <v>1422</v>
      </c>
      <c r="B1423" s="1" t="s">
        <v>98</v>
      </c>
      <c r="C1423" t="s">
        <v>150</v>
      </c>
      <c r="D1423">
        <v>61</v>
      </c>
      <c r="E1423" t="s">
        <v>155</v>
      </c>
    </row>
    <row r="1424" spans="1:5" x14ac:dyDescent="0.3">
      <c r="A1424">
        <v>1423</v>
      </c>
      <c r="B1424" s="1" t="s">
        <v>98</v>
      </c>
      <c r="C1424" t="s">
        <v>150</v>
      </c>
      <c r="D1424">
        <v>78</v>
      </c>
      <c r="E1424" t="s">
        <v>155</v>
      </c>
    </row>
    <row r="1425" spans="1:5" x14ac:dyDescent="0.3">
      <c r="A1425">
        <v>1424</v>
      </c>
      <c r="B1425" s="1" t="s">
        <v>104</v>
      </c>
      <c r="C1425" t="s">
        <v>150</v>
      </c>
      <c r="D1425">
        <v>39</v>
      </c>
      <c r="E1425" t="s">
        <v>155</v>
      </c>
    </row>
    <row r="1426" spans="1:5" x14ac:dyDescent="0.3">
      <c r="A1426">
        <v>1425</v>
      </c>
      <c r="B1426" s="1" t="s">
        <v>100</v>
      </c>
      <c r="C1426" t="s">
        <v>151</v>
      </c>
      <c r="D1426">
        <v>79</v>
      </c>
      <c r="E1426" t="s">
        <v>155</v>
      </c>
    </row>
    <row r="1427" spans="1:5" x14ac:dyDescent="0.3">
      <c r="A1427">
        <v>1426</v>
      </c>
      <c r="B1427" s="1" t="s">
        <v>98</v>
      </c>
      <c r="C1427" t="s">
        <v>151</v>
      </c>
      <c r="D1427">
        <v>37</v>
      </c>
      <c r="E1427" t="s">
        <v>155</v>
      </c>
    </row>
    <row r="1428" spans="1:5" x14ac:dyDescent="0.3">
      <c r="A1428">
        <v>1427</v>
      </c>
      <c r="B1428" s="1" t="s">
        <v>106</v>
      </c>
      <c r="C1428" t="s">
        <v>151</v>
      </c>
      <c r="D1428">
        <v>18</v>
      </c>
      <c r="E1428" t="s">
        <v>155</v>
      </c>
    </row>
    <row r="1429" spans="1:5" x14ac:dyDescent="0.3">
      <c r="A1429">
        <v>1428</v>
      </c>
      <c r="B1429" s="1" t="s">
        <v>99</v>
      </c>
      <c r="C1429" t="s">
        <v>151</v>
      </c>
      <c r="D1429">
        <v>57</v>
      </c>
      <c r="E1429" t="s">
        <v>155</v>
      </c>
    </row>
    <row r="1430" spans="1:5" x14ac:dyDescent="0.3">
      <c r="A1430">
        <v>1429</v>
      </c>
      <c r="B1430" s="1" t="s">
        <v>103</v>
      </c>
      <c r="C1430" t="s">
        <v>151</v>
      </c>
      <c r="D1430">
        <v>47</v>
      </c>
      <c r="E1430" t="s">
        <v>155</v>
      </c>
    </row>
    <row r="1431" spans="1:5" x14ac:dyDescent="0.3">
      <c r="A1431">
        <v>1430</v>
      </c>
      <c r="B1431" s="1" t="s">
        <v>98</v>
      </c>
      <c r="C1431" t="s">
        <v>151</v>
      </c>
      <c r="D1431">
        <v>82</v>
      </c>
      <c r="E1431" t="s">
        <v>155</v>
      </c>
    </row>
    <row r="1432" spans="1:5" x14ac:dyDescent="0.3">
      <c r="A1432">
        <v>1431</v>
      </c>
      <c r="B1432" s="1" t="s">
        <v>98</v>
      </c>
      <c r="C1432" t="s">
        <v>150</v>
      </c>
      <c r="D1432">
        <v>63</v>
      </c>
      <c r="E1432" t="s">
        <v>155</v>
      </c>
    </row>
    <row r="1433" spans="1:5" x14ac:dyDescent="0.3">
      <c r="A1433">
        <v>1432</v>
      </c>
      <c r="B1433" s="1" t="s">
        <v>98</v>
      </c>
      <c r="C1433" t="s">
        <v>151</v>
      </c>
      <c r="D1433">
        <v>30</v>
      </c>
      <c r="E1433" t="s">
        <v>155</v>
      </c>
    </row>
    <row r="1434" spans="1:5" x14ac:dyDescent="0.3">
      <c r="A1434">
        <v>1433</v>
      </c>
      <c r="B1434" s="1" t="s">
        <v>100</v>
      </c>
      <c r="C1434" t="s">
        <v>151</v>
      </c>
      <c r="D1434">
        <v>28</v>
      </c>
      <c r="E1434" t="s">
        <v>155</v>
      </c>
    </row>
    <row r="1435" spans="1:5" x14ac:dyDescent="0.3">
      <c r="A1435">
        <v>1434</v>
      </c>
      <c r="B1435" s="1" t="s">
        <v>98</v>
      </c>
      <c r="C1435" t="s">
        <v>151</v>
      </c>
      <c r="D1435">
        <v>65</v>
      </c>
      <c r="E1435" t="s">
        <v>155</v>
      </c>
    </row>
    <row r="1436" spans="1:5" x14ac:dyDescent="0.3">
      <c r="A1436">
        <v>1435</v>
      </c>
      <c r="B1436" s="1" t="s">
        <v>99</v>
      </c>
      <c r="C1436" t="s">
        <v>151</v>
      </c>
      <c r="D1436">
        <v>45</v>
      </c>
      <c r="E1436" t="s">
        <v>155</v>
      </c>
    </row>
    <row r="1437" spans="1:5" x14ac:dyDescent="0.3">
      <c r="A1437">
        <v>1436</v>
      </c>
      <c r="B1437" s="1" t="s">
        <v>104</v>
      </c>
      <c r="C1437" t="s">
        <v>150</v>
      </c>
      <c r="D1437">
        <v>40</v>
      </c>
      <c r="E1437" t="s">
        <v>155</v>
      </c>
    </row>
    <row r="1438" spans="1:5" x14ac:dyDescent="0.3">
      <c r="A1438">
        <v>1437</v>
      </c>
      <c r="B1438" s="1" t="s">
        <v>98</v>
      </c>
      <c r="C1438" t="s">
        <v>150</v>
      </c>
      <c r="D1438">
        <v>80</v>
      </c>
      <c r="E1438" t="s">
        <v>155</v>
      </c>
    </row>
    <row r="1439" spans="1:5" x14ac:dyDescent="0.3">
      <c r="A1439">
        <v>1438</v>
      </c>
      <c r="B1439" s="1" t="s">
        <v>105</v>
      </c>
      <c r="C1439" t="s">
        <v>150</v>
      </c>
      <c r="D1439">
        <v>35</v>
      </c>
      <c r="E1439" t="s">
        <v>155</v>
      </c>
    </row>
    <row r="1440" spans="1:5" x14ac:dyDescent="0.3">
      <c r="A1440">
        <v>1439</v>
      </c>
      <c r="B1440" s="1" t="s">
        <v>104</v>
      </c>
      <c r="C1440" t="s">
        <v>150</v>
      </c>
      <c r="D1440">
        <v>40</v>
      </c>
      <c r="E1440" t="s">
        <v>155</v>
      </c>
    </row>
    <row r="1441" spans="1:5" x14ac:dyDescent="0.3">
      <c r="A1441">
        <v>1440</v>
      </c>
      <c r="B1441" s="1" t="s">
        <v>104</v>
      </c>
      <c r="C1441" t="s">
        <v>151</v>
      </c>
      <c r="D1441">
        <v>60</v>
      </c>
      <c r="E1441" t="s">
        <v>155</v>
      </c>
    </row>
    <row r="1442" spans="1:5" x14ac:dyDescent="0.3">
      <c r="A1442">
        <v>1441</v>
      </c>
      <c r="B1442" s="1" t="s">
        <v>100</v>
      </c>
      <c r="C1442" t="s">
        <v>150</v>
      </c>
      <c r="D1442">
        <v>65</v>
      </c>
      <c r="E1442" t="s">
        <v>155</v>
      </c>
    </row>
    <row r="1443" spans="1:5" x14ac:dyDescent="0.3">
      <c r="A1443">
        <v>1442</v>
      </c>
      <c r="B1443" s="1" t="s">
        <v>98</v>
      </c>
      <c r="C1443" t="s">
        <v>150</v>
      </c>
      <c r="D1443">
        <v>82</v>
      </c>
      <c r="E1443" t="s">
        <v>155</v>
      </c>
    </row>
    <row r="1444" spans="1:5" x14ac:dyDescent="0.3">
      <c r="A1444">
        <v>1443</v>
      </c>
      <c r="B1444" s="1" t="s">
        <v>98</v>
      </c>
      <c r="C1444" t="s">
        <v>151</v>
      </c>
      <c r="D1444">
        <v>43</v>
      </c>
      <c r="E1444" t="s">
        <v>155</v>
      </c>
    </row>
    <row r="1445" spans="1:5" x14ac:dyDescent="0.3">
      <c r="A1445">
        <v>1444</v>
      </c>
      <c r="B1445" s="1" t="s">
        <v>104</v>
      </c>
      <c r="C1445" t="s">
        <v>150</v>
      </c>
      <c r="D1445">
        <v>65</v>
      </c>
      <c r="E1445" t="s">
        <v>155</v>
      </c>
    </row>
    <row r="1446" spans="1:5" x14ac:dyDescent="0.3">
      <c r="A1446">
        <v>1445</v>
      </c>
      <c r="B1446" s="1" t="s">
        <v>98</v>
      </c>
      <c r="C1446" t="s">
        <v>150</v>
      </c>
      <c r="D1446">
        <v>51</v>
      </c>
      <c r="E1446" t="s">
        <v>155</v>
      </c>
    </row>
    <row r="1447" spans="1:5" x14ac:dyDescent="0.3">
      <c r="A1447">
        <v>1446</v>
      </c>
      <c r="B1447" s="1" t="s">
        <v>108</v>
      </c>
      <c r="C1447" t="s">
        <v>151</v>
      </c>
      <c r="D1447">
        <v>52</v>
      </c>
      <c r="E1447" t="s">
        <v>155</v>
      </c>
    </row>
    <row r="1448" spans="1:5" x14ac:dyDescent="0.3">
      <c r="A1448">
        <v>1447</v>
      </c>
      <c r="B1448" s="1" t="s">
        <v>105</v>
      </c>
      <c r="C1448" t="s">
        <v>151</v>
      </c>
      <c r="D1448">
        <v>20</v>
      </c>
      <c r="E1448" t="s">
        <v>155</v>
      </c>
    </row>
    <row r="1449" spans="1:5" x14ac:dyDescent="0.3">
      <c r="A1449">
        <v>1448</v>
      </c>
      <c r="B1449" s="1" t="s">
        <v>107</v>
      </c>
      <c r="C1449" t="s">
        <v>150</v>
      </c>
      <c r="D1449">
        <v>84</v>
      </c>
      <c r="E1449" t="s">
        <v>155</v>
      </c>
    </row>
    <row r="1450" spans="1:5" x14ac:dyDescent="0.3">
      <c r="A1450">
        <v>1449</v>
      </c>
      <c r="B1450" s="1" t="s">
        <v>98</v>
      </c>
      <c r="C1450" t="s">
        <v>151</v>
      </c>
      <c r="D1450">
        <v>82</v>
      </c>
      <c r="E1450" t="s">
        <v>155</v>
      </c>
    </row>
    <row r="1451" spans="1:5" x14ac:dyDescent="0.3">
      <c r="A1451">
        <v>1450</v>
      </c>
      <c r="B1451" s="1" t="s">
        <v>99</v>
      </c>
      <c r="C1451" t="s">
        <v>150</v>
      </c>
      <c r="D1451">
        <v>27</v>
      </c>
      <c r="E1451" t="s">
        <v>155</v>
      </c>
    </row>
    <row r="1452" spans="1:5" x14ac:dyDescent="0.3">
      <c r="A1452">
        <v>1451</v>
      </c>
      <c r="B1452" s="1" t="s">
        <v>98</v>
      </c>
      <c r="C1452" t="s">
        <v>151</v>
      </c>
      <c r="D1452">
        <v>51</v>
      </c>
      <c r="E1452" t="s">
        <v>155</v>
      </c>
    </row>
    <row r="1453" spans="1:5" x14ac:dyDescent="0.3">
      <c r="A1453">
        <v>1452</v>
      </c>
      <c r="B1453" s="1" t="s">
        <v>99</v>
      </c>
      <c r="C1453" t="s">
        <v>151</v>
      </c>
      <c r="D1453">
        <v>22</v>
      </c>
      <c r="E1453" t="s">
        <v>155</v>
      </c>
    </row>
    <row r="1454" spans="1:5" x14ac:dyDescent="0.3">
      <c r="A1454">
        <v>1453</v>
      </c>
      <c r="B1454" s="1" t="s">
        <v>105</v>
      </c>
      <c r="C1454" t="s">
        <v>150</v>
      </c>
      <c r="D1454">
        <v>24</v>
      </c>
      <c r="E1454" t="s">
        <v>155</v>
      </c>
    </row>
    <row r="1455" spans="1:5" x14ac:dyDescent="0.3">
      <c r="A1455">
        <v>1454</v>
      </c>
      <c r="B1455" s="1" t="s">
        <v>104</v>
      </c>
      <c r="C1455" t="s">
        <v>151</v>
      </c>
      <c r="D1455">
        <v>71</v>
      </c>
      <c r="E1455" t="s">
        <v>155</v>
      </c>
    </row>
    <row r="1456" spans="1:5" x14ac:dyDescent="0.3">
      <c r="A1456">
        <v>1455</v>
      </c>
      <c r="B1456" s="1" t="s">
        <v>98</v>
      </c>
      <c r="C1456" t="s">
        <v>151</v>
      </c>
      <c r="D1456">
        <v>87</v>
      </c>
      <c r="E1456" t="s">
        <v>155</v>
      </c>
    </row>
    <row r="1457" spans="1:5" x14ac:dyDescent="0.3">
      <c r="A1457">
        <v>1456</v>
      </c>
      <c r="B1457" s="1" t="s">
        <v>104</v>
      </c>
      <c r="C1457" t="s">
        <v>151</v>
      </c>
      <c r="D1457">
        <v>35</v>
      </c>
      <c r="E1457" t="s">
        <v>155</v>
      </c>
    </row>
    <row r="1458" spans="1:5" x14ac:dyDescent="0.3">
      <c r="A1458">
        <v>1457</v>
      </c>
      <c r="B1458" s="1" t="s">
        <v>100</v>
      </c>
      <c r="C1458" t="s">
        <v>150</v>
      </c>
      <c r="D1458">
        <v>49</v>
      </c>
      <c r="E1458" t="s">
        <v>155</v>
      </c>
    </row>
    <row r="1459" spans="1:5" x14ac:dyDescent="0.3">
      <c r="A1459">
        <v>1458</v>
      </c>
      <c r="B1459" s="1" t="s">
        <v>99</v>
      </c>
      <c r="C1459" t="s">
        <v>150</v>
      </c>
      <c r="D1459">
        <v>67</v>
      </c>
      <c r="E1459" t="s">
        <v>155</v>
      </c>
    </row>
    <row r="1460" spans="1:5" x14ac:dyDescent="0.3">
      <c r="A1460">
        <v>1459</v>
      </c>
      <c r="B1460" s="1" t="s">
        <v>99</v>
      </c>
      <c r="C1460" t="s">
        <v>150</v>
      </c>
      <c r="D1460">
        <v>59</v>
      </c>
      <c r="E1460" t="s">
        <v>155</v>
      </c>
    </row>
    <row r="1461" spans="1:5" x14ac:dyDescent="0.3">
      <c r="A1461">
        <v>1460</v>
      </c>
      <c r="B1461" s="1" t="s">
        <v>106</v>
      </c>
      <c r="C1461" t="s">
        <v>150</v>
      </c>
      <c r="D1461">
        <v>63</v>
      </c>
      <c r="E1461" t="s">
        <v>155</v>
      </c>
    </row>
    <row r="1462" spans="1:5" x14ac:dyDescent="0.3">
      <c r="A1462">
        <v>1461</v>
      </c>
      <c r="B1462" s="1" t="s">
        <v>98</v>
      </c>
      <c r="C1462" t="s">
        <v>150</v>
      </c>
      <c r="D1462">
        <v>77</v>
      </c>
      <c r="E1462" t="s">
        <v>155</v>
      </c>
    </row>
    <row r="1463" spans="1:5" x14ac:dyDescent="0.3">
      <c r="A1463">
        <v>1462</v>
      </c>
      <c r="B1463" s="1" t="s">
        <v>98</v>
      </c>
      <c r="C1463" t="s">
        <v>150</v>
      </c>
      <c r="D1463">
        <v>65</v>
      </c>
      <c r="E1463" t="s">
        <v>155</v>
      </c>
    </row>
    <row r="1464" spans="1:5" x14ac:dyDescent="0.3">
      <c r="A1464">
        <v>1463</v>
      </c>
      <c r="B1464" s="1" t="s">
        <v>100</v>
      </c>
      <c r="C1464" t="s">
        <v>151</v>
      </c>
      <c r="D1464">
        <v>31</v>
      </c>
      <c r="E1464" t="s">
        <v>155</v>
      </c>
    </row>
    <row r="1465" spans="1:5" x14ac:dyDescent="0.3">
      <c r="A1465">
        <v>1464</v>
      </c>
      <c r="B1465" s="1" t="s">
        <v>99</v>
      </c>
      <c r="C1465" t="s">
        <v>151</v>
      </c>
      <c r="D1465">
        <v>73</v>
      </c>
      <c r="E1465" t="s">
        <v>155</v>
      </c>
    </row>
    <row r="1466" spans="1:5" x14ac:dyDescent="0.3">
      <c r="A1466">
        <v>1465</v>
      </c>
      <c r="B1466" s="1" t="s">
        <v>99</v>
      </c>
      <c r="C1466" t="s">
        <v>150</v>
      </c>
      <c r="D1466">
        <v>71</v>
      </c>
      <c r="E1466" t="s">
        <v>155</v>
      </c>
    </row>
    <row r="1467" spans="1:5" x14ac:dyDescent="0.3">
      <c r="A1467">
        <v>1466</v>
      </c>
      <c r="B1467" s="1" t="s">
        <v>110</v>
      </c>
      <c r="C1467" t="s">
        <v>151</v>
      </c>
      <c r="D1467">
        <v>39</v>
      </c>
      <c r="E1467" t="s">
        <v>155</v>
      </c>
    </row>
    <row r="1468" spans="1:5" x14ac:dyDescent="0.3">
      <c r="A1468">
        <v>1467</v>
      </c>
      <c r="B1468" s="1" t="s">
        <v>98</v>
      </c>
      <c r="C1468" t="s">
        <v>151</v>
      </c>
      <c r="D1468">
        <v>18</v>
      </c>
      <c r="E1468" t="s">
        <v>155</v>
      </c>
    </row>
    <row r="1469" spans="1:5" x14ac:dyDescent="0.3">
      <c r="A1469">
        <v>1468</v>
      </c>
      <c r="B1469" s="1" t="s">
        <v>98</v>
      </c>
      <c r="C1469" t="s">
        <v>151</v>
      </c>
      <c r="D1469">
        <v>71</v>
      </c>
      <c r="E1469" t="s">
        <v>155</v>
      </c>
    </row>
    <row r="1470" spans="1:5" x14ac:dyDescent="0.3">
      <c r="A1470">
        <v>1469</v>
      </c>
      <c r="B1470" s="1" t="s">
        <v>106</v>
      </c>
      <c r="C1470" t="s">
        <v>151</v>
      </c>
      <c r="D1470">
        <v>38</v>
      </c>
      <c r="E1470" t="s">
        <v>155</v>
      </c>
    </row>
    <row r="1471" spans="1:5" x14ac:dyDescent="0.3">
      <c r="A1471">
        <v>1470</v>
      </c>
      <c r="B1471" s="1" t="s">
        <v>98</v>
      </c>
      <c r="C1471" t="s">
        <v>151</v>
      </c>
      <c r="D1471">
        <v>34</v>
      </c>
      <c r="E1471" t="s">
        <v>155</v>
      </c>
    </row>
    <row r="1472" spans="1:5" x14ac:dyDescent="0.3">
      <c r="A1472">
        <v>1471</v>
      </c>
      <c r="B1472" s="1" t="s">
        <v>106</v>
      </c>
      <c r="C1472" t="s">
        <v>151</v>
      </c>
      <c r="D1472">
        <v>69</v>
      </c>
      <c r="E1472" t="s">
        <v>155</v>
      </c>
    </row>
    <row r="1473" spans="1:5" x14ac:dyDescent="0.3">
      <c r="A1473">
        <v>1472</v>
      </c>
      <c r="B1473" s="1" t="s">
        <v>98</v>
      </c>
      <c r="C1473" t="s">
        <v>151</v>
      </c>
      <c r="D1473">
        <v>83</v>
      </c>
      <c r="E1473" t="s">
        <v>155</v>
      </c>
    </row>
    <row r="1474" spans="1:5" x14ac:dyDescent="0.3">
      <c r="A1474">
        <v>1473</v>
      </c>
      <c r="B1474" s="1" t="s">
        <v>98</v>
      </c>
      <c r="C1474" t="s">
        <v>151</v>
      </c>
      <c r="D1474">
        <v>40</v>
      </c>
      <c r="E1474" t="s">
        <v>155</v>
      </c>
    </row>
    <row r="1475" spans="1:5" x14ac:dyDescent="0.3">
      <c r="A1475">
        <v>1474</v>
      </c>
      <c r="B1475" s="1" t="s">
        <v>98</v>
      </c>
      <c r="C1475" t="s">
        <v>150</v>
      </c>
      <c r="D1475">
        <v>25</v>
      </c>
      <c r="E1475" t="s">
        <v>155</v>
      </c>
    </row>
    <row r="1476" spans="1:5" x14ac:dyDescent="0.3">
      <c r="A1476">
        <v>1475</v>
      </c>
      <c r="B1476" s="1" t="s">
        <v>104</v>
      </c>
      <c r="C1476" t="s">
        <v>151</v>
      </c>
      <c r="D1476">
        <v>25</v>
      </c>
      <c r="E1476" t="s">
        <v>155</v>
      </c>
    </row>
    <row r="1477" spans="1:5" x14ac:dyDescent="0.3">
      <c r="A1477">
        <v>1476</v>
      </c>
      <c r="B1477" s="1" t="s">
        <v>106</v>
      </c>
      <c r="C1477" t="s">
        <v>150</v>
      </c>
      <c r="D1477">
        <v>23</v>
      </c>
      <c r="E1477" t="s">
        <v>155</v>
      </c>
    </row>
    <row r="1478" spans="1:5" x14ac:dyDescent="0.3">
      <c r="A1478">
        <v>1477</v>
      </c>
      <c r="B1478" s="1" t="s">
        <v>104</v>
      </c>
      <c r="C1478" t="s">
        <v>151</v>
      </c>
      <c r="D1478">
        <v>73</v>
      </c>
      <c r="E1478" t="s">
        <v>155</v>
      </c>
    </row>
    <row r="1479" spans="1:5" x14ac:dyDescent="0.3">
      <c r="A1479">
        <v>1478</v>
      </c>
      <c r="B1479" s="1" t="s">
        <v>103</v>
      </c>
      <c r="C1479" t="s">
        <v>150</v>
      </c>
      <c r="D1479">
        <v>43</v>
      </c>
      <c r="E1479" t="s">
        <v>155</v>
      </c>
    </row>
    <row r="1480" spans="1:5" x14ac:dyDescent="0.3">
      <c r="A1480">
        <v>1479</v>
      </c>
      <c r="B1480" s="1" t="s">
        <v>98</v>
      </c>
      <c r="C1480" t="s">
        <v>151</v>
      </c>
      <c r="D1480">
        <v>87</v>
      </c>
      <c r="E1480" t="s">
        <v>155</v>
      </c>
    </row>
    <row r="1481" spans="1:5" x14ac:dyDescent="0.3">
      <c r="A1481">
        <v>1480</v>
      </c>
      <c r="B1481" s="1" t="s">
        <v>101</v>
      </c>
      <c r="C1481" t="s">
        <v>150</v>
      </c>
      <c r="D1481">
        <v>43</v>
      </c>
      <c r="E1481" t="s">
        <v>155</v>
      </c>
    </row>
    <row r="1482" spans="1:5" x14ac:dyDescent="0.3">
      <c r="A1482">
        <v>1481</v>
      </c>
      <c r="B1482" s="1" t="s">
        <v>98</v>
      </c>
      <c r="C1482" t="s">
        <v>150</v>
      </c>
      <c r="D1482">
        <v>53</v>
      </c>
      <c r="E1482" t="s">
        <v>155</v>
      </c>
    </row>
    <row r="1483" spans="1:5" x14ac:dyDescent="0.3">
      <c r="A1483">
        <v>1482</v>
      </c>
      <c r="B1483" s="1" t="s">
        <v>99</v>
      </c>
      <c r="C1483" t="s">
        <v>150</v>
      </c>
      <c r="D1483">
        <v>24</v>
      </c>
      <c r="E1483" t="s">
        <v>155</v>
      </c>
    </row>
    <row r="1484" spans="1:5" x14ac:dyDescent="0.3">
      <c r="A1484">
        <v>1483</v>
      </c>
      <c r="B1484" s="1" t="s">
        <v>98</v>
      </c>
      <c r="C1484" t="s">
        <v>150</v>
      </c>
      <c r="D1484">
        <v>82</v>
      </c>
      <c r="E1484" t="s">
        <v>155</v>
      </c>
    </row>
    <row r="1485" spans="1:5" x14ac:dyDescent="0.3">
      <c r="A1485">
        <v>1484</v>
      </c>
      <c r="B1485" s="1" t="s">
        <v>98</v>
      </c>
      <c r="C1485" t="s">
        <v>151</v>
      </c>
      <c r="D1485">
        <v>84</v>
      </c>
      <c r="E1485" t="s">
        <v>155</v>
      </c>
    </row>
    <row r="1486" spans="1:5" x14ac:dyDescent="0.3">
      <c r="A1486">
        <v>1485</v>
      </c>
      <c r="B1486" s="1" t="s">
        <v>104</v>
      </c>
      <c r="C1486" t="s">
        <v>151</v>
      </c>
      <c r="D1486">
        <v>38</v>
      </c>
      <c r="E1486" t="s">
        <v>155</v>
      </c>
    </row>
    <row r="1487" spans="1:5" x14ac:dyDescent="0.3">
      <c r="A1487">
        <v>1486</v>
      </c>
      <c r="B1487" s="1" t="s">
        <v>98</v>
      </c>
      <c r="C1487" t="s">
        <v>151</v>
      </c>
      <c r="D1487">
        <v>30</v>
      </c>
      <c r="E1487" t="s">
        <v>155</v>
      </c>
    </row>
    <row r="1488" spans="1:5" x14ac:dyDescent="0.3">
      <c r="A1488">
        <v>1487</v>
      </c>
      <c r="B1488" s="1" t="s">
        <v>106</v>
      </c>
      <c r="C1488" t="s">
        <v>150</v>
      </c>
      <c r="D1488">
        <v>76</v>
      </c>
      <c r="E1488" t="s">
        <v>155</v>
      </c>
    </row>
    <row r="1489" spans="1:5" x14ac:dyDescent="0.3">
      <c r="A1489">
        <v>1488</v>
      </c>
      <c r="B1489" s="1" t="s">
        <v>98</v>
      </c>
      <c r="C1489" t="s">
        <v>150</v>
      </c>
      <c r="D1489">
        <v>35</v>
      </c>
      <c r="E1489" t="s">
        <v>155</v>
      </c>
    </row>
    <row r="1490" spans="1:5" x14ac:dyDescent="0.3">
      <c r="A1490">
        <v>1489</v>
      </c>
      <c r="B1490" s="1" t="s">
        <v>104</v>
      </c>
      <c r="C1490" t="s">
        <v>151</v>
      </c>
      <c r="D1490">
        <v>46</v>
      </c>
      <c r="E1490" t="s">
        <v>155</v>
      </c>
    </row>
    <row r="1491" spans="1:5" x14ac:dyDescent="0.3">
      <c r="A1491">
        <v>1490</v>
      </c>
      <c r="B1491" s="1" t="s">
        <v>104</v>
      </c>
      <c r="C1491" t="s">
        <v>151</v>
      </c>
      <c r="D1491">
        <v>30</v>
      </c>
      <c r="E1491" t="s">
        <v>155</v>
      </c>
    </row>
    <row r="1492" spans="1:5" x14ac:dyDescent="0.3">
      <c r="A1492">
        <v>1491</v>
      </c>
      <c r="B1492" s="1" t="s">
        <v>98</v>
      </c>
      <c r="C1492" t="s">
        <v>151</v>
      </c>
      <c r="D1492">
        <v>67</v>
      </c>
      <c r="E1492" t="s">
        <v>155</v>
      </c>
    </row>
    <row r="1493" spans="1:5" x14ac:dyDescent="0.3">
      <c r="A1493">
        <v>1492</v>
      </c>
      <c r="B1493" s="1" t="s">
        <v>98</v>
      </c>
      <c r="C1493" t="s">
        <v>151</v>
      </c>
      <c r="D1493">
        <v>78</v>
      </c>
      <c r="E1493" t="s">
        <v>155</v>
      </c>
    </row>
    <row r="1494" spans="1:5" x14ac:dyDescent="0.3">
      <c r="A1494">
        <v>1493</v>
      </c>
      <c r="B1494" s="1" t="s">
        <v>107</v>
      </c>
      <c r="C1494" t="s">
        <v>151</v>
      </c>
      <c r="D1494">
        <v>25</v>
      </c>
      <c r="E1494" t="s">
        <v>155</v>
      </c>
    </row>
    <row r="1495" spans="1:5" x14ac:dyDescent="0.3">
      <c r="A1495">
        <v>1494</v>
      </c>
      <c r="B1495" s="1" t="s">
        <v>104</v>
      </c>
      <c r="C1495" t="s">
        <v>150</v>
      </c>
      <c r="D1495">
        <v>35</v>
      </c>
      <c r="E1495" t="s">
        <v>155</v>
      </c>
    </row>
    <row r="1496" spans="1:5" x14ac:dyDescent="0.3">
      <c r="A1496">
        <v>1495</v>
      </c>
      <c r="B1496" s="1" t="s">
        <v>107</v>
      </c>
      <c r="C1496" t="s">
        <v>150</v>
      </c>
      <c r="D1496">
        <v>34</v>
      </c>
      <c r="E1496" t="s">
        <v>155</v>
      </c>
    </row>
    <row r="1497" spans="1:5" x14ac:dyDescent="0.3">
      <c r="A1497">
        <v>1496</v>
      </c>
      <c r="B1497" s="1" t="s">
        <v>98</v>
      </c>
      <c r="C1497" t="s">
        <v>151</v>
      </c>
      <c r="D1497">
        <v>74</v>
      </c>
      <c r="E1497" t="s">
        <v>155</v>
      </c>
    </row>
    <row r="1498" spans="1:5" x14ac:dyDescent="0.3">
      <c r="A1498">
        <v>1497</v>
      </c>
      <c r="B1498" s="1" t="s">
        <v>104</v>
      </c>
      <c r="C1498" t="s">
        <v>151</v>
      </c>
      <c r="D1498" s="15">
        <v>47.666666666666664</v>
      </c>
      <c r="E1498" t="s">
        <v>155</v>
      </c>
    </row>
    <row r="1499" spans="1:5" x14ac:dyDescent="0.3">
      <c r="A1499">
        <v>1498</v>
      </c>
      <c r="B1499" s="1" t="s">
        <v>108</v>
      </c>
      <c r="C1499" t="s">
        <v>151</v>
      </c>
      <c r="D1499">
        <v>75</v>
      </c>
      <c r="E1499" t="s">
        <v>155</v>
      </c>
    </row>
    <row r="1500" spans="1:5" x14ac:dyDescent="0.3">
      <c r="A1500">
        <v>1499</v>
      </c>
      <c r="B1500" s="1" t="s">
        <v>98</v>
      </c>
      <c r="C1500" t="s">
        <v>151</v>
      </c>
      <c r="D1500">
        <v>48</v>
      </c>
      <c r="E1500" t="s">
        <v>155</v>
      </c>
    </row>
    <row r="1501" spans="1:5" x14ac:dyDescent="0.3">
      <c r="A1501">
        <v>1500</v>
      </c>
      <c r="B1501" s="1" t="s">
        <v>98</v>
      </c>
      <c r="C1501" t="s">
        <v>150</v>
      </c>
      <c r="D1501">
        <v>19</v>
      </c>
      <c r="E1501" t="s">
        <v>155</v>
      </c>
    </row>
    <row r="1502" spans="1:5" x14ac:dyDescent="0.3">
      <c r="A1502">
        <v>1501</v>
      </c>
      <c r="B1502" s="1" t="s">
        <v>98</v>
      </c>
      <c r="C1502" t="s">
        <v>150</v>
      </c>
      <c r="D1502">
        <v>51</v>
      </c>
      <c r="E1502" t="s">
        <v>156</v>
      </c>
    </row>
    <row r="1503" spans="1:5" x14ac:dyDescent="0.3">
      <c r="A1503">
        <v>1502</v>
      </c>
      <c r="B1503" s="1" t="s">
        <v>104</v>
      </c>
      <c r="C1503" t="s">
        <v>151</v>
      </c>
      <c r="D1503">
        <v>33</v>
      </c>
      <c r="E1503" t="s">
        <v>156</v>
      </c>
    </row>
    <row r="1504" spans="1:5" x14ac:dyDescent="0.3">
      <c r="A1504">
        <v>1503</v>
      </c>
      <c r="B1504" s="1" t="s">
        <v>102</v>
      </c>
      <c r="C1504" t="s">
        <v>151</v>
      </c>
      <c r="D1504">
        <v>79</v>
      </c>
      <c r="E1504" t="s">
        <v>156</v>
      </c>
    </row>
    <row r="1505" spans="1:5" x14ac:dyDescent="0.3">
      <c r="A1505">
        <v>1504</v>
      </c>
      <c r="B1505" s="1" t="s">
        <v>99</v>
      </c>
      <c r="C1505" t="s">
        <v>151</v>
      </c>
      <c r="D1505">
        <v>33</v>
      </c>
      <c r="E1505" t="s">
        <v>156</v>
      </c>
    </row>
    <row r="1506" spans="1:5" x14ac:dyDescent="0.3">
      <c r="A1506">
        <v>1505</v>
      </c>
      <c r="B1506" s="1" t="s">
        <v>98</v>
      </c>
      <c r="C1506" t="s">
        <v>150</v>
      </c>
      <c r="D1506">
        <v>48</v>
      </c>
      <c r="E1506" t="s">
        <v>156</v>
      </c>
    </row>
    <row r="1507" spans="1:5" x14ac:dyDescent="0.3">
      <c r="A1507">
        <v>1506</v>
      </c>
      <c r="B1507" s="1" t="s">
        <v>98</v>
      </c>
      <c r="C1507" t="s">
        <v>150</v>
      </c>
      <c r="D1507">
        <v>18</v>
      </c>
      <c r="E1507" t="s">
        <v>156</v>
      </c>
    </row>
    <row r="1508" spans="1:5" x14ac:dyDescent="0.3">
      <c r="A1508">
        <v>1507</v>
      </c>
      <c r="B1508" s="1" t="s">
        <v>98</v>
      </c>
      <c r="C1508" t="s">
        <v>151</v>
      </c>
      <c r="D1508">
        <v>78</v>
      </c>
      <c r="E1508" t="s">
        <v>156</v>
      </c>
    </row>
    <row r="1509" spans="1:5" x14ac:dyDescent="0.3">
      <c r="A1509">
        <v>1508</v>
      </c>
      <c r="B1509" s="1" t="s">
        <v>98</v>
      </c>
      <c r="C1509" t="s">
        <v>150</v>
      </c>
      <c r="D1509">
        <v>73</v>
      </c>
      <c r="E1509" t="s">
        <v>156</v>
      </c>
    </row>
    <row r="1510" spans="1:5" x14ac:dyDescent="0.3">
      <c r="A1510">
        <v>1509</v>
      </c>
      <c r="B1510" s="1" t="s">
        <v>98</v>
      </c>
      <c r="C1510" t="s">
        <v>150</v>
      </c>
      <c r="D1510">
        <v>31</v>
      </c>
      <c r="E1510" t="s">
        <v>156</v>
      </c>
    </row>
    <row r="1511" spans="1:5" x14ac:dyDescent="0.3">
      <c r="A1511">
        <v>1510</v>
      </c>
      <c r="B1511" s="1" t="s">
        <v>102</v>
      </c>
      <c r="C1511" t="s">
        <v>150</v>
      </c>
      <c r="D1511">
        <v>23</v>
      </c>
      <c r="E1511" t="s">
        <v>156</v>
      </c>
    </row>
    <row r="1512" spans="1:5" x14ac:dyDescent="0.3">
      <c r="A1512">
        <v>1511</v>
      </c>
      <c r="B1512" s="1" t="s">
        <v>98</v>
      </c>
      <c r="C1512" t="s">
        <v>150</v>
      </c>
      <c r="D1512">
        <v>19</v>
      </c>
      <c r="E1512" t="s">
        <v>156</v>
      </c>
    </row>
    <row r="1513" spans="1:5" x14ac:dyDescent="0.3">
      <c r="A1513">
        <v>1512</v>
      </c>
      <c r="B1513" s="1" t="s">
        <v>107</v>
      </c>
      <c r="C1513" t="s">
        <v>151</v>
      </c>
      <c r="D1513">
        <v>28</v>
      </c>
      <c r="E1513" t="s">
        <v>156</v>
      </c>
    </row>
    <row r="1514" spans="1:5" x14ac:dyDescent="0.3">
      <c r="A1514">
        <v>1513</v>
      </c>
      <c r="B1514" s="1" t="s">
        <v>98</v>
      </c>
      <c r="C1514" t="s">
        <v>151</v>
      </c>
      <c r="D1514">
        <v>76</v>
      </c>
      <c r="E1514" t="s">
        <v>156</v>
      </c>
    </row>
    <row r="1515" spans="1:5" x14ac:dyDescent="0.3">
      <c r="A1515">
        <v>1514</v>
      </c>
      <c r="B1515" s="1" t="s">
        <v>99</v>
      </c>
      <c r="C1515" t="s">
        <v>150</v>
      </c>
      <c r="D1515">
        <v>42</v>
      </c>
      <c r="E1515" t="s">
        <v>156</v>
      </c>
    </row>
    <row r="1516" spans="1:5" x14ac:dyDescent="0.3">
      <c r="A1516">
        <v>1515</v>
      </c>
      <c r="B1516" s="1" t="s">
        <v>98</v>
      </c>
      <c r="C1516" t="s">
        <v>150</v>
      </c>
      <c r="D1516">
        <v>54</v>
      </c>
      <c r="E1516" t="s">
        <v>156</v>
      </c>
    </row>
    <row r="1517" spans="1:5" x14ac:dyDescent="0.3">
      <c r="A1517">
        <v>1516</v>
      </c>
      <c r="B1517" s="1" t="s">
        <v>102</v>
      </c>
      <c r="C1517" t="s">
        <v>151</v>
      </c>
      <c r="D1517">
        <v>25</v>
      </c>
      <c r="E1517" t="s">
        <v>156</v>
      </c>
    </row>
    <row r="1518" spans="1:5" x14ac:dyDescent="0.3">
      <c r="A1518">
        <v>1517</v>
      </c>
      <c r="B1518" s="1" t="s">
        <v>99</v>
      </c>
      <c r="C1518" t="s">
        <v>151</v>
      </c>
      <c r="D1518">
        <v>48</v>
      </c>
      <c r="E1518" t="s">
        <v>156</v>
      </c>
    </row>
    <row r="1519" spans="1:5" x14ac:dyDescent="0.3">
      <c r="A1519">
        <v>1518</v>
      </c>
      <c r="B1519" s="1" t="s">
        <v>98</v>
      </c>
      <c r="C1519" t="s">
        <v>151</v>
      </c>
      <c r="D1519">
        <v>66</v>
      </c>
      <c r="E1519" t="s">
        <v>156</v>
      </c>
    </row>
    <row r="1520" spans="1:5" x14ac:dyDescent="0.3">
      <c r="A1520">
        <v>1519</v>
      </c>
      <c r="B1520" s="1" t="s">
        <v>104</v>
      </c>
      <c r="C1520" t="s">
        <v>150</v>
      </c>
      <c r="D1520">
        <v>20</v>
      </c>
      <c r="E1520" t="s">
        <v>156</v>
      </c>
    </row>
    <row r="1521" spans="1:5" x14ac:dyDescent="0.3">
      <c r="A1521">
        <v>1520</v>
      </c>
      <c r="B1521" s="1" t="s">
        <v>98</v>
      </c>
      <c r="C1521" t="s">
        <v>151</v>
      </c>
      <c r="D1521">
        <v>28</v>
      </c>
      <c r="E1521" t="s">
        <v>156</v>
      </c>
    </row>
    <row r="1522" spans="1:5" x14ac:dyDescent="0.3">
      <c r="A1522">
        <v>1521</v>
      </c>
      <c r="B1522" s="1" t="s">
        <v>98</v>
      </c>
      <c r="C1522" t="s">
        <v>151</v>
      </c>
      <c r="D1522">
        <v>88</v>
      </c>
      <c r="E1522" t="s">
        <v>156</v>
      </c>
    </row>
    <row r="1523" spans="1:5" x14ac:dyDescent="0.3">
      <c r="A1523">
        <v>1522</v>
      </c>
      <c r="B1523" s="1" t="s">
        <v>98</v>
      </c>
      <c r="C1523" t="s">
        <v>150</v>
      </c>
      <c r="D1523">
        <v>81</v>
      </c>
      <c r="E1523" t="s">
        <v>156</v>
      </c>
    </row>
    <row r="1524" spans="1:5" x14ac:dyDescent="0.3">
      <c r="A1524">
        <v>1523</v>
      </c>
      <c r="B1524" s="1" t="s">
        <v>104</v>
      </c>
      <c r="C1524" t="s">
        <v>150</v>
      </c>
      <c r="D1524">
        <v>50</v>
      </c>
      <c r="E1524" t="s">
        <v>156</v>
      </c>
    </row>
    <row r="1525" spans="1:5" x14ac:dyDescent="0.3">
      <c r="A1525">
        <v>1524</v>
      </c>
      <c r="B1525" s="1" t="s">
        <v>99</v>
      </c>
      <c r="C1525" t="s">
        <v>151</v>
      </c>
      <c r="D1525">
        <v>75</v>
      </c>
      <c r="E1525" t="s">
        <v>156</v>
      </c>
    </row>
    <row r="1526" spans="1:5" x14ac:dyDescent="0.3">
      <c r="A1526">
        <v>1525</v>
      </c>
      <c r="B1526" s="1" t="s">
        <v>106</v>
      </c>
      <c r="C1526" t="s">
        <v>151</v>
      </c>
      <c r="D1526">
        <v>87</v>
      </c>
      <c r="E1526" t="s">
        <v>156</v>
      </c>
    </row>
    <row r="1527" spans="1:5" x14ac:dyDescent="0.3">
      <c r="A1527">
        <v>1526</v>
      </c>
      <c r="B1527" s="1" t="s">
        <v>98</v>
      </c>
      <c r="C1527" t="s">
        <v>151</v>
      </c>
      <c r="D1527">
        <v>50</v>
      </c>
      <c r="E1527" t="s">
        <v>156</v>
      </c>
    </row>
    <row r="1528" spans="1:5" x14ac:dyDescent="0.3">
      <c r="A1528">
        <v>1527</v>
      </c>
      <c r="B1528" s="1" t="s">
        <v>106</v>
      </c>
      <c r="C1528" t="s">
        <v>151</v>
      </c>
      <c r="D1528">
        <v>73</v>
      </c>
      <c r="E1528" t="s">
        <v>156</v>
      </c>
    </row>
    <row r="1529" spans="1:5" x14ac:dyDescent="0.3">
      <c r="A1529">
        <v>1528</v>
      </c>
      <c r="B1529" s="1" t="s">
        <v>98</v>
      </c>
      <c r="C1529" t="s">
        <v>151</v>
      </c>
      <c r="D1529">
        <v>58</v>
      </c>
      <c r="E1529" t="s">
        <v>156</v>
      </c>
    </row>
    <row r="1530" spans="1:5" x14ac:dyDescent="0.3">
      <c r="A1530">
        <v>1529</v>
      </c>
      <c r="B1530" s="1" t="s">
        <v>101</v>
      </c>
      <c r="C1530" t="s">
        <v>150</v>
      </c>
      <c r="D1530">
        <v>27</v>
      </c>
      <c r="E1530" t="s">
        <v>156</v>
      </c>
    </row>
    <row r="1531" spans="1:5" x14ac:dyDescent="0.3">
      <c r="A1531">
        <v>1530</v>
      </c>
      <c r="B1531" s="1" t="s">
        <v>103</v>
      </c>
      <c r="C1531" t="s">
        <v>151</v>
      </c>
      <c r="D1531">
        <v>79</v>
      </c>
      <c r="E1531" t="s">
        <v>156</v>
      </c>
    </row>
    <row r="1532" spans="1:5" x14ac:dyDescent="0.3">
      <c r="A1532">
        <v>1531</v>
      </c>
      <c r="B1532" s="1" t="s">
        <v>105</v>
      </c>
      <c r="C1532" t="s">
        <v>151</v>
      </c>
      <c r="D1532">
        <v>41</v>
      </c>
      <c r="E1532" t="s">
        <v>156</v>
      </c>
    </row>
    <row r="1533" spans="1:5" x14ac:dyDescent="0.3">
      <c r="A1533">
        <v>1532</v>
      </c>
      <c r="B1533" s="1" t="s">
        <v>104</v>
      </c>
      <c r="C1533" t="s">
        <v>150</v>
      </c>
      <c r="D1533">
        <v>43</v>
      </c>
      <c r="E1533" t="s">
        <v>156</v>
      </c>
    </row>
    <row r="1534" spans="1:5" x14ac:dyDescent="0.3">
      <c r="A1534">
        <v>1533</v>
      </c>
      <c r="B1534" s="1" t="s">
        <v>101</v>
      </c>
      <c r="C1534" t="s">
        <v>150</v>
      </c>
      <c r="D1534">
        <v>49</v>
      </c>
      <c r="E1534" t="s">
        <v>156</v>
      </c>
    </row>
    <row r="1535" spans="1:5" x14ac:dyDescent="0.3">
      <c r="A1535">
        <v>1534</v>
      </c>
      <c r="B1535" s="1" t="s">
        <v>98</v>
      </c>
      <c r="C1535" t="s">
        <v>151</v>
      </c>
      <c r="D1535">
        <v>18</v>
      </c>
      <c r="E1535" t="s">
        <v>156</v>
      </c>
    </row>
    <row r="1536" spans="1:5" x14ac:dyDescent="0.3">
      <c r="A1536">
        <v>1535</v>
      </c>
      <c r="B1536" s="1" t="s">
        <v>99</v>
      </c>
      <c r="C1536" t="s">
        <v>150</v>
      </c>
      <c r="D1536">
        <v>41</v>
      </c>
      <c r="E1536" t="s">
        <v>156</v>
      </c>
    </row>
    <row r="1537" spans="1:5" x14ac:dyDescent="0.3">
      <c r="A1537">
        <v>1536</v>
      </c>
      <c r="B1537" s="1" t="s">
        <v>98</v>
      </c>
      <c r="C1537" t="s">
        <v>151</v>
      </c>
      <c r="D1537">
        <v>50</v>
      </c>
      <c r="E1537" t="s">
        <v>156</v>
      </c>
    </row>
    <row r="1538" spans="1:5" x14ac:dyDescent="0.3">
      <c r="A1538">
        <v>1537</v>
      </c>
      <c r="B1538" s="1" t="s">
        <v>98</v>
      </c>
      <c r="C1538" t="s">
        <v>151</v>
      </c>
      <c r="D1538">
        <v>83</v>
      </c>
      <c r="E1538" t="s">
        <v>156</v>
      </c>
    </row>
    <row r="1539" spans="1:5" x14ac:dyDescent="0.3">
      <c r="A1539">
        <v>1538</v>
      </c>
      <c r="B1539" s="1" t="s">
        <v>98</v>
      </c>
      <c r="C1539" t="s">
        <v>151</v>
      </c>
      <c r="D1539">
        <v>21</v>
      </c>
      <c r="E1539" t="s">
        <v>156</v>
      </c>
    </row>
    <row r="1540" spans="1:5" x14ac:dyDescent="0.3">
      <c r="A1540">
        <v>1539</v>
      </c>
      <c r="B1540" s="1" t="s">
        <v>98</v>
      </c>
      <c r="C1540" t="s">
        <v>151</v>
      </c>
      <c r="D1540">
        <v>73</v>
      </c>
      <c r="E1540" t="s">
        <v>156</v>
      </c>
    </row>
    <row r="1541" spans="1:5" x14ac:dyDescent="0.3">
      <c r="A1541">
        <v>1540</v>
      </c>
      <c r="B1541" s="1" t="s">
        <v>100</v>
      </c>
      <c r="C1541" t="s">
        <v>150</v>
      </c>
      <c r="D1541">
        <v>58</v>
      </c>
      <c r="E1541" t="s">
        <v>156</v>
      </c>
    </row>
    <row r="1542" spans="1:5" x14ac:dyDescent="0.3">
      <c r="A1542">
        <v>1541</v>
      </c>
      <c r="B1542" s="1" t="s">
        <v>99</v>
      </c>
      <c r="C1542" t="s">
        <v>150</v>
      </c>
      <c r="D1542">
        <v>50</v>
      </c>
      <c r="E1542" t="s">
        <v>156</v>
      </c>
    </row>
    <row r="1543" spans="1:5" x14ac:dyDescent="0.3">
      <c r="A1543">
        <v>1542</v>
      </c>
      <c r="B1543" s="1" t="s">
        <v>99</v>
      </c>
      <c r="C1543" t="s">
        <v>150</v>
      </c>
      <c r="D1543">
        <v>65</v>
      </c>
      <c r="E1543" t="s">
        <v>156</v>
      </c>
    </row>
    <row r="1544" spans="1:5" x14ac:dyDescent="0.3">
      <c r="A1544">
        <v>1543</v>
      </c>
      <c r="B1544" s="1" t="s">
        <v>98</v>
      </c>
      <c r="C1544" t="s">
        <v>150</v>
      </c>
      <c r="D1544">
        <v>68</v>
      </c>
      <c r="E1544" t="s">
        <v>156</v>
      </c>
    </row>
    <row r="1545" spans="1:5" x14ac:dyDescent="0.3">
      <c r="A1545">
        <v>1544</v>
      </c>
      <c r="B1545" s="1" t="s">
        <v>98</v>
      </c>
      <c r="C1545" t="s">
        <v>150</v>
      </c>
      <c r="D1545">
        <v>77</v>
      </c>
      <c r="E1545" t="s">
        <v>156</v>
      </c>
    </row>
    <row r="1546" spans="1:5" x14ac:dyDescent="0.3">
      <c r="A1546">
        <v>1545</v>
      </c>
      <c r="B1546" s="1" t="s">
        <v>102</v>
      </c>
      <c r="C1546" t="s">
        <v>151</v>
      </c>
      <c r="D1546">
        <v>30</v>
      </c>
      <c r="E1546" t="s">
        <v>156</v>
      </c>
    </row>
    <row r="1547" spans="1:5" x14ac:dyDescent="0.3">
      <c r="A1547">
        <v>1546</v>
      </c>
      <c r="B1547" s="1" t="s">
        <v>103</v>
      </c>
      <c r="C1547" t="s">
        <v>151</v>
      </c>
      <c r="D1547">
        <v>33</v>
      </c>
      <c r="E1547" t="s">
        <v>156</v>
      </c>
    </row>
    <row r="1548" spans="1:5" x14ac:dyDescent="0.3">
      <c r="A1548">
        <v>1547</v>
      </c>
      <c r="B1548" s="1" t="s">
        <v>99</v>
      </c>
      <c r="C1548" t="s">
        <v>150</v>
      </c>
      <c r="D1548">
        <v>37</v>
      </c>
      <c r="E1548" t="s">
        <v>156</v>
      </c>
    </row>
    <row r="1549" spans="1:5" x14ac:dyDescent="0.3">
      <c r="A1549">
        <v>1548</v>
      </c>
      <c r="B1549" s="1" t="s">
        <v>99</v>
      </c>
      <c r="C1549" t="s">
        <v>150</v>
      </c>
      <c r="D1549">
        <v>46</v>
      </c>
      <c r="E1549" t="s">
        <v>156</v>
      </c>
    </row>
    <row r="1550" spans="1:5" x14ac:dyDescent="0.3">
      <c r="A1550">
        <v>1549</v>
      </c>
      <c r="B1550" s="1" t="s">
        <v>98</v>
      </c>
      <c r="C1550" t="s">
        <v>151</v>
      </c>
      <c r="D1550">
        <v>70</v>
      </c>
      <c r="E1550" t="s">
        <v>156</v>
      </c>
    </row>
    <row r="1551" spans="1:5" x14ac:dyDescent="0.3">
      <c r="A1551">
        <v>1550</v>
      </c>
      <c r="B1551" s="1" t="s">
        <v>98</v>
      </c>
      <c r="C1551" t="s">
        <v>150</v>
      </c>
      <c r="D1551">
        <v>67</v>
      </c>
      <c r="E1551" t="s">
        <v>156</v>
      </c>
    </row>
    <row r="1552" spans="1:5" x14ac:dyDescent="0.3">
      <c r="A1552">
        <v>1551</v>
      </c>
      <c r="B1552" s="1" t="s">
        <v>98</v>
      </c>
      <c r="C1552" t="s">
        <v>150</v>
      </c>
      <c r="D1552">
        <v>21</v>
      </c>
      <c r="E1552" t="s">
        <v>156</v>
      </c>
    </row>
    <row r="1553" spans="1:5" x14ac:dyDescent="0.3">
      <c r="A1553">
        <v>1552</v>
      </c>
      <c r="B1553" s="1" t="s">
        <v>106</v>
      </c>
      <c r="C1553" t="s">
        <v>151</v>
      </c>
      <c r="D1553">
        <v>37</v>
      </c>
      <c r="E1553" t="s">
        <v>156</v>
      </c>
    </row>
    <row r="1554" spans="1:5" x14ac:dyDescent="0.3">
      <c r="A1554">
        <v>1553</v>
      </c>
      <c r="B1554" s="1" t="s">
        <v>99</v>
      </c>
      <c r="C1554" t="s">
        <v>150</v>
      </c>
      <c r="D1554">
        <v>81</v>
      </c>
      <c r="E1554" t="s">
        <v>156</v>
      </c>
    </row>
    <row r="1555" spans="1:5" x14ac:dyDescent="0.3">
      <c r="A1555">
        <v>1554</v>
      </c>
      <c r="B1555" s="1" t="s">
        <v>108</v>
      </c>
      <c r="C1555" t="s">
        <v>151</v>
      </c>
      <c r="D1555">
        <v>52</v>
      </c>
      <c r="E1555" t="s">
        <v>156</v>
      </c>
    </row>
    <row r="1556" spans="1:5" x14ac:dyDescent="0.3">
      <c r="A1556">
        <v>1555</v>
      </c>
      <c r="B1556" s="1" t="s">
        <v>98</v>
      </c>
      <c r="C1556" t="s">
        <v>151</v>
      </c>
      <c r="D1556">
        <v>28</v>
      </c>
      <c r="E1556" t="s">
        <v>156</v>
      </c>
    </row>
    <row r="1557" spans="1:5" x14ac:dyDescent="0.3">
      <c r="A1557">
        <v>1556</v>
      </c>
      <c r="B1557" s="1" t="s">
        <v>100</v>
      </c>
      <c r="C1557" t="s">
        <v>151</v>
      </c>
      <c r="D1557">
        <v>76</v>
      </c>
      <c r="E1557" t="s">
        <v>156</v>
      </c>
    </row>
    <row r="1558" spans="1:5" x14ac:dyDescent="0.3">
      <c r="A1558">
        <v>1557</v>
      </c>
      <c r="B1558" s="1" t="s">
        <v>98</v>
      </c>
      <c r="C1558" t="s">
        <v>150</v>
      </c>
      <c r="D1558">
        <v>28</v>
      </c>
      <c r="E1558" t="s">
        <v>156</v>
      </c>
    </row>
    <row r="1559" spans="1:5" x14ac:dyDescent="0.3">
      <c r="A1559">
        <v>1558</v>
      </c>
      <c r="B1559" s="1" t="s">
        <v>101</v>
      </c>
      <c r="C1559" t="s">
        <v>151</v>
      </c>
      <c r="D1559">
        <v>83</v>
      </c>
      <c r="E1559" t="s">
        <v>156</v>
      </c>
    </row>
    <row r="1560" spans="1:5" x14ac:dyDescent="0.3">
      <c r="A1560">
        <v>1559</v>
      </c>
      <c r="B1560" s="1" t="s">
        <v>104</v>
      </c>
      <c r="C1560" t="s">
        <v>151</v>
      </c>
      <c r="D1560">
        <v>68</v>
      </c>
      <c r="E1560" t="s">
        <v>156</v>
      </c>
    </row>
    <row r="1561" spans="1:5" x14ac:dyDescent="0.3">
      <c r="A1561">
        <v>1560</v>
      </c>
      <c r="B1561" s="1" t="s">
        <v>105</v>
      </c>
      <c r="C1561" t="s">
        <v>150</v>
      </c>
      <c r="D1561">
        <v>36</v>
      </c>
      <c r="E1561" t="s">
        <v>156</v>
      </c>
    </row>
    <row r="1562" spans="1:5" x14ac:dyDescent="0.3">
      <c r="A1562">
        <v>1561</v>
      </c>
      <c r="B1562" s="1" t="s">
        <v>109</v>
      </c>
      <c r="C1562" t="s">
        <v>151</v>
      </c>
      <c r="D1562">
        <v>28</v>
      </c>
      <c r="E1562" t="s">
        <v>156</v>
      </c>
    </row>
    <row r="1563" spans="1:5" x14ac:dyDescent="0.3">
      <c r="A1563">
        <v>1562</v>
      </c>
      <c r="B1563" s="1" t="s">
        <v>104</v>
      </c>
      <c r="C1563" t="s">
        <v>150</v>
      </c>
      <c r="D1563">
        <v>20</v>
      </c>
      <c r="E1563" t="s">
        <v>156</v>
      </c>
    </row>
    <row r="1564" spans="1:5" x14ac:dyDescent="0.3">
      <c r="A1564">
        <v>1563</v>
      </c>
      <c r="B1564" s="1" t="s">
        <v>102</v>
      </c>
      <c r="C1564" t="s">
        <v>151</v>
      </c>
      <c r="D1564">
        <v>65</v>
      </c>
      <c r="E1564" t="s">
        <v>156</v>
      </c>
    </row>
    <row r="1565" spans="1:5" x14ac:dyDescent="0.3">
      <c r="A1565">
        <v>1564</v>
      </c>
      <c r="B1565" s="1" t="s">
        <v>105</v>
      </c>
      <c r="C1565" t="s">
        <v>150</v>
      </c>
      <c r="D1565">
        <v>89</v>
      </c>
      <c r="E1565" t="s">
        <v>156</v>
      </c>
    </row>
    <row r="1566" spans="1:5" x14ac:dyDescent="0.3">
      <c r="A1566">
        <v>1565</v>
      </c>
      <c r="B1566" s="1" t="s">
        <v>101</v>
      </c>
      <c r="C1566" t="s">
        <v>150</v>
      </c>
      <c r="D1566">
        <v>64</v>
      </c>
      <c r="E1566" t="s">
        <v>156</v>
      </c>
    </row>
    <row r="1567" spans="1:5" x14ac:dyDescent="0.3">
      <c r="A1567">
        <v>1566</v>
      </c>
      <c r="B1567" s="1" t="s">
        <v>98</v>
      </c>
      <c r="C1567" t="s">
        <v>150</v>
      </c>
      <c r="D1567">
        <v>64</v>
      </c>
      <c r="E1567" t="s">
        <v>156</v>
      </c>
    </row>
    <row r="1568" spans="1:5" x14ac:dyDescent="0.3">
      <c r="A1568">
        <v>1567</v>
      </c>
      <c r="B1568" s="1" t="s">
        <v>98</v>
      </c>
      <c r="C1568" t="s">
        <v>150</v>
      </c>
      <c r="D1568">
        <v>25</v>
      </c>
      <c r="E1568" t="s">
        <v>156</v>
      </c>
    </row>
    <row r="1569" spans="1:5" x14ac:dyDescent="0.3">
      <c r="A1569">
        <v>1568</v>
      </c>
      <c r="B1569" s="1" t="s">
        <v>104</v>
      </c>
      <c r="C1569" t="s">
        <v>151</v>
      </c>
      <c r="D1569">
        <v>47</v>
      </c>
      <c r="E1569" t="s">
        <v>156</v>
      </c>
    </row>
    <row r="1570" spans="1:5" x14ac:dyDescent="0.3">
      <c r="A1570">
        <v>1569</v>
      </c>
      <c r="B1570" s="1" t="s">
        <v>104</v>
      </c>
      <c r="C1570" t="s">
        <v>151</v>
      </c>
      <c r="D1570">
        <v>20</v>
      </c>
      <c r="E1570" t="s">
        <v>156</v>
      </c>
    </row>
    <row r="1571" spans="1:5" x14ac:dyDescent="0.3">
      <c r="A1571">
        <v>1570</v>
      </c>
      <c r="B1571" s="1" t="s">
        <v>98</v>
      </c>
      <c r="C1571" t="s">
        <v>150</v>
      </c>
      <c r="D1571">
        <v>46</v>
      </c>
      <c r="E1571" t="s">
        <v>156</v>
      </c>
    </row>
    <row r="1572" spans="1:5" x14ac:dyDescent="0.3">
      <c r="A1572">
        <v>1571</v>
      </c>
      <c r="B1572" s="1" t="s">
        <v>98</v>
      </c>
      <c r="C1572" t="s">
        <v>151</v>
      </c>
      <c r="D1572">
        <v>71</v>
      </c>
      <c r="E1572" t="s">
        <v>156</v>
      </c>
    </row>
    <row r="1573" spans="1:5" x14ac:dyDescent="0.3">
      <c r="A1573">
        <v>1572</v>
      </c>
      <c r="B1573" s="1" t="s">
        <v>98</v>
      </c>
      <c r="C1573" t="s">
        <v>151</v>
      </c>
      <c r="D1573">
        <v>47</v>
      </c>
      <c r="E1573" t="s">
        <v>156</v>
      </c>
    </row>
    <row r="1574" spans="1:5" x14ac:dyDescent="0.3">
      <c r="A1574">
        <v>1573</v>
      </c>
      <c r="B1574" s="1" t="s">
        <v>106</v>
      </c>
      <c r="C1574" t="s">
        <v>151</v>
      </c>
      <c r="D1574">
        <v>72</v>
      </c>
      <c r="E1574" t="s">
        <v>156</v>
      </c>
    </row>
    <row r="1575" spans="1:5" x14ac:dyDescent="0.3">
      <c r="A1575">
        <v>1574</v>
      </c>
      <c r="B1575" s="1" t="s">
        <v>103</v>
      </c>
      <c r="C1575" t="s">
        <v>151</v>
      </c>
      <c r="D1575">
        <v>36</v>
      </c>
      <c r="E1575" t="s">
        <v>156</v>
      </c>
    </row>
    <row r="1576" spans="1:5" x14ac:dyDescent="0.3">
      <c r="A1576">
        <v>1575</v>
      </c>
      <c r="B1576" s="1" t="s">
        <v>98</v>
      </c>
      <c r="C1576" t="s">
        <v>150</v>
      </c>
      <c r="D1576">
        <v>84</v>
      </c>
      <c r="E1576" t="s">
        <v>156</v>
      </c>
    </row>
    <row r="1577" spans="1:5" x14ac:dyDescent="0.3">
      <c r="A1577">
        <v>1576</v>
      </c>
      <c r="B1577" s="1" t="s">
        <v>98</v>
      </c>
      <c r="C1577" t="s">
        <v>150</v>
      </c>
      <c r="D1577">
        <v>70</v>
      </c>
      <c r="E1577" t="s">
        <v>156</v>
      </c>
    </row>
    <row r="1578" spans="1:5" x14ac:dyDescent="0.3">
      <c r="A1578">
        <v>1577</v>
      </c>
      <c r="B1578" s="1" t="s">
        <v>99</v>
      </c>
      <c r="C1578" t="s">
        <v>150</v>
      </c>
      <c r="D1578">
        <v>55</v>
      </c>
      <c r="E1578" t="s">
        <v>156</v>
      </c>
    </row>
    <row r="1579" spans="1:5" x14ac:dyDescent="0.3">
      <c r="A1579">
        <v>1578</v>
      </c>
      <c r="B1579" s="1" t="s">
        <v>106</v>
      </c>
      <c r="C1579" t="s">
        <v>150</v>
      </c>
      <c r="D1579">
        <v>24</v>
      </c>
      <c r="E1579" t="s">
        <v>156</v>
      </c>
    </row>
    <row r="1580" spans="1:5" x14ac:dyDescent="0.3">
      <c r="A1580">
        <v>1579</v>
      </c>
      <c r="B1580" s="1" t="s">
        <v>99</v>
      </c>
      <c r="C1580" t="s">
        <v>151</v>
      </c>
      <c r="D1580">
        <v>74</v>
      </c>
      <c r="E1580" t="s">
        <v>156</v>
      </c>
    </row>
    <row r="1581" spans="1:5" x14ac:dyDescent="0.3">
      <c r="A1581">
        <v>1580</v>
      </c>
      <c r="B1581" s="1" t="s">
        <v>100</v>
      </c>
      <c r="C1581" t="s">
        <v>150</v>
      </c>
      <c r="D1581">
        <v>85</v>
      </c>
      <c r="E1581" t="s">
        <v>156</v>
      </c>
    </row>
    <row r="1582" spans="1:5" x14ac:dyDescent="0.3">
      <c r="A1582">
        <v>1581</v>
      </c>
      <c r="B1582" s="1" t="s">
        <v>98</v>
      </c>
      <c r="C1582" t="s">
        <v>150</v>
      </c>
      <c r="D1582">
        <v>79</v>
      </c>
      <c r="E1582" t="s">
        <v>156</v>
      </c>
    </row>
    <row r="1583" spans="1:5" x14ac:dyDescent="0.3">
      <c r="A1583">
        <v>1582</v>
      </c>
      <c r="B1583" s="1" t="s">
        <v>99</v>
      </c>
      <c r="C1583" t="s">
        <v>150</v>
      </c>
      <c r="D1583">
        <v>69</v>
      </c>
      <c r="E1583" t="s">
        <v>156</v>
      </c>
    </row>
    <row r="1584" spans="1:5" x14ac:dyDescent="0.3">
      <c r="A1584">
        <v>1583</v>
      </c>
      <c r="B1584" s="1" t="s">
        <v>105</v>
      </c>
      <c r="C1584" t="s">
        <v>151</v>
      </c>
      <c r="D1584">
        <v>73</v>
      </c>
      <c r="E1584" t="s">
        <v>156</v>
      </c>
    </row>
    <row r="1585" spans="1:5" x14ac:dyDescent="0.3">
      <c r="A1585">
        <v>1584</v>
      </c>
      <c r="B1585" s="1" t="s">
        <v>98</v>
      </c>
      <c r="C1585" t="s">
        <v>151</v>
      </c>
      <c r="D1585">
        <v>30</v>
      </c>
      <c r="E1585" t="s">
        <v>156</v>
      </c>
    </row>
    <row r="1586" spans="1:5" x14ac:dyDescent="0.3">
      <c r="A1586">
        <v>1585</v>
      </c>
      <c r="B1586" s="1" t="s">
        <v>99</v>
      </c>
      <c r="C1586" t="s">
        <v>151</v>
      </c>
      <c r="D1586">
        <v>51</v>
      </c>
      <c r="E1586" t="s">
        <v>156</v>
      </c>
    </row>
    <row r="1587" spans="1:5" x14ac:dyDescent="0.3">
      <c r="A1587">
        <v>1586</v>
      </c>
      <c r="B1587" s="1" t="s">
        <v>99</v>
      </c>
      <c r="C1587" t="s">
        <v>151</v>
      </c>
      <c r="D1587">
        <v>42</v>
      </c>
      <c r="E1587" t="s">
        <v>156</v>
      </c>
    </row>
    <row r="1588" spans="1:5" x14ac:dyDescent="0.3">
      <c r="A1588">
        <v>1587</v>
      </c>
      <c r="B1588" s="1" t="s">
        <v>98</v>
      </c>
      <c r="C1588" t="s">
        <v>150</v>
      </c>
      <c r="D1588">
        <v>41</v>
      </c>
      <c r="E1588" t="s">
        <v>156</v>
      </c>
    </row>
    <row r="1589" spans="1:5" x14ac:dyDescent="0.3">
      <c r="A1589">
        <v>1588</v>
      </c>
      <c r="B1589" s="1" t="s">
        <v>99</v>
      </c>
      <c r="C1589" t="s">
        <v>150</v>
      </c>
      <c r="D1589">
        <v>74</v>
      </c>
      <c r="E1589" t="s">
        <v>156</v>
      </c>
    </row>
    <row r="1590" spans="1:5" x14ac:dyDescent="0.3">
      <c r="A1590">
        <v>1589</v>
      </c>
      <c r="B1590" s="1" t="s">
        <v>98</v>
      </c>
      <c r="C1590" t="s">
        <v>151</v>
      </c>
      <c r="D1590">
        <v>20</v>
      </c>
      <c r="E1590" t="s">
        <v>156</v>
      </c>
    </row>
    <row r="1591" spans="1:5" x14ac:dyDescent="0.3">
      <c r="A1591">
        <v>1590</v>
      </c>
      <c r="B1591" s="1" t="s">
        <v>105</v>
      </c>
      <c r="C1591" t="s">
        <v>150</v>
      </c>
      <c r="D1591">
        <v>69</v>
      </c>
      <c r="E1591" t="s">
        <v>156</v>
      </c>
    </row>
    <row r="1592" spans="1:5" x14ac:dyDescent="0.3">
      <c r="A1592">
        <v>1591</v>
      </c>
      <c r="B1592" s="1" t="s">
        <v>98</v>
      </c>
      <c r="C1592" t="s">
        <v>150</v>
      </c>
      <c r="D1592">
        <v>61</v>
      </c>
      <c r="E1592" t="s">
        <v>156</v>
      </c>
    </row>
    <row r="1593" spans="1:5" x14ac:dyDescent="0.3">
      <c r="A1593">
        <v>1592</v>
      </c>
      <c r="B1593" s="1" t="s">
        <v>100</v>
      </c>
      <c r="C1593" t="s">
        <v>150</v>
      </c>
      <c r="D1593">
        <v>67</v>
      </c>
      <c r="E1593" t="s">
        <v>156</v>
      </c>
    </row>
    <row r="1594" spans="1:5" x14ac:dyDescent="0.3">
      <c r="A1594">
        <v>1593</v>
      </c>
      <c r="B1594" s="1" t="s">
        <v>99</v>
      </c>
      <c r="C1594" t="s">
        <v>151</v>
      </c>
      <c r="D1594">
        <v>34</v>
      </c>
      <c r="E1594" t="s">
        <v>156</v>
      </c>
    </row>
    <row r="1595" spans="1:5" x14ac:dyDescent="0.3">
      <c r="A1595">
        <v>1594</v>
      </c>
      <c r="B1595" s="1" t="s">
        <v>100</v>
      </c>
      <c r="C1595" t="s">
        <v>150</v>
      </c>
      <c r="D1595">
        <v>27</v>
      </c>
      <c r="E1595" t="s">
        <v>156</v>
      </c>
    </row>
    <row r="1596" spans="1:5" x14ac:dyDescent="0.3">
      <c r="A1596">
        <v>1595</v>
      </c>
      <c r="B1596" s="1" t="s">
        <v>98</v>
      </c>
      <c r="C1596" t="s">
        <v>151</v>
      </c>
      <c r="D1596">
        <v>67</v>
      </c>
      <c r="E1596" t="s">
        <v>156</v>
      </c>
    </row>
    <row r="1597" spans="1:5" x14ac:dyDescent="0.3">
      <c r="A1597">
        <v>1596</v>
      </c>
      <c r="B1597" s="1" t="s">
        <v>98</v>
      </c>
      <c r="C1597" t="s">
        <v>151</v>
      </c>
      <c r="D1597">
        <v>44</v>
      </c>
      <c r="E1597" t="s">
        <v>156</v>
      </c>
    </row>
    <row r="1598" spans="1:5" x14ac:dyDescent="0.3">
      <c r="A1598">
        <v>1597</v>
      </c>
      <c r="B1598" s="1" t="s">
        <v>107</v>
      </c>
      <c r="C1598" t="s">
        <v>151</v>
      </c>
      <c r="D1598">
        <v>44</v>
      </c>
      <c r="E1598" t="s">
        <v>156</v>
      </c>
    </row>
    <row r="1599" spans="1:5" x14ac:dyDescent="0.3">
      <c r="A1599">
        <v>1598</v>
      </c>
      <c r="B1599" s="1" t="s">
        <v>109</v>
      </c>
      <c r="C1599" t="s">
        <v>151</v>
      </c>
      <c r="D1599">
        <v>29</v>
      </c>
      <c r="E1599" t="s">
        <v>156</v>
      </c>
    </row>
    <row r="1600" spans="1:5" x14ac:dyDescent="0.3">
      <c r="A1600">
        <v>1599</v>
      </c>
      <c r="B1600" s="1" t="s">
        <v>98</v>
      </c>
      <c r="C1600" t="s">
        <v>150</v>
      </c>
      <c r="D1600">
        <v>81</v>
      </c>
      <c r="E1600" t="s">
        <v>156</v>
      </c>
    </row>
    <row r="1601" spans="1:5" x14ac:dyDescent="0.3">
      <c r="A1601">
        <v>1600</v>
      </c>
      <c r="B1601" s="1" t="s">
        <v>104</v>
      </c>
      <c r="C1601" t="s">
        <v>151</v>
      </c>
      <c r="D1601">
        <v>87</v>
      </c>
      <c r="E1601" t="s">
        <v>156</v>
      </c>
    </row>
    <row r="1602" spans="1:5" x14ac:dyDescent="0.3">
      <c r="A1602">
        <v>1601</v>
      </c>
      <c r="B1602" s="1" t="s">
        <v>99</v>
      </c>
      <c r="C1602" t="s">
        <v>151</v>
      </c>
      <c r="D1602">
        <v>22</v>
      </c>
      <c r="E1602" t="s">
        <v>156</v>
      </c>
    </row>
    <row r="1603" spans="1:5" x14ac:dyDescent="0.3">
      <c r="A1603">
        <v>1602</v>
      </c>
      <c r="B1603" s="1" t="s">
        <v>98</v>
      </c>
      <c r="C1603" t="s">
        <v>150</v>
      </c>
      <c r="D1603">
        <v>53</v>
      </c>
      <c r="E1603" t="s">
        <v>156</v>
      </c>
    </row>
    <row r="1604" spans="1:5" x14ac:dyDescent="0.3">
      <c r="A1604">
        <v>1603</v>
      </c>
      <c r="B1604" s="1" t="s">
        <v>98</v>
      </c>
      <c r="C1604" t="s">
        <v>150</v>
      </c>
      <c r="D1604">
        <v>73</v>
      </c>
      <c r="E1604" t="s">
        <v>156</v>
      </c>
    </row>
    <row r="1605" spans="1:5" x14ac:dyDescent="0.3">
      <c r="A1605">
        <v>1604</v>
      </c>
      <c r="B1605" s="1" t="s">
        <v>104</v>
      </c>
      <c r="C1605" t="s">
        <v>151</v>
      </c>
      <c r="D1605">
        <v>76</v>
      </c>
      <c r="E1605" t="s">
        <v>156</v>
      </c>
    </row>
    <row r="1606" spans="1:5" x14ac:dyDescent="0.3">
      <c r="A1606">
        <v>1605</v>
      </c>
      <c r="B1606" s="1" t="s">
        <v>104</v>
      </c>
      <c r="C1606" t="s">
        <v>151</v>
      </c>
      <c r="D1606">
        <v>45</v>
      </c>
      <c r="E1606" t="s">
        <v>156</v>
      </c>
    </row>
    <row r="1607" spans="1:5" x14ac:dyDescent="0.3">
      <c r="A1607">
        <v>1606</v>
      </c>
      <c r="B1607" s="1" t="s">
        <v>99</v>
      </c>
      <c r="C1607" t="s">
        <v>150</v>
      </c>
      <c r="D1607">
        <v>23</v>
      </c>
      <c r="E1607" t="s">
        <v>156</v>
      </c>
    </row>
    <row r="1608" spans="1:5" x14ac:dyDescent="0.3">
      <c r="A1608">
        <v>1607</v>
      </c>
      <c r="B1608" s="1" t="s">
        <v>100</v>
      </c>
      <c r="C1608" t="s">
        <v>150</v>
      </c>
      <c r="D1608">
        <v>65</v>
      </c>
      <c r="E1608" t="s">
        <v>156</v>
      </c>
    </row>
    <row r="1609" spans="1:5" x14ac:dyDescent="0.3">
      <c r="A1609">
        <v>1608</v>
      </c>
      <c r="B1609" s="1" t="s">
        <v>98</v>
      </c>
      <c r="C1609" t="s">
        <v>150</v>
      </c>
      <c r="D1609">
        <v>43</v>
      </c>
      <c r="E1609" t="s">
        <v>156</v>
      </c>
    </row>
    <row r="1610" spans="1:5" x14ac:dyDescent="0.3">
      <c r="A1610">
        <v>1609</v>
      </c>
      <c r="B1610" s="1" t="s">
        <v>98</v>
      </c>
      <c r="C1610" t="s">
        <v>151</v>
      </c>
      <c r="D1610">
        <v>64</v>
      </c>
      <c r="E1610" t="s">
        <v>156</v>
      </c>
    </row>
    <row r="1611" spans="1:5" x14ac:dyDescent="0.3">
      <c r="A1611">
        <v>1610</v>
      </c>
      <c r="B1611" s="1" t="s">
        <v>100</v>
      </c>
      <c r="C1611" t="s">
        <v>151</v>
      </c>
      <c r="D1611">
        <v>72</v>
      </c>
      <c r="E1611" t="s">
        <v>156</v>
      </c>
    </row>
    <row r="1612" spans="1:5" x14ac:dyDescent="0.3">
      <c r="A1612">
        <v>1611</v>
      </c>
      <c r="B1612" s="1" t="s">
        <v>99</v>
      </c>
      <c r="C1612" t="s">
        <v>150</v>
      </c>
      <c r="D1612">
        <v>37</v>
      </c>
      <c r="E1612" t="s">
        <v>156</v>
      </c>
    </row>
    <row r="1613" spans="1:5" x14ac:dyDescent="0.3">
      <c r="A1613">
        <v>1612</v>
      </c>
      <c r="B1613" s="1" t="s">
        <v>104</v>
      </c>
      <c r="C1613" t="s">
        <v>150</v>
      </c>
      <c r="D1613">
        <v>75</v>
      </c>
      <c r="E1613" t="s">
        <v>156</v>
      </c>
    </row>
    <row r="1614" spans="1:5" x14ac:dyDescent="0.3">
      <c r="A1614">
        <v>1613</v>
      </c>
      <c r="B1614" s="1" t="s">
        <v>98</v>
      </c>
      <c r="C1614" t="s">
        <v>150</v>
      </c>
      <c r="D1614">
        <v>71</v>
      </c>
      <c r="E1614" t="s">
        <v>156</v>
      </c>
    </row>
    <row r="1615" spans="1:5" x14ac:dyDescent="0.3">
      <c r="A1615">
        <v>1614</v>
      </c>
      <c r="B1615" s="1" t="s">
        <v>98</v>
      </c>
      <c r="C1615" t="s">
        <v>150</v>
      </c>
      <c r="D1615">
        <v>37</v>
      </c>
      <c r="E1615" t="s">
        <v>156</v>
      </c>
    </row>
    <row r="1616" spans="1:5" x14ac:dyDescent="0.3">
      <c r="A1616">
        <v>1615</v>
      </c>
      <c r="B1616" s="1" t="s">
        <v>104</v>
      </c>
      <c r="C1616" t="s">
        <v>150</v>
      </c>
      <c r="D1616">
        <v>64</v>
      </c>
      <c r="E1616" t="s">
        <v>156</v>
      </c>
    </row>
    <row r="1617" spans="1:5" x14ac:dyDescent="0.3">
      <c r="A1617">
        <v>1616</v>
      </c>
      <c r="B1617" s="1" t="s">
        <v>98</v>
      </c>
      <c r="C1617" t="s">
        <v>151</v>
      </c>
      <c r="D1617">
        <v>38</v>
      </c>
      <c r="E1617" t="s">
        <v>156</v>
      </c>
    </row>
    <row r="1618" spans="1:5" x14ac:dyDescent="0.3">
      <c r="A1618">
        <v>1617</v>
      </c>
      <c r="B1618" s="1" t="s">
        <v>103</v>
      </c>
      <c r="C1618" t="s">
        <v>150</v>
      </c>
      <c r="D1618">
        <v>50</v>
      </c>
      <c r="E1618" t="s">
        <v>156</v>
      </c>
    </row>
    <row r="1619" spans="1:5" x14ac:dyDescent="0.3">
      <c r="A1619">
        <v>1618</v>
      </c>
      <c r="B1619" s="1" t="s">
        <v>98</v>
      </c>
      <c r="C1619" t="s">
        <v>150</v>
      </c>
      <c r="D1619">
        <v>50</v>
      </c>
      <c r="E1619" t="s">
        <v>156</v>
      </c>
    </row>
    <row r="1620" spans="1:5" x14ac:dyDescent="0.3">
      <c r="A1620">
        <v>1619</v>
      </c>
      <c r="B1620" s="1" t="s">
        <v>98</v>
      </c>
      <c r="C1620" t="s">
        <v>150</v>
      </c>
      <c r="D1620">
        <v>56</v>
      </c>
      <c r="E1620" t="s">
        <v>156</v>
      </c>
    </row>
    <row r="1621" spans="1:5" x14ac:dyDescent="0.3">
      <c r="A1621">
        <v>1620</v>
      </c>
      <c r="B1621" s="1" t="s">
        <v>98</v>
      </c>
      <c r="C1621" t="s">
        <v>151</v>
      </c>
      <c r="D1621">
        <v>61</v>
      </c>
      <c r="E1621" t="s">
        <v>156</v>
      </c>
    </row>
    <row r="1622" spans="1:5" x14ac:dyDescent="0.3">
      <c r="A1622">
        <v>1621</v>
      </c>
      <c r="B1622" s="1" t="s">
        <v>100</v>
      </c>
      <c r="C1622" t="s">
        <v>150</v>
      </c>
      <c r="D1622">
        <v>21</v>
      </c>
      <c r="E1622" t="s">
        <v>156</v>
      </c>
    </row>
    <row r="1623" spans="1:5" x14ac:dyDescent="0.3">
      <c r="A1623">
        <v>1622</v>
      </c>
      <c r="B1623" s="1" t="s">
        <v>99</v>
      </c>
      <c r="C1623" t="s">
        <v>151</v>
      </c>
      <c r="D1623">
        <v>87</v>
      </c>
      <c r="E1623" t="s">
        <v>156</v>
      </c>
    </row>
    <row r="1624" spans="1:5" x14ac:dyDescent="0.3">
      <c r="A1624">
        <v>1623</v>
      </c>
      <c r="B1624" s="1" t="s">
        <v>104</v>
      </c>
      <c r="C1624" t="s">
        <v>150</v>
      </c>
      <c r="D1624">
        <v>46</v>
      </c>
      <c r="E1624" t="s">
        <v>156</v>
      </c>
    </row>
    <row r="1625" spans="1:5" x14ac:dyDescent="0.3">
      <c r="A1625">
        <v>1624</v>
      </c>
      <c r="B1625" s="1" t="s">
        <v>98</v>
      </c>
      <c r="C1625" t="s">
        <v>150</v>
      </c>
      <c r="D1625">
        <v>32</v>
      </c>
      <c r="E1625" t="s">
        <v>156</v>
      </c>
    </row>
    <row r="1626" spans="1:5" x14ac:dyDescent="0.3">
      <c r="A1626">
        <v>1625</v>
      </c>
      <c r="B1626" s="1" t="s">
        <v>108</v>
      </c>
      <c r="C1626" t="s">
        <v>151</v>
      </c>
      <c r="D1626">
        <v>61</v>
      </c>
      <c r="E1626" t="s">
        <v>156</v>
      </c>
    </row>
    <row r="1627" spans="1:5" x14ac:dyDescent="0.3">
      <c r="A1627">
        <v>1626</v>
      </c>
      <c r="B1627" s="1" t="s">
        <v>98</v>
      </c>
      <c r="C1627" t="s">
        <v>151</v>
      </c>
      <c r="D1627">
        <v>31</v>
      </c>
      <c r="E1627" t="s">
        <v>156</v>
      </c>
    </row>
    <row r="1628" spans="1:5" x14ac:dyDescent="0.3">
      <c r="A1628">
        <v>1627</v>
      </c>
      <c r="B1628" s="1" t="s">
        <v>100</v>
      </c>
      <c r="C1628" t="s">
        <v>151</v>
      </c>
      <c r="D1628">
        <v>61</v>
      </c>
      <c r="E1628" t="s">
        <v>156</v>
      </c>
    </row>
    <row r="1629" spans="1:5" x14ac:dyDescent="0.3">
      <c r="A1629">
        <v>1628</v>
      </c>
      <c r="B1629" s="1" t="s">
        <v>98</v>
      </c>
      <c r="C1629" t="s">
        <v>151</v>
      </c>
      <c r="D1629">
        <v>79</v>
      </c>
      <c r="E1629" t="s">
        <v>156</v>
      </c>
    </row>
    <row r="1630" spans="1:5" x14ac:dyDescent="0.3">
      <c r="A1630">
        <v>1629</v>
      </c>
      <c r="B1630" s="1" t="s">
        <v>98</v>
      </c>
      <c r="C1630" t="s">
        <v>151</v>
      </c>
      <c r="D1630">
        <v>73</v>
      </c>
      <c r="E1630" t="s">
        <v>156</v>
      </c>
    </row>
    <row r="1631" spans="1:5" x14ac:dyDescent="0.3">
      <c r="A1631">
        <v>1630</v>
      </c>
      <c r="B1631" s="1" t="s">
        <v>99</v>
      </c>
      <c r="C1631" t="s">
        <v>151</v>
      </c>
      <c r="D1631">
        <v>21</v>
      </c>
      <c r="E1631" t="s">
        <v>156</v>
      </c>
    </row>
    <row r="1632" spans="1:5" x14ac:dyDescent="0.3">
      <c r="A1632">
        <v>1631</v>
      </c>
      <c r="B1632" s="1" t="s">
        <v>98</v>
      </c>
      <c r="C1632" t="s">
        <v>151</v>
      </c>
      <c r="D1632">
        <v>80</v>
      </c>
      <c r="E1632" t="s">
        <v>156</v>
      </c>
    </row>
    <row r="1633" spans="1:5" x14ac:dyDescent="0.3">
      <c r="A1633">
        <v>1632</v>
      </c>
      <c r="B1633" s="1" t="s">
        <v>104</v>
      </c>
      <c r="C1633" t="s">
        <v>151</v>
      </c>
      <c r="D1633">
        <v>27</v>
      </c>
      <c r="E1633" t="s">
        <v>156</v>
      </c>
    </row>
    <row r="1634" spans="1:5" x14ac:dyDescent="0.3">
      <c r="A1634">
        <v>1633</v>
      </c>
      <c r="B1634" s="1" t="s">
        <v>100</v>
      </c>
      <c r="C1634" t="s">
        <v>150</v>
      </c>
      <c r="D1634">
        <v>64</v>
      </c>
      <c r="E1634" t="s">
        <v>156</v>
      </c>
    </row>
    <row r="1635" spans="1:5" x14ac:dyDescent="0.3">
      <c r="A1635">
        <v>1634</v>
      </c>
      <c r="B1635" s="1" t="s">
        <v>104</v>
      </c>
      <c r="C1635" t="s">
        <v>150</v>
      </c>
      <c r="D1635">
        <v>34</v>
      </c>
      <c r="E1635" t="s">
        <v>156</v>
      </c>
    </row>
    <row r="1636" spans="1:5" x14ac:dyDescent="0.3">
      <c r="A1636">
        <v>1635</v>
      </c>
      <c r="B1636" s="1" t="s">
        <v>98</v>
      </c>
      <c r="C1636" t="s">
        <v>150</v>
      </c>
      <c r="D1636">
        <v>41</v>
      </c>
      <c r="E1636" t="s">
        <v>156</v>
      </c>
    </row>
    <row r="1637" spans="1:5" x14ac:dyDescent="0.3">
      <c r="A1637">
        <v>1636</v>
      </c>
      <c r="B1637" s="1" t="s">
        <v>103</v>
      </c>
      <c r="C1637" t="s">
        <v>151</v>
      </c>
      <c r="D1637">
        <v>20</v>
      </c>
      <c r="E1637" t="s">
        <v>156</v>
      </c>
    </row>
    <row r="1638" spans="1:5" x14ac:dyDescent="0.3">
      <c r="A1638">
        <v>1637</v>
      </c>
      <c r="B1638" s="1" t="s">
        <v>108</v>
      </c>
      <c r="C1638" t="s">
        <v>151</v>
      </c>
      <c r="D1638">
        <v>55</v>
      </c>
      <c r="E1638" t="s">
        <v>156</v>
      </c>
    </row>
    <row r="1639" spans="1:5" x14ac:dyDescent="0.3">
      <c r="A1639">
        <v>1638</v>
      </c>
      <c r="B1639" s="1" t="s">
        <v>99</v>
      </c>
      <c r="C1639" t="s">
        <v>150</v>
      </c>
      <c r="D1639">
        <v>86</v>
      </c>
      <c r="E1639" t="s">
        <v>156</v>
      </c>
    </row>
    <row r="1640" spans="1:5" x14ac:dyDescent="0.3">
      <c r="A1640">
        <v>1639</v>
      </c>
      <c r="B1640" s="1" t="s">
        <v>100</v>
      </c>
      <c r="C1640" t="s">
        <v>150</v>
      </c>
      <c r="D1640">
        <v>57</v>
      </c>
      <c r="E1640" t="s">
        <v>156</v>
      </c>
    </row>
    <row r="1641" spans="1:5" x14ac:dyDescent="0.3">
      <c r="A1641">
        <v>1640</v>
      </c>
      <c r="B1641" s="1" t="s">
        <v>104</v>
      </c>
      <c r="C1641" t="s">
        <v>151</v>
      </c>
      <c r="D1641">
        <v>22</v>
      </c>
      <c r="E1641" t="s">
        <v>156</v>
      </c>
    </row>
    <row r="1642" spans="1:5" x14ac:dyDescent="0.3">
      <c r="A1642">
        <v>1641</v>
      </c>
      <c r="B1642" s="1" t="s">
        <v>108</v>
      </c>
      <c r="C1642" t="s">
        <v>150</v>
      </c>
      <c r="D1642">
        <v>85</v>
      </c>
      <c r="E1642" t="s">
        <v>156</v>
      </c>
    </row>
    <row r="1643" spans="1:5" x14ac:dyDescent="0.3">
      <c r="A1643">
        <v>1642</v>
      </c>
      <c r="B1643" s="1" t="s">
        <v>106</v>
      </c>
      <c r="C1643" t="s">
        <v>150</v>
      </c>
      <c r="D1643">
        <v>28</v>
      </c>
      <c r="E1643" t="s">
        <v>156</v>
      </c>
    </row>
    <row r="1644" spans="1:5" x14ac:dyDescent="0.3">
      <c r="A1644">
        <v>1643</v>
      </c>
      <c r="B1644" s="1" t="s">
        <v>100</v>
      </c>
      <c r="C1644" t="s">
        <v>151</v>
      </c>
      <c r="D1644">
        <v>29</v>
      </c>
      <c r="E1644" t="s">
        <v>156</v>
      </c>
    </row>
    <row r="1645" spans="1:5" x14ac:dyDescent="0.3">
      <c r="A1645">
        <v>1644</v>
      </c>
      <c r="B1645" s="1" t="s">
        <v>100</v>
      </c>
      <c r="C1645" t="s">
        <v>151</v>
      </c>
      <c r="D1645">
        <v>25</v>
      </c>
      <c r="E1645" t="s">
        <v>156</v>
      </c>
    </row>
    <row r="1646" spans="1:5" x14ac:dyDescent="0.3">
      <c r="A1646">
        <v>1645</v>
      </c>
      <c r="B1646" s="1" t="s">
        <v>100</v>
      </c>
      <c r="C1646" t="s">
        <v>150</v>
      </c>
      <c r="D1646">
        <v>86</v>
      </c>
      <c r="E1646" t="s">
        <v>156</v>
      </c>
    </row>
    <row r="1647" spans="1:5" x14ac:dyDescent="0.3">
      <c r="A1647">
        <v>1646</v>
      </c>
      <c r="B1647" s="1" t="s">
        <v>104</v>
      </c>
      <c r="C1647" t="s">
        <v>151</v>
      </c>
      <c r="D1647">
        <v>51</v>
      </c>
      <c r="E1647" t="s">
        <v>156</v>
      </c>
    </row>
    <row r="1648" spans="1:5" x14ac:dyDescent="0.3">
      <c r="A1648">
        <v>1647</v>
      </c>
      <c r="B1648" s="1" t="s">
        <v>98</v>
      </c>
      <c r="C1648" t="s">
        <v>151</v>
      </c>
      <c r="D1648">
        <v>22</v>
      </c>
      <c r="E1648" t="s">
        <v>156</v>
      </c>
    </row>
    <row r="1649" spans="1:5" x14ac:dyDescent="0.3">
      <c r="A1649">
        <v>1648</v>
      </c>
      <c r="B1649" s="1" t="s">
        <v>108</v>
      </c>
      <c r="C1649" t="s">
        <v>150</v>
      </c>
      <c r="D1649">
        <v>78</v>
      </c>
      <c r="E1649" t="s">
        <v>156</v>
      </c>
    </row>
    <row r="1650" spans="1:5" x14ac:dyDescent="0.3">
      <c r="A1650">
        <v>1649</v>
      </c>
      <c r="B1650" s="1" t="s">
        <v>98</v>
      </c>
      <c r="C1650" t="s">
        <v>150</v>
      </c>
      <c r="D1650">
        <v>27</v>
      </c>
      <c r="E1650" t="s">
        <v>156</v>
      </c>
    </row>
    <row r="1651" spans="1:5" x14ac:dyDescent="0.3">
      <c r="A1651">
        <v>1650</v>
      </c>
      <c r="B1651" s="1" t="s">
        <v>104</v>
      </c>
      <c r="C1651" t="s">
        <v>150</v>
      </c>
      <c r="D1651">
        <v>42</v>
      </c>
      <c r="E1651" t="s">
        <v>156</v>
      </c>
    </row>
    <row r="1652" spans="1:5" x14ac:dyDescent="0.3">
      <c r="A1652">
        <v>1651</v>
      </c>
      <c r="B1652" s="1" t="s">
        <v>100</v>
      </c>
      <c r="C1652" t="s">
        <v>150</v>
      </c>
      <c r="D1652">
        <v>53</v>
      </c>
      <c r="E1652" t="s">
        <v>156</v>
      </c>
    </row>
    <row r="1653" spans="1:5" x14ac:dyDescent="0.3">
      <c r="A1653">
        <v>1652</v>
      </c>
      <c r="B1653" s="1" t="s">
        <v>98</v>
      </c>
      <c r="C1653" t="s">
        <v>151</v>
      </c>
      <c r="D1653">
        <v>83</v>
      </c>
      <c r="E1653" t="s">
        <v>156</v>
      </c>
    </row>
    <row r="1654" spans="1:5" x14ac:dyDescent="0.3">
      <c r="A1654">
        <v>1653</v>
      </c>
      <c r="B1654" s="1" t="s">
        <v>99</v>
      </c>
      <c r="C1654" t="s">
        <v>150</v>
      </c>
      <c r="D1654">
        <v>30</v>
      </c>
      <c r="E1654" t="s">
        <v>156</v>
      </c>
    </row>
    <row r="1655" spans="1:5" x14ac:dyDescent="0.3">
      <c r="A1655">
        <v>1654</v>
      </c>
      <c r="B1655" s="1" t="s">
        <v>98</v>
      </c>
      <c r="C1655" t="s">
        <v>151</v>
      </c>
      <c r="D1655">
        <v>56</v>
      </c>
      <c r="E1655" t="s">
        <v>156</v>
      </c>
    </row>
    <row r="1656" spans="1:5" x14ac:dyDescent="0.3">
      <c r="A1656">
        <v>1655</v>
      </c>
      <c r="B1656" s="1" t="s">
        <v>98</v>
      </c>
      <c r="C1656" t="s">
        <v>151</v>
      </c>
      <c r="D1656">
        <v>72</v>
      </c>
      <c r="E1656" t="s">
        <v>156</v>
      </c>
    </row>
    <row r="1657" spans="1:5" x14ac:dyDescent="0.3">
      <c r="A1657">
        <v>1656</v>
      </c>
      <c r="B1657" s="1" t="s">
        <v>98</v>
      </c>
      <c r="C1657" t="s">
        <v>151</v>
      </c>
      <c r="D1657">
        <v>24</v>
      </c>
      <c r="E1657" t="s">
        <v>156</v>
      </c>
    </row>
    <row r="1658" spans="1:5" x14ac:dyDescent="0.3">
      <c r="A1658">
        <v>1657</v>
      </c>
      <c r="B1658" s="1" t="s">
        <v>108</v>
      </c>
      <c r="C1658" t="s">
        <v>151</v>
      </c>
      <c r="D1658">
        <v>21</v>
      </c>
      <c r="E1658" t="s">
        <v>156</v>
      </c>
    </row>
    <row r="1659" spans="1:5" x14ac:dyDescent="0.3">
      <c r="A1659">
        <v>1658</v>
      </c>
      <c r="B1659" s="1" t="s">
        <v>98</v>
      </c>
      <c r="C1659" t="s">
        <v>151</v>
      </c>
      <c r="D1659">
        <v>41</v>
      </c>
      <c r="E1659" t="s">
        <v>156</v>
      </c>
    </row>
    <row r="1660" spans="1:5" x14ac:dyDescent="0.3">
      <c r="A1660">
        <v>1659</v>
      </c>
      <c r="B1660" s="1" t="s">
        <v>104</v>
      </c>
      <c r="C1660" t="s">
        <v>150</v>
      </c>
      <c r="D1660">
        <v>59</v>
      </c>
      <c r="E1660" t="s">
        <v>156</v>
      </c>
    </row>
    <row r="1661" spans="1:5" x14ac:dyDescent="0.3">
      <c r="A1661">
        <v>1660</v>
      </c>
      <c r="B1661" s="1" t="s">
        <v>100</v>
      </c>
      <c r="C1661" t="s">
        <v>150</v>
      </c>
      <c r="D1661">
        <v>38</v>
      </c>
      <c r="E1661" t="s">
        <v>156</v>
      </c>
    </row>
    <row r="1662" spans="1:5" x14ac:dyDescent="0.3">
      <c r="A1662">
        <v>1661</v>
      </c>
      <c r="B1662" s="1" t="s">
        <v>99</v>
      </c>
      <c r="C1662" t="s">
        <v>151</v>
      </c>
      <c r="D1662">
        <v>33</v>
      </c>
      <c r="E1662" t="s">
        <v>156</v>
      </c>
    </row>
    <row r="1663" spans="1:5" x14ac:dyDescent="0.3">
      <c r="A1663">
        <v>1662</v>
      </c>
      <c r="B1663" s="1" t="s">
        <v>100</v>
      </c>
      <c r="C1663" t="s">
        <v>151</v>
      </c>
      <c r="D1663">
        <v>25</v>
      </c>
      <c r="E1663" t="s">
        <v>156</v>
      </c>
    </row>
    <row r="1664" spans="1:5" x14ac:dyDescent="0.3">
      <c r="A1664">
        <v>1663</v>
      </c>
      <c r="B1664" s="1" t="s">
        <v>103</v>
      </c>
      <c r="C1664" t="s">
        <v>151</v>
      </c>
      <c r="D1664">
        <v>60</v>
      </c>
      <c r="E1664" t="s">
        <v>156</v>
      </c>
    </row>
    <row r="1665" spans="1:5" x14ac:dyDescent="0.3">
      <c r="A1665">
        <v>1664</v>
      </c>
      <c r="B1665" s="1" t="s">
        <v>98</v>
      </c>
      <c r="C1665" t="s">
        <v>150</v>
      </c>
      <c r="D1665">
        <v>27</v>
      </c>
      <c r="E1665" t="s">
        <v>156</v>
      </c>
    </row>
    <row r="1666" spans="1:5" x14ac:dyDescent="0.3">
      <c r="A1666">
        <v>1665</v>
      </c>
      <c r="B1666" s="1" t="s">
        <v>109</v>
      </c>
      <c r="C1666" t="s">
        <v>151</v>
      </c>
      <c r="D1666">
        <v>19</v>
      </c>
      <c r="E1666" t="s">
        <v>156</v>
      </c>
    </row>
    <row r="1667" spans="1:5" x14ac:dyDescent="0.3">
      <c r="A1667">
        <v>1666</v>
      </c>
      <c r="B1667" s="1" t="s">
        <v>104</v>
      </c>
      <c r="C1667" t="s">
        <v>151</v>
      </c>
      <c r="D1667">
        <v>21</v>
      </c>
      <c r="E1667" t="s">
        <v>156</v>
      </c>
    </row>
    <row r="1668" spans="1:5" x14ac:dyDescent="0.3">
      <c r="A1668">
        <v>1667</v>
      </c>
      <c r="B1668" s="1" t="s">
        <v>99</v>
      </c>
      <c r="C1668" t="s">
        <v>151</v>
      </c>
      <c r="D1668">
        <v>73</v>
      </c>
      <c r="E1668" t="s">
        <v>156</v>
      </c>
    </row>
    <row r="1669" spans="1:5" x14ac:dyDescent="0.3">
      <c r="A1669">
        <v>1668</v>
      </c>
      <c r="B1669" s="1" t="s">
        <v>98</v>
      </c>
      <c r="C1669" t="s">
        <v>151</v>
      </c>
      <c r="D1669">
        <v>68</v>
      </c>
      <c r="E1669" t="s">
        <v>156</v>
      </c>
    </row>
    <row r="1670" spans="1:5" x14ac:dyDescent="0.3">
      <c r="A1670">
        <v>1669</v>
      </c>
      <c r="B1670" s="1" t="s">
        <v>100</v>
      </c>
      <c r="C1670" t="s">
        <v>150</v>
      </c>
      <c r="D1670">
        <v>28</v>
      </c>
      <c r="E1670" t="s">
        <v>156</v>
      </c>
    </row>
    <row r="1671" spans="1:5" x14ac:dyDescent="0.3">
      <c r="A1671">
        <v>1670</v>
      </c>
      <c r="B1671" s="1" t="s">
        <v>98</v>
      </c>
      <c r="C1671" t="s">
        <v>151</v>
      </c>
      <c r="D1671">
        <v>80</v>
      </c>
      <c r="E1671" t="s">
        <v>156</v>
      </c>
    </row>
    <row r="1672" spans="1:5" x14ac:dyDescent="0.3">
      <c r="A1672">
        <v>1671</v>
      </c>
      <c r="B1672" s="1" t="s">
        <v>98</v>
      </c>
      <c r="C1672" t="s">
        <v>150</v>
      </c>
      <c r="D1672">
        <v>56</v>
      </c>
      <c r="E1672" t="s">
        <v>156</v>
      </c>
    </row>
    <row r="1673" spans="1:5" x14ac:dyDescent="0.3">
      <c r="A1673">
        <v>1672</v>
      </c>
      <c r="B1673" s="1" t="s">
        <v>103</v>
      </c>
      <c r="C1673" t="s">
        <v>150</v>
      </c>
      <c r="D1673">
        <v>84</v>
      </c>
      <c r="E1673" t="s">
        <v>156</v>
      </c>
    </row>
    <row r="1674" spans="1:5" x14ac:dyDescent="0.3">
      <c r="A1674">
        <v>1673</v>
      </c>
      <c r="B1674" s="1" t="s">
        <v>104</v>
      </c>
      <c r="C1674" t="s">
        <v>150</v>
      </c>
      <c r="D1674">
        <v>30</v>
      </c>
      <c r="E1674" t="s">
        <v>156</v>
      </c>
    </row>
    <row r="1675" spans="1:5" x14ac:dyDescent="0.3">
      <c r="A1675">
        <v>1674</v>
      </c>
      <c r="B1675" s="1" t="s">
        <v>99</v>
      </c>
      <c r="C1675" t="s">
        <v>150</v>
      </c>
      <c r="D1675">
        <v>88</v>
      </c>
      <c r="E1675" t="s">
        <v>156</v>
      </c>
    </row>
    <row r="1676" spans="1:5" x14ac:dyDescent="0.3">
      <c r="A1676">
        <v>1675</v>
      </c>
      <c r="B1676" s="1" t="s">
        <v>98</v>
      </c>
      <c r="C1676" t="s">
        <v>151</v>
      </c>
      <c r="D1676">
        <v>57</v>
      </c>
      <c r="E1676" t="s">
        <v>156</v>
      </c>
    </row>
    <row r="1677" spans="1:5" x14ac:dyDescent="0.3">
      <c r="A1677">
        <v>1676</v>
      </c>
      <c r="B1677" s="1" t="s">
        <v>103</v>
      </c>
      <c r="C1677" t="s">
        <v>150</v>
      </c>
      <c r="D1677">
        <v>25</v>
      </c>
      <c r="E1677" t="s">
        <v>156</v>
      </c>
    </row>
    <row r="1678" spans="1:5" x14ac:dyDescent="0.3">
      <c r="A1678">
        <v>1677</v>
      </c>
      <c r="B1678" s="1" t="s">
        <v>106</v>
      </c>
      <c r="C1678" t="s">
        <v>151</v>
      </c>
      <c r="D1678">
        <v>51</v>
      </c>
      <c r="E1678" t="s">
        <v>156</v>
      </c>
    </row>
    <row r="1679" spans="1:5" x14ac:dyDescent="0.3">
      <c r="A1679">
        <v>1678</v>
      </c>
      <c r="B1679" s="1" t="s">
        <v>98</v>
      </c>
      <c r="C1679" t="s">
        <v>151</v>
      </c>
      <c r="D1679">
        <v>25</v>
      </c>
      <c r="E1679" t="s">
        <v>156</v>
      </c>
    </row>
    <row r="1680" spans="1:5" x14ac:dyDescent="0.3">
      <c r="A1680">
        <v>1679</v>
      </c>
      <c r="B1680" s="1" t="s">
        <v>100</v>
      </c>
      <c r="C1680" t="s">
        <v>151</v>
      </c>
      <c r="D1680">
        <v>59</v>
      </c>
      <c r="E1680" t="s">
        <v>156</v>
      </c>
    </row>
    <row r="1681" spans="1:5" x14ac:dyDescent="0.3">
      <c r="A1681">
        <v>1680</v>
      </c>
      <c r="B1681" s="1" t="s">
        <v>98</v>
      </c>
      <c r="C1681" t="s">
        <v>150</v>
      </c>
      <c r="D1681">
        <v>41</v>
      </c>
      <c r="E1681" t="s">
        <v>156</v>
      </c>
    </row>
    <row r="1682" spans="1:5" x14ac:dyDescent="0.3">
      <c r="A1682">
        <v>1681</v>
      </c>
      <c r="B1682" s="1" t="s">
        <v>104</v>
      </c>
      <c r="C1682" t="s">
        <v>151</v>
      </c>
      <c r="D1682">
        <v>38</v>
      </c>
      <c r="E1682" t="s">
        <v>156</v>
      </c>
    </row>
    <row r="1683" spans="1:5" x14ac:dyDescent="0.3">
      <c r="A1683">
        <v>1682</v>
      </c>
      <c r="B1683" s="1" t="s">
        <v>99</v>
      </c>
      <c r="C1683" t="s">
        <v>150</v>
      </c>
      <c r="D1683">
        <v>72</v>
      </c>
      <c r="E1683" t="s">
        <v>156</v>
      </c>
    </row>
    <row r="1684" spans="1:5" x14ac:dyDescent="0.3">
      <c r="A1684">
        <v>1683</v>
      </c>
      <c r="B1684" s="1" t="s">
        <v>107</v>
      </c>
      <c r="C1684" t="s">
        <v>150</v>
      </c>
      <c r="D1684">
        <v>37</v>
      </c>
      <c r="E1684" t="s">
        <v>156</v>
      </c>
    </row>
    <row r="1685" spans="1:5" x14ac:dyDescent="0.3">
      <c r="A1685">
        <v>1684</v>
      </c>
      <c r="B1685" s="1" t="s">
        <v>98</v>
      </c>
      <c r="C1685" t="s">
        <v>150</v>
      </c>
      <c r="D1685">
        <v>81</v>
      </c>
      <c r="E1685" t="s">
        <v>156</v>
      </c>
    </row>
    <row r="1686" spans="1:5" x14ac:dyDescent="0.3">
      <c r="A1686">
        <v>1685</v>
      </c>
      <c r="B1686" s="1" t="s">
        <v>98</v>
      </c>
      <c r="C1686" t="s">
        <v>151</v>
      </c>
      <c r="D1686">
        <v>74</v>
      </c>
      <c r="E1686" t="s">
        <v>156</v>
      </c>
    </row>
    <row r="1687" spans="1:5" x14ac:dyDescent="0.3">
      <c r="A1687">
        <v>1686</v>
      </c>
      <c r="B1687" s="1" t="s">
        <v>99</v>
      </c>
      <c r="C1687" t="s">
        <v>150</v>
      </c>
      <c r="D1687">
        <v>53</v>
      </c>
      <c r="E1687" t="s">
        <v>156</v>
      </c>
    </row>
    <row r="1688" spans="1:5" x14ac:dyDescent="0.3">
      <c r="A1688">
        <v>1687</v>
      </c>
      <c r="B1688" s="1" t="s">
        <v>100</v>
      </c>
      <c r="C1688" t="s">
        <v>150</v>
      </c>
      <c r="D1688">
        <v>38</v>
      </c>
      <c r="E1688" t="s">
        <v>156</v>
      </c>
    </row>
    <row r="1689" spans="1:5" x14ac:dyDescent="0.3">
      <c r="A1689">
        <v>1688</v>
      </c>
      <c r="B1689" s="1" t="s">
        <v>100</v>
      </c>
      <c r="C1689" t="s">
        <v>151</v>
      </c>
      <c r="D1689">
        <v>49</v>
      </c>
      <c r="E1689" t="s">
        <v>156</v>
      </c>
    </row>
    <row r="1690" spans="1:5" x14ac:dyDescent="0.3">
      <c r="A1690">
        <v>1689</v>
      </c>
      <c r="B1690" s="1" t="s">
        <v>100</v>
      </c>
      <c r="C1690" t="s">
        <v>150</v>
      </c>
      <c r="D1690">
        <v>50</v>
      </c>
      <c r="E1690" t="s">
        <v>156</v>
      </c>
    </row>
    <row r="1691" spans="1:5" x14ac:dyDescent="0.3">
      <c r="A1691">
        <v>1690</v>
      </c>
      <c r="B1691" s="1" t="s">
        <v>100</v>
      </c>
      <c r="C1691" t="s">
        <v>151</v>
      </c>
      <c r="D1691">
        <v>57</v>
      </c>
      <c r="E1691" t="s">
        <v>156</v>
      </c>
    </row>
    <row r="1692" spans="1:5" x14ac:dyDescent="0.3">
      <c r="A1692">
        <v>1691</v>
      </c>
      <c r="B1692" s="1" t="s">
        <v>98</v>
      </c>
      <c r="C1692" t="s">
        <v>150</v>
      </c>
      <c r="D1692">
        <v>43</v>
      </c>
      <c r="E1692" t="s">
        <v>156</v>
      </c>
    </row>
    <row r="1693" spans="1:5" x14ac:dyDescent="0.3">
      <c r="A1693">
        <v>1692</v>
      </c>
      <c r="B1693" s="1" t="s">
        <v>98</v>
      </c>
      <c r="C1693" t="s">
        <v>151</v>
      </c>
      <c r="D1693">
        <v>78</v>
      </c>
      <c r="E1693" t="s">
        <v>156</v>
      </c>
    </row>
    <row r="1694" spans="1:5" x14ac:dyDescent="0.3">
      <c r="A1694">
        <v>1693</v>
      </c>
      <c r="B1694" s="1" t="s">
        <v>99</v>
      </c>
      <c r="C1694" t="s">
        <v>151</v>
      </c>
      <c r="D1694">
        <v>63</v>
      </c>
      <c r="E1694" t="s">
        <v>156</v>
      </c>
    </row>
    <row r="1695" spans="1:5" x14ac:dyDescent="0.3">
      <c r="A1695">
        <v>1694</v>
      </c>
      <c r="B1695" s="1" t="s">
        <v>110</v>
      </c>
      <c r="C1695" t="s">
        <v>150</v>
      </c>
      <c r="D1695">
        <v>83</v>
      </c>
      <c r="E1695" t="s">
        <v>156</v>
      </c>
    </row>
    <row r="1696" spans="1:5" x14ac:dyDescent="0.3">
      <c r="A1696">
        <v>1695</v>
      </c>
      <c r="B1696" s="1" t="s">
        <v>104</v>
      </c>
      <c r="C1696" t="s">
        <v>151</v>
      </c>
      <c r="D1696">
        <v>37</v>
      </c>
      <c r="E1696" t="s">
        <v>156</v>
      </c>
    </row>
    <row r="1697" spans="1:5" x14ac:dyDescent="0.3">
      <c r="A1697">
        <v>1696</v>
      </c>
      <c r="B1697" s="1" t="s">
        <v>98</v>
      </c>
      <c r="C1697" t="s">
        <v>150</v>
      </c>
      <c r="D1697">
        <v>68</v>
      </c>
      <c r="E1697" t="s">
        <v>156</v>
      </c>
    </row>
    <row r="1698" spans="1:5" x14ac:dyDescent="0.3">
      <c r="A1698">
        <v>1697</v>
      </c>
      <c r="B1698" s="1" t="s">
        <v>99</v>
      </c>
      <c r="C1698" t="s">
        <v>151</v>
      </c>
      <c r="D1698">
        <v>65</v>
      </c>
      <c r="E1698" t="s">
        <v>156</v>
      </c>
    </row>
    <row r="1699" spans="1:5" x14ac:dyDescent="0.3">
      <c r="A1699">
        <v>1698</v>
      </c>
      <c r="B1699" s="1" t="s">
        <v>99</v>
      </c>
      <c r="C1699" t="s">
        <v>151</v>
      </c>
      <c r="D1699">
        <v>34</v>
      </c>
      <c r="E1699" t="s">
        <v>156</v>
      </c>
    </row>
    <row r="1700" spans="1:5" x14ac:dyDescent="0.3">
      <c r="A1700">
        <v>1699</v>
      </c>
      <c r="B1700" s="1" t="s">
        <v>100</v>
      </c>
      <c r="C1700" t="s">
        <v>151</v>
      </c>
      <c r="D1700">
        <v>21</v>
      </c>
      <c r="E1700" t="s">
        <v>156</v>
      </c>
    </row>
    <row r="1701" spans="1:5" x14ac:dyDescent="0.3">
      <c r="A1701">
        <v>1700</v>
      </c>
      <c r="B1701" s="1" t="s">
        <v>98</v>
      </c>
      <c r="C1701" t="s">
        <v>150</v>
      </c>
      <c r="D1701">
        <v>37</v>
      </c>
      <c r="E1701" t="s">
        <v>156</v>
      </c>
    </row>
    <row r="1702" spans="1:5" x14ac:dyDescent="0.3">
      <c r="A1702">
        <v>1701</v>
      </c>
      <c r="B1702" s="1" t="s">
        <v>98</v>
      </c>
      <c r="C1702" t="s">
        <v>151</v>
      </c>
      <c r="D1702">
        <v>41</v>
      </c>
      <c r="E1702" t="s">
        <v>156</v>
      </c>
    </row>
    <row r="1703" spans="1:5" x14ac:dyDescent="0.3">
      <c r="A1703">
        <v>1702</v>
      </c>
      <c r="B1703" s="1" t="s">
        <v>106</v>
      </c>
      <c r="C1703" t="s">
        <v>150</v>
      </c>
      <c r="D1703">
        <v>26</v>
      </c>
      <c r="E1703" t="s">
        <v>156</v>
      </c>
    </row>
    <row r="1704" spans="1:5" x14ac:dyDescent="0.3">
      <c r="A1704">
        <v>1703</v>
      </c>
      <c r="B1704" s="1" t="s">
        <v>99</v>
      </c>
      <c r="C1704" t="s">
        <v>151</v>
      </c>
      <c r="D1704">
        <v>85</v>
      </c>
      <c r="E1704" t="s">
        <v>156</v>
      </c>
    </row>
    <row r="1705" spans="1:5" x14ac:dyDescent="0.3">
      <c r="A1705">
        <v>1704</v>
      </c>
      <c r="B1705" s="1" t="s">
        <v>98</v>
      </c>
      <c r="C1705" t="s">
        <v>150</v>
      </c>
      <c r="D1705">
        <v>67</v>
      </c>
      <c r="E1705" t="s">
        <v>156</v>
      </c>
    </row>
    <row r="1706" spans="1:5" x14ac:dyDescent="0.3">
      <c r="A1706">
        <v>1705</v>
      </c>
      <c r="B1706" s="1" t="s">
        <v>99</v>
      </c>
      <c r="C1706" t="s">
        <v>151</v>
      </c>
      <c r="D1706">
        <v>30</v>
      </c>
      <c r="E1706" t="s">
        <v>156</v>
      </c>
    </row>
    <row r="1707" spans="1:5" x14ac:dyDescent="0.3">
      <c r="A1707">
        <v>1706</v>
      </c>
      <c r="B1707" s="1" t="s">
        <v>98</v>
      </c>
      <c r="C1707" t="s">
        <v>151</v>
      </c>
      <c r="D1707">
        <v>47</v>
      </c>
      <c r="E1707" t="s">
        <v>156</v>
      </c>
    </row>
    <row r="1708" spans="1:5" x14ac:dyDescent="0.3">
      <c r="A1708">
        <v>1707</v>
      </c>
      <c r="B1708" s="1" t="s">
        <v>99</v>
      </c>
      <c r="C1708" t="s">
        <v>151</v>
      </c>
      <c r="D1708">
        <v>85</v>
      </c>
      <c r="E1708" t="s">
        <v>156</v>
      </c>
    </row>
    <row r="1709" spans="1:5" x14ac:dyDescent="0.3">
      <c r="A1709">
        <v>1708</v>
      </c>
      <c r="B1709" s="1" t="s">
        <v>99</v>
      </c>
      <c r="C1709" t="s">
        <v>150</v>
      </c>
      <c r="D1709">
        <v>87</v>
      </c>
      <c r="E1709" t="s">
        <v>156</v>
      </c>
    </row>
    <row r="1710" spans="1:5" x14ac:dyDescent="0.3">
      <c r="A1710">
        <v>1709</v>
      </c>
      <c r="B1710" s="1" t="s">
        <v>98</v>
      </c>
      <c r="C1710" t="s">
        <v>150</v>
      </c>
      <c r="D1710">
        <v>26</v>
      </c>
      <c r="E1710" t="s">
        <v>156</v>
      </c>
    </row>
    <row r="1711" spans="1:5" x14ac:dyDescent="0.3">
      <c r="A1711">
        <v>1710</v>
      </c>
      <c r="B1711" s="1" t="s">
        <v>104</v>
      </c>
      <c r="C1711" t="s">
        <v>151</v>
      </c>
      <c r="D1711">
        <v>84</v>
      </c>
      <c r="E1711" t="s">
        <v>156</v>
      </c>
    </row>
    <row r="1712" spans="1:5" x14ac:dyDescent="0.3">
      <c r="A1712">
        <v>1711</v>
      </c>
      <c r="B1712" s="1" t="s">
        <v>98</v>
      </c>
      <c r="C1712" t="s">
        <v>151</v>
      </c>
      <c r="D1712">
        <v>39</v>
      </c>
      <c r="E1712" t="s">
        <v>156</v>
      </c>
    </row>
    <row r="1713" spans="1:5" x14ac:dyDescent="0.3">
      <c r="A1713">
        <v>1712</v>
      </c>
      <c r="B1713" s="1" t="s">
        <v>108</v>
      </c>
      <c r="C1713" t="s">
        <v>151</v>
      </c>
      <c r="D1713">
        <v>82</v>
      </c>
      <c r="E1713" t="s">
        <v>156</v>
      </c>
    </row>
    <row r="1714" spans="1:5" x14ac:dyDescent="0.3">
      <c r="A1714">
        <v>1713</v>
      </c>
      <c r="B1714" s="1" t="s">
        <v>99</v>
      </c>
      <c r="C1714" t="s">
        <v>150</v>
      </c>
      <c r="D1714">
        <v>87</v>
      </c>
      <c r="E1714" t="s">
        <v>156</v>
      </c>
    </row>
    <row r="1715" spans="1:5" x14ac:dyDescent="0.3">
      <c r="A1715">
        <v>1714</v>
      </c>
      <c r="B1715" s="1" t="s">
        <v>104</v>
      </c>
      <c r="C1715" t="s">
        <v>150</v>
      </c>
      <c r="D1715">
        <v>33</v>
      </c>
      <c r="E1715" t="s">
        <v>156</v>
      </c>
    </row>
    <row r="1716" spans="1:5" x14ac:dyDescent="0.3">
      <c r="A1716">
        <v>1715</v>
      </c>
      <c r="B1716" s="1" t="s">
        <v>98</v>
      </c>
      <c r="C1716" t="s">
        <v>150</v>
      </c>
      <c r="D1716">
        <v>41</v>
      </c>
      <c r="E1716" t="s">
        <v>156</v>
      </c>
    </row>
    <row r="1717" spans="1:5" x14ac:dyDescent="0.3">
      <c r="A1717">
        <v>1716</v>
      </c>
      <c r="B1717" s="1" t="s">
        <v>98</v>
      </c>
      <c r="C1717" t="s">
        <v>151</v>
      </c>
      <c r="D1717">
        <v>18</v>
      </c>
      <c r="E1717" t="s">
        <v>156</v>
      </c>
    </row>
    <row r="1718" spans="1:5" x14ac:dyDescent="0.3">
      <c r="A1718">
        <v>1717</v>
      </c>
      <c r="B1718" s="1" t="s">
        <v>100</v>
      </c>
      <c r="C1718" t="s">
        <v>150</v>
      </c>
      <c r="D1718">
        <v>33</v>
      </c>
      <c r="E1718" t="s">
        <v>156</v>
      </c>
    </row>
    <row r="1719" spans="1:5" x14ac:dyDescent="0.3">
      <c r="A1719">
        <v>1718</v>
      </c>
      <c r="B1719" s="1" t="s">
        <v>98</v>
      </c>
      <c r="C1719" t="s">
        <v>150</v>
      </c>
      <c r="D1719">
        <v>26</v>
      </c>
      <c r="E1719" t="s">
        <v>156</v>
      </c>
    </row>
    <row r="1720" spans="1:5" x14ac:dyDescent="0.3">
      <c r="A1720">
        <v>1719</v>
      </c>
      <c r="B1720" s="1" t="s">
        <v>106</v>
      </c>
      <c r="C1720" t="s">
        <v>151</v>
      </c>
      <c r="D1720">
        <v>23</v>
      </c>
      <c r="E1720" t="s">
        <v>156</v>
      </c>
    </row>
    <row r="1721" spans="1:5" x14ac:dyDescent="0.3">
      <c r="A1721">
        <v>1720</v>
      </c>
      <c r="B1721" s="1" t="s">
        <v>98</v>
      </c>
      <c r="C1721" t="s">
        <v>150</v>
      </c>
      <c r="D1721">
        <v>85</v>
      </c>
      <c r="E1721" t="s">
        <v>156</v>
      </c>
    </row>
    <row r="1722" spans="1:5" x14ac:dyDescent="0.3">
      <c r="A1722">
        <v>1721</v>
      </c>
      <c r="B1722" s="1" t="s">
        <v>108</v>
      </c>
      <c r="C1722" t="s">
        <v>151</v>
      </c>
      <c r="D1722">
        <v>22</v>
      </c>
      <c r="E1722" t="s">
        <v>156</v>
      </c>
    </row>
    <row r="1723" spans="1:5" x14ac:dyDescent="0.3">
      <c r="A1723">
        <v>1722</v>
      </c>
      <c r="B1723" s="1" t="s">
        <v>98</v>
      </c>
      <c r="C1723" t="s">
        <v>150</v>
      </c>
      <c r="D1723">
        <v>46</v>
      </c>
      <c r="E1723" t="s">
        <v>156</v>
      </c>
    </row>
    <row r="1724" spans="1:5" x14ac:dyDescent="0.3">
      <c r="A1724">
        <v>1723</v>
      </c>
      <c r="B1724" s="1" t="s">
        <v>104</v>
      </c>
      <c r="C1724" t="s">
        <v>150</v>
      </c>
      <c r="D1724">
        <v>82</v>
      </c>
      <c r="E1724" t="s">
        <v>156</v>
      </c>
    </row>
    <row r="1725" spans="1:5" x14ac:dyDescent="0.3">
      <c r="A1725">
        <v>1724</v>
      </c>
      <c r="B1725" s="1" t="s">
        <v>100</v>
      </c>
      <c r="C1725" t="s">
        <v>150</v>
      </c>
      <c r="D1725">
        <v>76</v>
      </c>
      <c r="E1725" t="s">
        <v>156</v>
      </c>
    </row>
    <row r="1726" spans="1:5" x14ac:dyDescent="0.3">
      <c r="A1726">
        <v>1725</v>
      </c>
      <c r="B1726" s="1" t="s">
        <v>98</v>
      </c>
      <c r="C1726" t="s">
        <v>150</v>
      </c>
      <c r="D1726">
        <v>81</v>
      </c>
      <c r="E1726" t="s">
        <v>156</v>
      </c>
    </row>
    <row r="1727" spans="1:5" x14ac:dyDescent="0.3">
      <c r="A1727">
        <v>1726</v>
      </c>
      <c r="B1727" s="1" t="s">
        <v>104</v>
      </c>
      <c r="C1727" t="s">
        <v>151</v>
      </c>
      <c r="D1727">
        <v>36</v>
      </c>
      <c r="E1727" t="s">
        <v>156</v>
      </c>
    </row>
    <row r="1728" spans="1:5" x14ac:dyDescent="0.3">
      <c r="A1728">
        <v>1727</v>
      </c>
      <c r="B1728" s="1" t="s">
        <v>98</v>
      </c>
      <c r="C1728" t="s">
        <v>150</v>
      </c>
      <c r="D1728">
        <v>75</v>
      </c>
      <c r="E1728" t="s">
        <v>156</v>
      </c>
    </row>
    <row r="1729" spans="1:5" x14ac:dyDescent="0.3">
      <c r="A1729">
        <v>1728</v>
      </c>
      <c r="B1729" s="1" t="s">
        <v>99</v>
      </c>
      <c r="C1729" t="s">
        <v>151</v>
      </c>
      <c r="D1729">
        <v>27</v>
      </c>
      <c r="E1729" t="s">
        <v>156</v>
      </c>
    </row>
    <row r="1730" spans="1:5" x14ac:dyDescent="0.3">
      <c r="A1730">
        <v>1729</v>
      </c>
      <c r="B1730" s="1" t="s">
        <v>100</v>
      </c>
      <c r="C1730" t="s">
        <v>150</v>
      </c>
      <c r="D1730">
        <v>72</v>
      </c>
      <c r="E1730" t="s">
        <v>156</v>
      </c>
    </row>
    <row r="1731" spans="1:5" x14ac:dyDescent="0.3">
      <c r="A1731">
        <v>1730</v>
      </c>
      <c r="B1731" s="1" t="s">
        <v>99</v>
      </c>
      <c r="C1731" t="s">
        <v>151</v>
      </c>
      <c r="D1731">
        <v>73</v>
      </c>
      <c r="E1731" t="s">
        <v>156</v>
      </c>
    </row>
    <row r="1732" spans="1:5" x14ac:dyDescent="0.3">
      <c r="A1732">
        <v>1731</v>
      </c>
      <c r="B1732" s="1" t="s">
        <v>104</v>
      </c>
      <c r="C1732" t="s">
        <v>150</v>
      </c>
      <c r="D1732">
        <v>65</v>
      </c>
      <c r="E1732" t="s">
        <v>156</v>
      </c>
    </row>
    <row r="1733" spans="1:5" x14ac:dyDescent="0.3">
      <c r="A1733">
        <v>1732</v>
      </c>
      <c r="B1733" s="1" t="s">
        <v>98</v>
      </c>
      <c r="C1733" t="s">
        <v>150</v>
      </c>
      <c r="D1733">
        <v>90</v>
      </c>
      <c r="E1733" t="s">
        <v>156</v>
      </c>
    </row>
    <row r="1734" spans="1:5" x14ac:dyDescent="0.3">
      <c r="A1734">
        <v>1733</v>
      </c>
      <c r="B1734" s="1" t="s">
        <v>106</v>
      </c>
      <c r="C1734" t="s">
        <v>150</v>
      </c>
      <c r="D1734">
        <v>32</v>
      </c>
      <c r="E1734" t="s">
        <v>156</v>
      </c>
    </row>
    <row r="1735" spans="1:5" x14ac:dyDescent="0.3">
      <c r="A1735">
        <v>1734</v>
      </c>
      <c r="B1735" s="1" t="s">
        <v>98</v>
      </c>
      <c r="C1735" t="s">
        <v>150</v>
      </c>
      <c r="D1735">
        <v>62</v>
      </c>
      <c r="E1735" t="s">
        <v>156</v>
      </c>
    </row>
    <row r="1736" spans="1:5" x14ac:dyDescent="0.3">
      <c r="A1736">
        <v>1735</v>
      </c>
      <c r="B1736" s="1" t="s">
        <v>101</v>
      </c>
      <c r="C1736" t="s">
        <v>150</v>
      </c>
      <c r="D1736">
        <v>76</v>
      </c>
      <c r="E1736" t="s">
        <v>156</v>
      </c>
    </row>
    <row r="1737" spans="1:5" x14ac:dyDescent="0.3">
      <c r="A1737">
        <v>1736</v>
      </c>
      <c r="B1737" s="1" t="s">
        <v>98</v>
      </c>
      <c r="C1737" t="s">
        <v>150</v>
      </c>
      <c r="D1737">
        <v>23</v>
      </c>
      <c r="E1737" t="s">
        <v>156</v>
      </c>
    </row>
    <row r="1738" spans="1:5" x14ac:dyDescent="0.3">
      <c r="A1738">
        <v>1737</v>
      </c>
      <c r="B1738" s="1" t="s">
        <v>105</v>
      </c>
      <c r="C1738" t="s">
        <v>150</v>
      </c>
      <c r="D1738">
        <v>60</v>
      </c>
      <c r="E1738" t="s">
        <v>156</v>
      </c>
    </row>
    <row r="1739" spans="1:5" x14ac:dyDescent="0.3">
      <c r="A1739">
        <v>1738</v>
      </c>
      <c r="B1739" s="1" t="s">
        <v>99</v>
      </c>
      <c r="C1739" t="s">
        <v>150</v>
      </c>
      <c r="D1739">
        <v>27</v>
      </c>
      <c r="E1739" t="s">
        <v>156</v>
      </c>
    </row>
    <row r="1740" spans="1:5" x14ac:dyDescent="0.3">
      <c r="A1740">
        <v>1739</v>
      </c>
      <c r="B1740" s="1" t="s">
        <v>104</v>
      </c>
      <c r="C1740" t="s">
        <v>151</v>
      </c>
      <c r="D1740">
        <v>44</v>
      </c>
      <c r="E1740" t="s">
        <v>156</v>
      </c>
    </row>
    <row r="1741" spans="1:5" x14ac:dyDescent="0.3">
      <c r="A1741">
        <v>1740</v>
      </c>
      <c r="B1741" s="1" t="s">
        <v>98</v>
      </c>
      <c r="C1741" t="s">
        <v>151</v>
      </c>
      <c r="D1741">
        <v>25</v>
      </c>
      <c r="E1741" t="s">
        <v>156</v>
      </c>
    </row>
    <row r="1742" spans="1:5" x14ac:dyDescent="0.3">
      <c r="A1742">
        <v>1741</v>
      </c>
      <c r="B1742" s="1" t="s">
        <v>98</v>
      </c>
      <c r="C1742" t="s">
        <v>151</v>
      </c>
      <c r="D1742">
        <v>71</v>
      </c>
      <c r="E1742" t="s">
        <v>156</v>
      </c>
    </row>
    <row r="1743" spans="1:5" x14ac:dyDescent="0.3">
      <c r="A1743">
        <v>1742</v>
      </c>
      <c r="B1743" s="1" t="s">
        <v>98</v>
      </c>
      <c r="C1743" t="s">
        <v>151</v>
      </c>
      <c r="D1743">
        <v>49</v>
      </c>
      <c r="E1743" t="s">
        <v>156</v>
      </c>
    </row>
    <row r="1744" spans="1:5" x14ac:dyDescent="0.3">
      <c r="A1744">
        <v>1743</v>
      </c>
      <c r="B1744" s="1" t="s">
        <v>98</v>
      </c>
      <c r="C1744" t="s">
        <v>151</v>
      </c>
      <c r="D1744">
        <v>30</v>
      </c>
      <c r="E1744" t="s">
        <v>156</v>
      </c>
    </row>
    <row r="1745" spans="1:5" x14ac:dyDescent="0.3">
      <c r="A1745">
        <v>1744</v>
      </c>
      <c r="B1745" s="1" t="s">
        <v>98</v>
      </c>
      <c r="C1745" t="s">
        <v>151</v>
      </c>
      <c r="D1745">
        <v>36</v>
      </c>
      <c r="E1745" t="s">
        <v>156</v>
      </c>
    </row>
    <row r="1746" spans="1:5" x14ac:dyDescent="0.3">
      <c r="A1746">
        <v>1745</v>
      </c>
      <c r="B1746" s="1" t="s">
        <v>98</v>
      </c>
      <c r="C1746" t="s">
        <v>151</v>
      </c>
      <c r="D1746">
        <v>54</v>
      </c>
      <c r="E1746" t="s">
        <v>156</v>
      </c>
    </row>
    <row r="1747" spans="1:5" x14ac:dyDescent="0.3">
      <c r="A1747">
        <v>1746</v>
      </c>
      <c r="B1747" s="1" t="s">
        <v>106</v>
      </c>
      <c r="C1747" t="s">
        <v>150</v>
      </c>
      <c r="D1747">
        <v>66</v>
      </c>
      <c r="E1747" t="s">
        <v>156</v>
      </c>
    </row>
    <row r="1748" spans="1:5" x14ac:dyDescent="0.3">
      <c r="A1748">
        <v>1747</v>
      </c>
      <c r="B1748" s="1" t="s">
        <v>98</v>
      </c>
      <c r="C1748" t="s">
        <v>151</v>
      </c>
      <c r="D1748">
        <v>61</v>
      </c>
      <c r="E1748" t="s">
        <v>156</v>
      </c>
    </row>
    <row r="1749" spans="1:5" x14ac:dyDescent="0.3">
      <c r="A1749">
        <v>1748</v>
      </c>
      <c r="B1749" s="1" t="s">
        <v>99</v>
      </c>
      <c r="C1749" t="s">
        <v>150</v>
      </c>
      <c r="D1749">
        <v>44</v>
      </c>
      <c r="E1749" t="s">
        <v>156</v>
      </c>
    </row>
    <row r="1750" spans="1:5" x14ac:dyDescent="0.3">
      <c r="A1750">
        <v>1749</v>
      </c>
      <c r="B1750" s="1" t="s">
        <v>103</v>
      </c>
      <c r="C1750" t="s">
        <v>150</v>
      </c>
      <c r="D1750">
        <v>30</v>
      </c>
      <c r="E1750" t="s">
        <v>156</v>
      </c>
    </row>
    <row r="1751" spans="1:5" x14ac:dyDescent="0.3">
      <c r="A1751">
        <v>1750</v>
      </c>
      <c r="B1751" s="1" t="s">
        <v>101</v>
      </c>
      <c r="C1751" t="s">
        <v>151</v>
      </c>
      <c r="D1751">
        <v>85</v>
      </c>
      <c r="E1751" t="s">
        <v>156</v>
      </c>
    </row>
    <row r="1752" spans="1:5" x14ac:dyDescent="0.3">
      <c r="A1752">
        <v>1751</v>
      </c>
      <c r="B1752" s="1" t="s">
        <v>98</v>
      </c>
      <c r="C1752" t="s">
        <v>150</v>
      </c>
      <c r="D1752">
        <v>78</v>
      </c>
      <c r="E1752" t="s">
        <v>156</v>
      </c>
    </row>
    <row r="1753" spans="1:5" x14ac:dyDescent="0.3">
      <c r="A1753">
        <v>1752</v>
      </c>
      <c r="B1753" s="1" t="s">
        <v>100</v>
      </c>
      <c r="C1753" t="s">
        <v>151</v>
      </c>
      <c r="D1753">
        <v>50</v>
      </c>
      <c r="E1753" t="s">
        <v>156</v>
      </c>
    </row>
    <row r="1754" spans="1:5" x14ac:dyDescent="0.3">
      <c r="A1754">
        <v>1753</v>
      </c>
      <c r="B1754" s="1" t="s">
        <v>98</v>
      </c>
      <c r="C1754" t="s">
        <v>151</v>
      </c>
      <c r="D1754">
        <v>68</v>
      </c>
      <c r="E1754" t="s">
        <v>156</v>
      </c>
    </row>
    <row r="1755" spans="1:5" x14ac:dyDescent="0.3">
      <c r="A1755">
        <v>1754</v>
      </c>
      <c r="B1755" s="1" t="s">
        <v>98</v>
      </c>
      <c r="C1755" t="s">
        <v>151</v>
      </c>
      <c r="D1755">
        <v>63</v>
      </c>
      <c r="E1755" t="s">
        <v>156</v>
      </c>
    </row>
    <row r="1756" spans="1:5" x14ac:dyDescent="0.3">
      <c r="A1756">
        <v>1755</v>
      </c>
      <c r="B1756" s="1" t="s">
        <v>104</v>
      </c>
      <c r="C1756" t="s">
        <v>150</v>
      </c>
      <c r="D1756">
        <v>66</v>
      </c>
      <c r="E1756" t="s">
        <v>156</v>
      </c>
    </row>
    <row r="1757" spans="1:5" x14ac:dyDescent="0.3">
      <c r="A1757">
        <v>1756</v>
      </c>
      <c r="B1757" s="1" t="s">
        <v>98</v>
      </c>
      <c r="C1757" t="s">
        <v>151</v>
      </c>
      <c r="D1757">
        <v>54</v>
      </c>
      <c r="E1757" t="s">
        <v>156</v>
      </c>
    </row>
    <row r="1758" spans="1:5" x14ac:dyDescent="0.3">
      <c r="A1758">
        <v>1757</v>
      </c>
      <c r="B1758" s="1" t="s">
        <v>104</v>
      </c>
      <c r="C1758" t="s">
        <v>150</v>
      </c>
      <c r="D1758">
        <v>20</v>
      </c>
      <c r="E1758" t="s">
        <v>156</v>
      </c>
    </row>
    <row r="1759" spans="1:5" x14ac:dyDescent="0.3">
      <c r="A1759">
        <v>1758</v>
      </c>
      <c r="B1759" s="1" t="s">
        <v>98</v>
      </c>
      <c r="C1759" t="s">
        <v>151</v>
      </c>
      <c r="D1759">
        <v>81</v>
      </c>
      <c r="E1759" t="s">
        <v>156</v>
      </c>
    </row>
    <row r="1760" spans="1:5" x14ac:dyDescent="0.3">
      <c r="A1760">
        <v>1759</v>
      </c>
      <c r="B1760" s="1" t="s">
        <v>104</v>
      </c>
      <c r="C1760" t="s">
        <v>151</v>
      </c>
      <c r="D1760">
        <v>22</v>
      </c>
      <c r="E1760" t="s">
        <v>156</v>
      </c>
    </row>
    <row r="1761" spans="1:5" x14ac:dyDescent="0.3">
      <c r="A1761">
        <v>1760</v>
      </c>
      <c r="B1761" s="1" t="s">
        <v>99</v>
      </c>
      <c r="C1761" t="s">
        <v>151</v>
      </c>
      <c r="D1761">
        <v>19</v>
      </c>
      <c r="E1761" t="s">
        <v>156</v>
      </c>
    </row>
    <row r="1762" spans="1:5" x14ac:dyDescent="0.3">
      <c r="A1762">
        <v>1761</v>
      </c>
      <c r="B1762" s="1" t="s">
        <v>104</v>
      </c>
      <c r="C1762" t="s">
        <v>151</v>
      </c>
      <c r="D1762">
        <v>30</v>
      </c>
      <c r="E1762" t="s">
        <v>156</v>
      </c>
    </row>
    <row r="1763" spans="1:5" x14ac:dyDescent="0.3">
      <c r="A1763">
        <v>1762</v>
      </c>
      <c r="B1763" s="1" t="s">
        <v>98</v>
      </c>
      <c r="C1763" t="s">
        <v>150</v>
      </c>
      <c r="D1763">
        <v>29</v>
      </c>
      <c r="E1763" t="s">
        <v>156</v>
      </c>
    </row>
    <row r="1764" spans="1:5" x14ac:dyDescent="0.3">
      <c r="A1764">
        <v>1763</v>
      </c>
      <c r="B1764" s="1" t="s">
        <v>98</v>
      </c>
      <c r="C1764" t="s">
        <v>151</v>
      </c>
      <c r="D1764">
        <v>84</v>
      </c>
      <c r="E1764" t="s">
        <v>156</v>
      </c>
    </row>
    <row r="1765" spans="1:5" x14ac:dyDescent="0.3">
      <c r="A1765">
        <v>1764</v>
      </c>
      <c r="B1765" s="1" t="s">
        <v>101</v>
      </c>
      <c r="C1765" t="s">
        <v>151</v>
      </c>
      <c r="D1765">
        <v>37</v>
      </c>
      <c r="E1765" t="s">
        <v>156</v>
      </c>
    </row>
    <row r="1766" spans="1:5" x14ac:dyDescent="0.3">
      <c r="A1766">
        <v>1765</v>
      </c>
      <c r="B1766" s="1" t="s">
        <v>98</v>
      </c>
      <c r="C1766" t="s">
        <v>151</v>
      </c>
      <c r="D1766">
        <v>18</v>
      </c>
      <c r="E1766" t="s">
        <v>156</v>
      </c>
    </row>
    <row r="1767" spans="1:5" x14ac:dyDescent="0.3">
      <c r="A1767">
        <v>1766</v>
      </c>
      <c r="B1767" s="1" t="s">
        <v>104</v>
      </c>
      <c r="C1767" t="s">
        <v>150</v>
      </c>
      <c r="D1767">
        <v>42</v>
      </c>
      <c r="E1767" t="s">
        <v>156</v>
      </c>
    </row>
    <row r="1768" spans="1:5" x14ac:dyDescent="0.3">
      <c r="A1768">
        <v>1767</v>
      </c>
      <c r="B1768" s="1" t="s">
        <v>99</v>
      </c>
      <c r="C1768" t="s">
        <v>151</v>
      </c>
      <c r="D1768">
        <v>52</v>
      </c>
      <c r="E1768" t="s">
        <v>156</v>
      </c>
    </row>
    <row r="1769" spans="1:5" x14ac:dyDescent="0.3">
      <c r="A1769">
        <v>1768</v>
      </c>
      <c r="B1769" s="1" t="s">
        <v>98</v>
      </c>
      <c r="C1769" t="s">
        <v>151</v>
      </c>
      <c r="D1769">
        <v>81</v>
      </c>
      <c r="E1769" t="s">
        <v>156</v>
      </c>
    </row>
    <row r="1770" spans="1:5" x14ac:dyDescent="0.3">
      <c r="A1770">
        <v>1769</v>
      </c>
      <c r="B1770" s="1" t="s">
        <v>104</v>
      </c>
      <c r="C1770" t="s">
        <v>150</v>
      </c>
      <c r="D1770">
        <v>27</v>
      </c>
      <c r="E1770" t="s">
        <v>156</v>
      </c>
    </row>
    <row r="1771" spans="1:5" x14ac:dyDescent="0.3">
      <c r="A1771">
        <v>1770</v>
      </c>
      <c r="B1771" s="1" t="s">
        <v>103</v>
      </c>
      <c r="C1771" t="s">
        <v>150</v>
      </c>
      <c r="D1771">
        <v>88</v>
      </c>
      <c r="E1771" t="s">
        <v>156</v>
      </c>
    </row>
    <row r="1772" spans="1:5" x14ac:dyDescent="0.3">
      <c r="A1772">
        <v>1771</v>
      </c>
      <c r="B1772" s="1" t="s">
        <v>106</v>
      </c>
      <c r="C1772" t="s">
        <v>150</v>
      </c>
      <c r="D1772">
        <v>80</v>
      </c>
      <c r="E1772" t="s">
        <v>156</v>
      </c>
    </row>
    <row r="1773" spans="1:5" x14ac:dyDescent="0.3">
      <c r="A1773">
        <v>1772</v>
      </c>
      <c r="B1773" s="1" t="s">
        <v>98</v>
      </c>
      <c r="C1773" t="s">
        <v>150</v>
      </c>
      <c r="D1773">
        <v>42</v>
      </c>
      <c r="E1773" t="s">
        <v>156</v>
      </c>
    </row>
    <row r="1774" spans="1:5" x14ac:dyDescent="0.3">
      <c r="A1774">
        <v>1773</v>
      </c>
      <c r="B1774" s="1" t="s">
        <v>98</v>
      </c>
      <c r="C1774" t="s">
        <v>151</v>
      </c>
      <c r="D1774">
        <v>22</v>
      </c>
      <c r="E1774" t="s">
        <v>156</v>
      </c>
    </row>
    <row r="1775" spans="1:5" x14ac:dyDescent="0.3">
      <c r="A1775">
        <v>1774</v>
      </c>
      <c r="B1775" s="1" t="s">
        <v>98</v>
      </c>
      <c r="C1775" t="s">
        <v>150</v>
      </c>
      <c r="D1775">
        <v>46</v>
      </c>
      <c r="E1775" t="s">
        <v>156</v>
      </c>
    </row>
    <row r="1776" spans="1:5" x14ac:dyDescent="0.3">
      <c r="A1776">
        <v>1775</v>
      </c>
      <c r="B1776" s="1" t="s">
        <v>98</v>
      </c>
      <c r="C1776" t="s">
        <v>151</v>
      </c>
      <c r="D1776">
        <v>42</v>
      </c>
      <c r="E1776" t="s">
        <v>156</v>
      </c>
    </row>
    <row r="1777" spans="1:5" x14ac:dyDescent="0.3">
      <c r="A1777">
        <v>1776</v>
      </c>
      <c r="B1777" s="1" t="s">
        <v>98</v>
      </c>
      <c r="C1777" t="s">
        <v>151</v>
      </c>
      <c r="D1777">
        <v>77</v>
      </c>
      <c r="E1777" t="s">
        <v>156</v>
      </c>
    </row>
    <row r="1778" spans="1:5" x14ac:dyDescent="0.3">
      <c r="A1778">
        <v>1777</v>
      </c>
      <c r="B1778" s="1" t="s">
        <v>98</v>
      </c>
      <c r="C1778" t="s">
        <v>151</v>
      </c>
      <c r="D1778">
        <v>58</v>
      </c>
      <c r="E1778" t="s">
        <v>156</v>
      </c>
    </row>
    <row r="1779" spans="1:5" x14ac:dyDescent="0.3">
      <c r="A1779">
        <v>1778</v>
      </c>
      <c r="B1779" s="1" t="s">
        <v>98</v>
      </c>
      <c r="C1779" t="s">
        <v>150</v>
      </c>
      <c r="D1779">
        <v>20</v>
      </c>
      <c r="E1779" t="s">
        <v>156</v>
      </c>
    </row>
    <row r="1780" spans="1:5" x14ac:dyDescent="0.3">
      <c r="A1780">
        <v>1779</v>
      </c>
      <c r="B1780" s="1" t="s">
        <v>98</v>
      </c>
      <c r="C1780" t="s">
        <v>151</v>
      </c>
      <c r="D1780">
        <v>88</v>
      </c>
      <c r="E1780" t="s">
        <v>156</v>
      </c>
    </row>
    <row r="1781" spans="1:5" x14ac:dyDescent="0.3">
      <c r="A1781">
        <v>1780</v>
      </c>
      <c r="B1781" s="1" t="s">
        <v>105</v>
      </c>
      <c r="C1781" t="s">
        <v>151</v>
      </c>
      <c r="D1781">
        <v>49</v>
      </c>
      <c r="E1781" t="s">
        <v>156</v>
      </c>
    </row>
    <row r="1782" spans="1:5" x14ac:dyDescent="0.3">
      <c r="A1782">
        <v>1781</v>
      </c>
      <c r="B1782" s="1" t="s">
        <v>107</v>
      </c>
      <c r="C1782" t="s">
        <v>151</v>
      </c>
      <c r="D1782">
        <v>29</v>
      </c>
      <c r="E1782" t="s">
        <v>156</v>
      </c>
    </row>
    <row r="1783" spans="1:5" x14ac:dyDescent="0.3">
      <c r="A1783">
        <v>1782</v>
      </c>
      <c r="B1783" s="1" t="s">
        <v>104</v>
      </c>
      <c r="C1783" t="s">
        <v>150</v>
      </c>
      <c r="D1783">
        <v>50</v>
      </c>
      <c r="E1783" t="s">
        <v>156</v>
      </c>
    </row>
    <row r="1784" spans="1:5" x14ac:dyDescent="0.3">
      <c r="A1784">
        <v>1783</v>
      </c>
      <c r="B1784" s="1" t="s">
        <v>98</v>
      </c>
      <c r="C1784" t="s">
        <v>150</v>
      </c>
      <c r="D1784">
        <v>27</v>
      </c>
      <c r="E1784" t="s">
        <v>156</v>
      </c>
    </row>
    <row r="1785" spans="1:5" x14ac:dyDescent="0.3">
      <c r="A1785">
        <v>1784</v>
      </c>
      <c r="B1785" s="1" t="s">
        <v>98</v>
      </c>
      <c r="C1785" t="s">
        <v>150</v>
      </c>
      <c r="D1785">
        <v>57</v>
      </c>
      <c r="E1785" t="s">
        <v>156</v>
      </c>
    </row>
    <row r="1786" spans="1:5" x14ac:dyDescent="0.3">
      <c r="A1786">
        <v>1785</v>
      </c>
      <c r="B1786" s="1" t="s">
        <v>105</v>
      </c>
      <c r="C1786" t="s">
        <v>151</v>
      </c>
      <c r="D1786">
        <v>42</v>
      </c>
      <c r="E1786" t="s">
        <v>156</v>
      </c>
    </row>
    <row r="1787" spans="1:5" x14ac:dyDescent="0.3">
      <c r="A1787">
        <v>1786</v>
      </c>
      <c r="B1787" s="1" t="s">
        <v>105</v>
      </c>
      <c r="C1787" t="s">
        <v>151</v>
      </c>
      <c r="D1787">
        <v>78</v>
      </c>
      <c r="E1787" t="s">
        <v>156</v>
      </c>
    </row>
    <row r="1788" spans="1:5" x14ac:dyDescent="0.3">
      <c r="A1788">
        <v>1787</v>
      </c>
      <c r="B1788" s="1" t="s">
        <v>99</v>
      </c>
      <c r="C1788" t="s">
        <v>151</v>
      </c>
      <c r="D1788">
        <v>48</v>
      </c>
      <c r="E1788" t="s">
        <v>156</v>
      </c>
    </row>
    <row r="1789" spans="1:5" x14ac:dyDescent="0.3">
      <c r="A1789">
        <v>1788</v>
      </c>
      <c r="B1789" s="1" t="s">
        <v>99</v>
      </c>
      <c r="C1789" t="s">
        <v>151</v>
      </c>
      <c r="D1789">
        <v>82</v>
      </c>
      <c r="E1789" t="s">
        <v>156</v>
      </c>
    </row>
    <row r="1790" spans="1:5" x14ac:dyDescent="0.3">
      <c r="A1790">
        <v>1789</v>
      </c>
      <c r="B1790" s="1" t="s">
        <v>108</v>
      </c>
      <c r="C1790" t="s">
        <v>151</v>
      </c>
      <c r="D1790">
        <v>35</v>
      </c>
      <c r="E1790" t="s">
        <v>156</v>
      </c>
    </row>
    <row r="1791" spans="1:5" x14ac:dyDescent="0.3">
      <c r="A1791">
        <v>1790</v>
      </c>
      <c r="B1791" s="1" t="s">
        <v>98</v>
      </c>
      <c r="C1791" t="s">
        <v>150</v>
      </c>
      <c r="D1791">
        <v>85</v>
      </c>
      <c r="E1791" t="s">
        <v>156</v>
      </c>
    </row>
    <row r="1792" spans="1:5" x14ac:dyDescent="0.3">
      <c r="A1792">
        <v>1791</v>
      </c>
      <c r="B1792" s="1" t="s">
        <v>98</v>
      </c>
      <c r="C1792" t="s">
        <v>150</v>
      </c>
      <c r="D1792">
        <v>33</v>
      </c>
      <c r="E1792" t="s">
        <v>156</v>
      </c>
    </row>
    <row r="1793" spans="1:5" x14ac:dyDescent="0.3">
      <c r="A1793">
        <v>1792</v>
      </c>
      <c r="B1793" s="1" t="s">
        <v>107</v>
      </c>
      <c r="C1793" t="s">
        <v>150</v>
      </c>
      <c r="D1793">
        <v>59</v>
      </c>
      <c r="E1793" t="s">
        <v>156</v>
      </c>
    </row>
    <row r="1794" spans="1:5" x14ac:dyDescent="0.3">
      <c r="A1794">
        <v>1793</v>
      </c>
      <c r="B1794" s="1" t="s">
        <v>99</v>
      </c>
      <c r="C1794" t="s">
        <v>151</v>
      </c>
      <c r="D1794">
        <v>66</v>
      </c>
      <c r="E1794" t="s">
        <v>156</v>
      </c>
    </row>
    <row r="1795" spans="1:5" x14ac:dyDescent="0.3">
      <c r="A1795">
        <v>1794</v>
      </c>
      <c r="B1795" s="1" t="s">
        <v>100</v>
      </c>
      <c r="C1795" t="s">
        <v>150</v>
      </c>
      <c r="D1795">
        <v>41</v>
      </c>
      <c r="E1795" t="s">
        <v>156</v>
      </c>
    </row>
    <row r="1796" spans="1:5" x14ac:dyDescent="0.3">
      <c r="A1796">
        <v>1795</v>
      </c>
      <c r="B1796" s="1" t="s">
        <v>99</v>
      </c>
      <c r="C1796" t="s">
        <v>150</v>
      </c>
      <c r="D1796">
        <v>53</v>
      </c>
      <c r="E1796" t="s">
        <v>156</v>
      </c>
    </row>
    <row r="1797" spans="1:5" x14ac:dyDescent="0.3">
      <c r="A1797">
        <v>1796</v>
      </c>
      <c r="B1797" s="1" t="s">
        <v>107</v>
      </c>
      <c r="C1797" t="s">
        <v>151</v>
      </c>
      <c r="D1797">
        <v>86</v>
      </c>
      <c r="E1797" t="s">
        <v>156</v>
      </c>
    </row>
    <row r="1798" spans="1:5" x14ac:dyDescent="0.3">
      <c r="A1798">
        <v>1797</v>
      </c>
      <c r="B1798" s="1" t="s">
        <v>98</v>
      </c>
      <c r="C1798" t="s">
        <v>150</v>
      </c>
      <c r="D1798">
        <v>45</v>
      </c>
      <c r="E1798" t="s">
        <v>156</v>
      </c>
    </row>
    <row r="1799" spans="1:5" x14ac:dyDescent="0.3">
      <c r="A1799">
        <v>1798</v>
      </c>
      <c r="B1799" s="1" t="s">
        <v>98</v>
      </c>
      <c r="C1799" t="s">
        <v>150</v>
      </c>
      <c r="D1799">
        <v>31</v>
      </c>
      <c r="E1799" t="s">
        <v>156</v>
      </c>
    </row>
    <row r="1800" spans="1:5" x14ac:dyDescent="0.3">
      <c r="A1800">
        <v>1799</v>
      </c>
      <c r="B1800" s="1" t="s">
        <v>99</v>
      </c>
      <c r="C1800" t="s">
        <v>151</v>
      </c>
      <c r="D1800">
        <v>75</v>
      </c>
      <c r="E1800" t="s">
        <v>156</v>
      </c>
    </row>
    <row r="1801" spans="1:5" x14ac:dyDescent="0.3">
      <c r="A1801">
        <v>1800</v>
      </c>
      <c r="B1801" s="1" t="s">
        <v>100</v>
      </c>
      <c r="C1801" t="s">
        <v>150</v>
      </c>
      <c r="D1801">
        <v>63</v>
      </c>
      <c r="E1801" t="s">
        <v>156</v>
      </c>
    </row>
    <row r="1802" spans="1:5" x14ac:dyDescent="0.3">
      <c r="A1802">
        <v>1801</v>
      </c>
      <c r="B1802" s="1" t="s">
        <v>104</v>
      </c>
      <c r="C1802" t="s">
        <v>151</v>
      </c>
      <c r="D1802">
        <v>53</v>
      </c>
      <c r="E1802" t="s">
        <v>156</v>
      </c>
    </row>
    <row r="1803" spans="1:5" x14ac:dyDescent="0.3">
      <c r="A1803">
        <v>1802</v>
      </c>
      <c r="B1803" s="1" t="s">
        <v>99</v>
      </c>
      <c r="C1803" t="s">
        <v>151</v>
      </c>
      <c r="D1803">
        <v>61</v>
      </c>
      <c r="E1803" t="s">
        <v>156</v>
      </c>
    </row>
    <row r="1804" spans="1:5" x14ac:dyDescent="0.3">
      <c r="A1804">
        <v>1803</v>
      </c>
      <c r="B1804" s="1" t="s">
        <v>104</v>
      </c>
      <c r="C1804" t="s">
        <v>151</v>
      </c>
      <c r="D1804" s="15">
        <v>59</v>
      </c>
      <c r="E1804" t="s">
        <v>156</v>
      </c>
    </row>
    <row r="1805" spans="1:5" x14ac:dyDescent="0.3">
      <c r="A1805">
        <v>1804</v>
      </c>
      <c r="B1805" s="1" t="s">
        <v>100</v>
      </c>
      <c r="C1805" t="s">
        <v>151</v>
      </c>
      <c r="D1805">
        <v>81</v>
      </c>
      <c r="E1805" t="s">
        <v>156</v>
      </c>
    </row>
    <row r="1806" spans="1:5" x14ac:dyDescent="0.3">
      <c r="A1806">
        <v>1805</v>
      </c>
      <c r="B1806" s="1" t="s">
        <v>99</v>
      </c>
      <c r="C1806" t="s">
        <v>151</v>
      </c>
      <c r="D1806">
        <v>39</v>
      </c>
      <c r="E1806" t="s">
        <v>156</v>
      </c>
    </row>
    <row r="1807" spans="1:5" x14ac:dyDescent="0.3">
      <c r="A1807">
        <v>1806</v>
      </c>
      <c r="B1807" s="1" t="s">
        <v>98</v>
      </c>
      <c r="C1807" t="s">
        <v>150</v>
      </c>
      <c r="D1807">
        <v>35</v>
      </c>
      <c r="E1807" t="s">
        <v>156</v>
      </c>
    </row>
    <row r="1808" spans="1:5" x14ac:dyDescent="0.3">
      <c r="A1808">
        <v>1807</v>
      </c>
      <c r="B1808" s="1" t="s">
        <v>100</v>
      </c>
      <c r="C1808" t="s">
        <v>151</v>
      </c>
      <c r="D1808">
        <v>77</v>
      </c>
      <c r="E1808" t="s">
        <v>156</v>
      </c>
    </row>
    <row r="1809" spans="1:5" x14ac:dyDescent="0.3">
      <c r="A1809">
        <v>1808</v>
      </c>
      <c r="B1809" s="1" t="s">
        <v>106</v>
      </c>
      <c r="C1809" t="s">
        <v>151</v>
      </c>
      <c r="D1809">
        <v>28</v>
      </c>
      <c r="E1809" t="s">
        <v>156</v>
      </c>
    </row>
    <row r="1810" spans="1:5" x14ac:dyDescent="0.3">
      <c r="A1810">
        <v>1809</v>
      </c>
      <c r="B1810" s="1" t="s">
        <v>98</v>
      </c>
      <c r="C1810" t="s">
        <v>151</v>
      </c>
      <c r="D1810">
        <v>57</v>
      </c>
      <c r="E1810" t="s">
        <v>156</v>
      </c>
    </row>
    <row r="1811" spans="1:5" x14ac:dyDescent="0.3">
      <c r="A1811">
        <v>1810</v>
      </c>
      <c r="B1811" s="1" t="s">
        <v>98</v>
      </c>
      <c r="C1811" t="s">
        <v>150</v>
      </c>
      <c r="D1811">
        <v>86</v>
      </c>
      <c r="E1811" t="s">
        <v>156</v>
      </c>
    </row>
    <row r="1812" spans="1:5" x14ac:dyDescent="0.3">
      <c r="A1812">
        <v>1811</v>
      </c>
      <c r="B1812" s="1" t="s">
        <v>98</v>
      </c>
      <c r="C1812" t="s">
        <v>151</v>
      </c>
      <c r="D1812">
        <v>79</v>
      </c>
      <c r="E1812" t="s">
        <v>156</v>
      </c>
    </row>
    <row r="1813" spans="1:5" x14ac:dyDescent="0.3">
      <c r="A1813">
        <v>1812</v>
      </c>
      <c r="B1813" s="1" t="s">
        <v>104</v>
      </c>
      <c r="C1813" t="s">
        <v>150</v>
      </c>
      <c r="D1813">
        <v>49</v>
      </c>
      <c r="E1813" t="s">
        <v>156</v>
      </c>
    </row>
    <row r="1814" spans="1:5" x14ac:dyDescent="0.3">
      <c r="A1814">
        <v>1813</v>
      </c>
      <c r="B1814" s="1" t="s">
        <v>98</v>
      </c>
      <c r="C1814" t="s">
        <v>150</v>
      </c>
      <c r="D1814">
        <v>21</v>
      </c>
      <c r="E1814" t="s">
        <v>156</v>
      </c>
    </row>
    <row r="1815" spans="1:5" x14ac:dyDescent="0.3">
      <c r="A1815">
        <v>1814</v>
      </c>
      <c r="B1815" s="1" t="s">
        <v>98</v>
      </c>
      <c r="C1815" t="s">
        <v>150</v>
      </c>
      <c r="D1815">
        <v>86</v>
      </c>
      <c r="E1815" t="s">
        <v>156</v>
      </c>
    </row>
    <row r="1816" spans="1:5" x14ac:dyDescent="0.3">
      <c r="A1816">
        <v>1815</v>
      </c>
      <c r="B1816" s="1" t="s">
        <v>103</v>
      </c>
      <c r="C1816" t="s">
        <v>150</v>
      </c>
      <c r="D1816">
        <v>43</v>
      </c>
      <c r="E1816" t="s">
        <v>156</v>
      </c>
    </row>
    <row r="1817" spans="1:5" x14ac:dyDescent="0.3">
      <c r="A1817">
        <v>1816</v>
      </c>
      <c r="B1817" s="1" t="s">
        <v>104</v>
      </c>
      <c r="C1817" t="s">
        <v>150</v>
      </c>
      <c r="D1817">
        <v>75</v>
      </c>
      <c r="E1817" t="s">
        <v>156</v>
      </c>
    </row>
    <row r="1818" spans="1:5" x14ac:dyDescent="0.3">
      <c r="A1818">
        <v>1817</v>
      </c>
      <c r="B1818" s="1" t="s">
        <v>98</v>
      </c>
      <c r="C1818" t="s">
        <v>150</v>
      </c>
      <c r="D1818">
        <v>21</v>
      </c>
      <c r="E1818" t="s">
        <v>156</v>
      </c>
    </row>
    <row r="1819" spans="1:5" x14ac:dyDescent="0.3">
      <c r="A1819">
        <v>1818</v>
      </c>
      <c r="B1819" s="1" t="s">
        <v>98</v>
      </c>
      <c r="C1819" t="s">
        <v>150</v>
      </c>
      <c r="D1819">
        <v>20</v>
      </c>
      <c r="E1819" t="s">
        <v>156</v>
      </c>
    </row>
    <row r="1820" spans="1:5" x14ac:dyDescent="0.3">
      <c r="A1820">
        <v>1819</v>
      </c>
      <c r="B1820" s="1" t="s">
        <v>98</v>
      </c>
      <c r="C1820" t="s">
        <v>150</v>
      </c>
      <c r="D1820">
        <v>82</v>
      </c>
      <c r="E1820" t="s">
        <v>156</v>
      </c>
    </row>
    <row r="1821" spans="1:5" x14ac:dyDescent="0.3">
      <c r="A1821">
        <v>1820</v>
      </c>
      <c r="B1821" s="1" t="s">
        <v>98</v>
      </c>
      <c r="C1821" t="s">
        <v>150</v>
      </c>
      <c r="D1821">
        <v>71</v>
      </c>
      <c r="E1821" t="s">
        <v>156</v>
      </c>
    </row>
    <row r="1822" spans="1:5" x14ac:dyDescent="0.3">
      <c r="A1822">
        <v>1821</v>
      </c>
      <c r="B1822" s="1" t="s">
        <v>98</v>
      </c>
      <c r="C1822" t="s">
        <v>151</v>
      </c>
      <c r="D1822">
        <v>32</v>
      </c>
      <c r="E1822" t="s">
        <v>156</v>
      </c>
    </row>
    <row r="1823" spans="1:5" x14ac:dyDescent="0.3">
      <c r="A1823">
        <v>1822</v>
      </c>
      <c r="B1823" s="1" t="s">
        <v>98</v>
      </c>
      <c r="C1823" t="s">
        <v>150</v>
      </c>
      <c r="D1823">
        <v>56</v>
      </c>
      <c r="E1823" t="s">
        <v>156</v>
      </c>
    </row>
    <row r="1824" spans="1:5" x14ac:dyDescent="0.3">
      <c r="A1824">
        <v>1823</v>
      </c>
      <c r="B1824" s="1" t="s">
        <v>104</v>
      </c>
      <c r="C1824" t="s">
        <v>150</v>
      </c>
      <c r="D1824">
        <v>18</v>
      </c>
      <c r="E1824" t="s">
        <v>156</v>
      </c>
    </row>
    <row r="1825" spans="1:5" x14ac:dyDescent="0.3">
      <c r="A1825">
        <v>1824</v>
      </c>
      <c r="B1825" s="1" t="s">
        <v>98</v>
      </c>
      <c r="C1825" t="s">
        <v>151</v>
      </c>
      <c r="D1825">
        <v>35</v>
      </c>
      <c r="E1825" t="s">
        <v>156</v>
      </c>
    </row>
    <row r="1826" spans="1:5" x14ac:dyDescent="0.3">
      <c r="A1826">
        <v>1825</v>
      </c>
      <c r="B1826" s="1" t="s">
        <v>100</v>
      </c>
      <c r="C1826" t="s">
        <v>151</v>
      </c>
      <c r="D1826">
        <v>22</v>
      </c>
      <c r="E1826" t="s">
        <v>156</v>
      </c>
    </row>
    <row r="1827" spans="1:5" x14ac:dyDescent="0.3">
      <c r="A1827">
        <v>1826</v>
      </c>
      <c r="B1827" s="1" t="s">
        <v>106</v>
      </c>
      <c r="C1827" t="s">
        <v>150</v>
      </c>
      <c r="D1827">
        <v>21</v>
      </c>
      <c r="E1827" t="s">
        <v>156</v>
      </c>
    </row>
    <row r="1828" spans="1:5" x14ac:dyDescent="0.3">
      <c r="A1828">
        <v>1827</v>
      </c>
      <c r="B1828" s="1" t="s">
        <v>98</v>
      </c>
      <c r="C1828" t="s">
        <v>150</v>
      </c>
      <c r="D1828">
        <v>61</v>
      </c>
      <c r="E1828" t="s">
        <v>156</v>
      </c>
    </row>
    <row r="1829" spans="1:5" x14ac:dyDescent="0.3">
      <c r="A1829">
        <v>1828</v>
      </c>
      <c r="B1829" s="1" t="s">
        <v>101</v>
      </c>
      <c r="C1829" t="s">
        <v>151</v>
      </c>
      <c r="D1829">
        <v>51</v>
      </c>
      <c r="E1829" t="s">
        <v>156</v>
      </c>
    </row>
    <row r="1830" spans="1:5" x14ac:dyDescent="0.3">
      <c r="A1830">
        <v>1829</v>
      </c>
      <c r="B1830" s="1" t="s">
        <v>100</v>
      </c>
      <c r="C1830" t="s">
        <v>150</v>
      </c>
      <c r="D1830">
        <v>82</v>
      </c>
      <c r="E1830" t="s">
        <v>156</v>
      </c>
    </row>
    <row r="1831" spans="1:5" x14ac:dyDescent="0.3">
      <c r="A1831">
        <v>1830</v>
      </c>
      <c r="B1831" s="1" t="s">
        <v>100</v>
      </c>
      <c r="C1831" t="s">
        <v>151</v>
      </c>
      <c r="D1831">
        <v>44</v>
      </c>
      <c r="E1831" t="s">
        <v>156</v>
      </c>
    </row>
    <row r="1832" spans="1:5" x14ac:dyDescent="0.3">
      <c r="A1832">
        <v>1831</v>
      </c>
      <c r="B1832" s="1" t="s">
        <v>98</v>
      </c>
      <c r="C1832" t="s">
        <v>150</v>
      </c>
      <c r="D1832">
        <v>48</v>
      </c>
      <c r="E1832" t="s">
        <v>156</v>
      </c>
    </row>
    <row r="1833" spans="1:5" x14ac:dyDescent="0.3">
      <c r="A1833">
        <v>1832</v>
      </c>
      <c r="B1833" s="1" t="s">
        <v>98</v>
      </c>
      <c r="C1833" t="s">
        <v>151</v>
      </c>
      <c r="D1833">
        <v>82</v>
      </c>
      <c r="E1833" t="s">
        <v>156</v>
      </c>
    </row>
    <row r="1834" spans="1:5" x14ac:dyDescent="0.3">
      <c r="A1834">
        <v>1833</v>
      </c>
      <c r="B1834" s="1" t="s">
        <v>105</v>
      </c>
      <c r="C1834" t="s">
        <v>151</v>
      </c>
      <c r="D1834">
        <v>29</v>
      </c>
      <c r="E1834" t="s">
        <v>156</v>
      </c>
    </row>
    <row r="1835" spans="1:5" x14ac:dyDescent="0.3">
      <c r="A1835">
        <v>1834</v>
      </c>
      <c r="B1835" s="1" t="s">
        <v>100</v>
      </c>
      <c r="C1835" t="s">
        <v>150</v>
      </c>
      <c r="D1835">
        <v>60</v>
      </c>
      <c r="E1835" t="s">
        <v>156</v>
      </c>
    </row>
    <row r="1836" spans="1:5" x14ac:dyDescent="0.3">
      <c r="A1836">
        <v>1835</v>
      </c>
      <c r="B1836" s="1" t="s">
        <v>101</v>
      </c>
      <c r="C1836" t="s">
        <v>150</v>
      </c>
      <c r="D1836">
        <v>43</v>
      </c>
      <c r="E1836" t="s">
        <v>156</v>
      </c>
    </row>
    <row r="1837" spans="1:5" x14ac:dyDescent="0.3">
      <c r="A1837">
        <v>1836</v>
      </c>
      <c r="B1837" s="1" t="s">
        <v>99</v>
      </c>
      <c r="C1837" t="s">
        <v>150</v>
      </c>
      <c r="D1837">
        <v>36</v>
      </c>
      <c r="E1837" t="s">
        <v>156</v>
      </c>
    </row>
    <row r="1838" spans="1:5" x14ac:dyDescent="0.3">
      <c r="A1838">
        <v>1837</v>
      </c>
      <c r="B1838" s="1" t="s">
        <v>109</v>
      </c>
      <c r="C1838" t="s">
        <v>151</v>
      </c>
      <c r="D1838">
        <v>87</v>
      </c>
      <c r="E1838" t="s">
        <v>156</v>
      </c>
    </row>
    <row r="1839" spans="1:5" x14ac:dyDescent="0.3">
      <c r="A1839">
        <v>1838</v>
      </c>
      <c r="B1839" s="1" t="s">
        <v>98</v>
      </c>
      <c r="C1839" t="s">
        <v>151</v>
      </c>
      <c r="D1839">
        <v>48</v>
      </c>
      <c r="E1839" t="s">
        <v>156</v>
      </c>
    </row>
    <row r="1840" spans="1:5" x14ac:dyDescent="0.3">
      <c r="A1840">
        <v>1839</v>
      </c>
      <c r="B1840" s="1" t="s">
        <v>108</v>
      </c>
      <c r="C1840" t="s">
        <v>151</v>
      </c>
      <c r="D1840">
        <v>33</v>
      </c>
      <c r="E1840" t="s">
        <v>156</v>
      </c>
    </row>
    <row r="1841" spans="1:5" x14ac:dyDescent="0.3">
      <c r="A1841">
        <v>1840</v>
      </c>
      <c r="B1841" s="1" t="s">
        <v>98</v>
      </c>
      <c r="C1841" t="s">
        <v>150</v>
      </c>
      <c r="D1841">
        <v>83</v>
      </c>
      <c r="E1841" t="s">
        <v>156</v>
      </c>
    </row>
    <row r="1842" spans="1:5" x14ac:dyDescent="0.3">
      <c r="A1842">
        <v>1841</v>
      </c>
      <c r="B1842" s="1" t="s">
        <v>105</v>
      </c>
      <c r="C1842" t="s">
        <v>150</v>
      </c>
      <c r="D1842">
        <v>82</v>
      </c>
      <c r="E1842" t="s">
        <v>156</v>
      </c>
    </row>
    <row r="1843" spans="1:5" x14ac:dyDescent="0.3">
      <c r="A1843">
        <v>1842</v>
      </c>
      <c r="B1843" s="1" t="s">
        <v>105</v>
      </c>
      <c r="C1843" t="s">
        <v>150</v>
      </c>
      <c r="D1843">
        <v>61</v>
      </c>
      <c r="E1843" t="s">
        <v>156</v>
      </c>
    </row>
    <row r="1844" spans="1:5" x14ac:dyDescent="0.3">
      <c r="A1844">
        <v>1843</v>
      </c>
      <c r="B1844" s="1" t="s">
        <v>98</v>
      </c>
      <c r="C1844" t="s">
        <v>151</v>
      </c>
      <c r="D1844">
        <v>20</v>
      </c>
      <c r="E1844" t="s">
        <v>156</v>
      </c>
    </row>
    <row r="1845" spans="1:5" x14ac:dyDescent="0.3">
      <c r="A1845">
        <v>1844</v>
      </c>
      <c r="B1845" s="1" t="s">
        <v>105</v>
      </c>
      <c r="C1845" t="s">
        <v>151</v>
      </c>
      <c r="D1845">
        <v>88</v>
      </c>
      <c r="E1845" t="s">
        <v>156</v>
      </c>
    </row>
    <row r="1846" spans="1:5" x14ac:dyDescent="0.3">
      <c r="A1846">
        <v>1845</v>
      </c>
      <c r="B1846" s="1" t="s">
        <v>101</v>
      </c>
      <c r="C1846" t="s">
        <v>151</v>
      </c>
      <c r="D1846">
        <v>83</v>
      </c>
      <c r="E1846" t="s">
        <v>156</v>
      </c>
    </row>
    <row r="1847" spans="1:5" x14ac:dyDescent="0.3">
      <c r="A1847">
        <v>1846</v>
      </c>
      <c r="B1847" s="1" t="s">
        <v>100</v>
      </c>
      <c r="C1847" t="s">
        <v>150</v>
      </c>
      <c r="D1847">
        <v>41</v>
      </c>
      <c r="E1847" t="s">
        <v>156</v>
      </c>
    </row>
    <row r="1848" spans="1:5" x14ac:dyDescent="0.3">
      <c r="A1848">
        <v>1847</v>
      </c>
      <c r="B1848" s="1" t="s">
        <v>99</v>
      </c>
      <c r="C1848" t="s">
        <v>150</v>
      </c>
      <c r="D1848">
        <v>33</v>
      </c>
      <c r="E1848" t="s">
        <v>156</v>
      </c>
    </row>
    <row r="1849" spans="1:5" x14ac:dyDescent="0.3">
      <c r="A1849">
        <v>1848</v>
      </c>
      <c r="B1849" s="1" t="s">
        <v>98</v>
      </c>
      <c r="C1849" t="s">
        <v>150</v>
      </c>
      <c r="D1849">
        <v>63</v>
      </c>
      <c r="E1849" t="s">
        <v>156</v>
      </c>
    </row>
    <row r="1850" spans="1:5" x14ac:dyDescent="0.3">
      <c r="A1850">
        <v>1849</v>
      </c>
      <c r="B1850" s="1" t="s">
        <v>107</v>
      </c>
      <c r="C1850" t="s">
        <v>150</v>
      </c>
      <c r="D1850">
        <v>35</v>
      </c>
      <c r="E1850" t="s">
        <v>156</v>
      </c>
    </row>
    <row r="1851" spans="1:5" x14ac:dyDescent="0.3">
      <c r="A1851">
        <v>1850</v>
      </c>
      <c r="B1851" s="1" t="s">
        <v>108</v>
      </c>
      <c r="C1851" t="s">
        <v>150</v>
      </c>
      <c r="D1851">
        <v>60</v>
      </c>
      <c r="E1851" t="s">
        <v>156</v>
      </c>
    </row>
    <row r="1852" spans="1:5" x14ac:dyDescent="0.3">
      <c r="A1852">
        <v>1851</v>
      </c>
      <c r="B1852" s="1" t="s">
        <v>104</v>
      </c>
      <c r="C1852" t="s">
        <v>151</v>
      </c>
      <c r="D1852">
        <v>76</v>
      </c>
      <c r="E1852" t="s">
        <v>156</v>
      </c>
    </row>
    <row r="1853" spans="1:5" x14ac:dyDescent="0.3">
      <c r="A1853">
        <v>1852</v>
      </c>
      <c r="B1853" s="1" t="s">
        <v>106</v>
      </c>
      <c r="C1853" t="s">
        <v>150</v>
      </c>
      <c r="D1853">
        <v>87</v>
      </c>
      <c r="E1853" t="s">
        <v>156</v>
      </c>
    </row>
    <row r="1854" spans="1:5" x14ac:dyDescent="0.3">
      <c r="A1854">
        <v>1853</v>
      </c>
      <c r="B1854" s="1" t="s">
        <v>99</v>
      </c>
      <c r="C1854" t="s">
        <v>150</v>
      </c>
      <c r="D1854">
        <v>65</v>
      </c>
      <c r="E1854" t="s">
        <v>156</v>
      </c>
    </row>
    <row r="1855" spans="1:5" x14ac:dyDescent="0.3">
      <c r="A1855">
        <v>1854</v>
      </c>
      <c r="B1855" s="1" t="s">
        <v>98</v>
      </c>
      <c r="C1855" t="s">
        <v>151</v>
      </c>
      <c r="D1855">
        <v>87</v>
      </c>
      <c r="E1855" t="s">
        <v>156</v>
      </c>
    </row>
    <row r="1856" spans="1:5" x14ac:dyDescent="0.3">
      <c r="A1856">
        <v>1855</v>
      </c>
      <c r="B1856" s="1" t="s">
        <v>107</v>
      </c>
      <c r="C1856" t="s">
        <v>151</v>
      </c>
      <c r="D1856">
        <v>44</v>
      </c>
      <c r="E1856" t="s">
        <v>156</v>
      </c>
    </row>
    <row r="1857" spans="1:5" x14ac:dyDescent="0.3">
      <c r="A1857">
        <v>1856</v>
      </c>
      <c r="B1857" s="1" t="s">
        <v>98</v>
      </c>
      <c r="C1857" t="s">
        <v>151</v>
      </c>
      <c r="D1857">
        <v>78</v>
      </c>
      <c r="E1857" t="s">
        <v>156</v>
      </c>
    </row>
    <row r="1858" spans="1:5" x14ac:dyDescent="0.3">
      <c r="A1858">
        <v>1857</v>
      </c>
      <c r="B1858" s="1" t="s">
        <v>99</v>
      </c>
      <c r="C1858" t="s">
        <v>151</v>
      </c>
      <c r="D1858">
        <v>75</v>
      </c>
      <c r="E1858" t="s">
        <v>156</v>
      </c>
    </row>
    <row r="1859" spans="1:5" x14ac:dyDescent="0.3">
      <c r="A1859">
        <v>1858</v>
      </c>
      <c r="B1859" s="1" t="s">
        <v>98</v>
      </c>
      <c r="C1859" t="s">
        <v>151</v>
      </c>
      <c r="D1859">
        <v>59</v>
      </c>
      <c r="E1859" t="s">
        <v>156</v>
      </c>
    </row>
    <row r="1860" spans="1:5" x14ac:dyDescent="0.3">
      <c r="A1860">
        <v>1859</v>
      </c>
      <c r="B1860" s="1" t="s">
        <v>104</v>
      </c>
      <c r="C1860" t="s">
        <v>151</v>
      </c>
      <c r="D1860">
        <v>64</v>
      </c>
      <c r="E1860" t="s">
        <v>156</v>
      </c>
    </row>
    <row r="1861" spans="1:5" x14ac:dyDescent="0.3">
      <c r="A1861">
        <v>1860</v>
      </c>
      <c r="B1861" s="1" t="s">
        <v>104</v>
      </c>
      <c r="C1861" t="s">
        <v>151</v>
      </c>
      <c r="D1861">
        <v>61</v>
      </c>
      <c r="E1861" t="s">
        <v>156</v>
      </c>
    </row>
    <row r="1862" spans="1:5" x14ac:dyDescent="0.3">
      <c r="A1862">
        <v>1861</v>
      </c>
      <c r="B1862" s="1" t="s">
        <v>98</v>
      </c>
      <c r="C1862" t="s">
        <v>150</v>
      </c>
      <c r="D1862">
        <v>84</v>
      </c>
      <c r="E1862" t="s">
        <v>156</v>
      </c>
    </row>
    <row r="1863" spans="1:5" x14ac:dyDescent="0.3">
      <c r="A1863">
        <v>1862</v>
      </c>
      <c r="B1863" s="1" t="s">
        <v>100</v>
      </c>
      <c r="C1863" t="s">
        <v>151</v>
      </c>
      <c r="D1863">
        <v>70</v>
      </c>
      <c r="E1863" t="s">
        <v>156</v>
      </c>
    </row>
    <row r="1864" spans="1:5" x14ac:dyDescent="0.3">
      <c r="A1864">
        <v>1863</v>
      </c>
      <c r="B1864" s="1" t="s">
        <v>104</v>
      </c>
      <c r="C1864" t="s">
        <v>151</v>
      </c>
      <c r="D1864">
        <v>21</v>
      </c>
      <c r="E1864" t="s">
        <v>156</v>
      </c>
    </row>
    <row r="1865" spans="1:5" x14ac:dyDescent="0.3">
      <c r="A1865">
        <v>1864</v>
      </c>
      <c r="B1865" s="1" t="s">
        <v>100</v>
      </c>
      <c r="C1865" t="s">
        <v>151</v>
      </c>
      <c r="D1865">
        <v>83</v>
      </c>
      <c r="E1865" t="s">
        <v>156</v>
      </c>
    </row>
    <row r="1866" spans="1:5" x14ac:dyDescent="0.3">
      <c r="A1866">
        <v>1865</v>
      </c>
      <c r="B1866" s="1" t="s">
        <v>99</v>
      </c>
      <c r="C1866" t="s">
        <v>150</v>
      </c>
      <c r="D1866">
        <v>90</v>
      </c>
      <c r="E1866" t="s">
        <v>156</v>
      </c>
    </row>
    <row r="1867" spans="1:5" x14ac:dyDescent="0.3">
      <c r="A1867">
        <v>1866</v>
      </c>
      <c r="B1867" s="1" t="s">
        <v>104</v>
      </c>
      <c r="C1867" t="s">
        <v>150</v>
      </c>
      <c r="D1867">
        <v>53</v>
      </c>
      <c r="E1867" t="s">
        <v>156</v>
      </c>
    </row>
    <row r="1868" spans="1:5" x14ac:dyDescent="0.3">
      <c r="A1868">
        <v>1867</v>
      </c>
      <c r="B1868" s="1" t="s">
        <v>98</v>
      </c>
      <c r="C1868" t="s">
        <v>150</v>
      </c>
      <c r="D1868">
        <v>57</v>
      </c>
      <c r="E1868" t="s">
        <v>156</v>
      </c>
    </row>
    <row r="1869" spans="1:5" x14ac:dyDescent="0.3">
      <c r="A1869">
        <v>1868</v>
      </c>
      <c r="B1869" s="1" t="s">
        <v>99</v>
      </c>
      <c r="C1869" t="s">
        <v>150</v>
      </c>
      <c r="D1869">
        <v>49</v>
      </c>
      <c r="E1869" t="s">
        <v>156</v>
      </c>
    </row>
    <row r="1870" spans="1:5" x14ac:dyDescent="0.3">
      <c r="A1870">
        <v>1869</v>
      </c>
      <c r="B1870" s="1" t="s">
        <v>105</v>
      </c>
      <c r="C1870" t="s">
        <v>151</v>
      </c>
      <c r="D1870">
        <v>60</v>
      </c>
      <c r="E1870" t="s">
        <v>156</v>
      </c>
    </row>
    <row r="1871" spans="1:5" x14ac:dyDescent="0.3">
      <c r="A1871">
        <v>1870</v>
      </c>
      <c r="B1871" s="1" t="s">
        <v>98</v>
      </c>
      <c r="C1871" t="s">
        <v>151</v>
      </c>
      <c r="D1871">
        <v>39</v>
      </c>
      <c r="E1871" t="s">
        <v>156</v>
      </c>
    </row>
    <row r="1872" spans="1:5" x14ac:dyDescent="0.3">
      <c r="A1872">
        <v>1871</v>
      </c>
      <c r="B1872" s="1" t="s">
        <v>106</v>
      </c>
      <c r="C1872" t="s">
        <v>151</v>
      </c>
      <c r="D1872">
        <v>49</v>
      </c>
      <c r="E1872" t="s">
        <v>156</v>
      </c>
    </row>
    <row r="1873" spans="1:5" x14ac:dyDescent="0.3">
      <c r="A1873">
        <v>1872</v>
      </c>
      <c r="B1873" s="1" t="s">
        <v>99</v>
      </c>
      <c r="C1873" t="s">
        <v>151</v>
      </c>
      <c r="D1873">
        <v>34</v>
      </c>
      <c r="E1873" t="s">
        <v>156</v>
      </c>
    </row>
    <row r="1874" spans="1:5" x14ac:dyDescent="0.3">
      <c r="A1874">
        <v>1873</v>
      </c>
      <c r="B1874" s="1" t="s">
        <v>100</v>
      </c>
      <c r="C1874" t="s">
        <v>151</v>
      </c>
      <c r="D1874">
        <v>20</v>
      </c>
      <c r="E1874" t="s">
        <v>156</v>
      </c>
    </row>
    <row r="1875" spans="1:5" x14ac:dyDescent="0.3">
      <c r="A1875">
        <v>1874</v>
      </c>
      <c r="B1875" s="1" t="s">
        <v>98</v>
      </c>
      <c r="C1875" t="s">
        <v>150</v>
      </c>
      <c r="D1875">
        <v>51</v>
      </c>
      <c r="E1875" t="s">
        <v>156</v>
      </c>
    </row>
    <row r="1876" spans="1:5" x14ac:dyDescent="0.3">
      <c r="A1876">
        <v>1875</v>
      </c>
      <c r="B1876" s="1" t="s">
        <v>99</v>
      </c>
      <c r="C1876" t="s">
        <v>151</v>
      </c>
      <c r="D1876">
        <v>62</v>
      </c>
      <c r="E1876" t="s">
        <v>156</v>
      </c>
    </row>
    <row r="1877" spans="1:5" x14ac:dyDescent="0.3">
      <c r="A1877">
        <v>1876</v>
      </c>
      <c r="B1877" s="1" t="s">
        <v>102</v>
      </c>
      <c r="C1877" t="s">
        <v>150</v>
      </c>
      <c r="D1877">
        <v>27</v>
      </c>
      <c r="E1877" t="s">
        <v>156</v>
      </c>
    </row>
    <row r="1878" spans="1:5" x14ac:dyDescent="0.3">
      <c r="A1878">
        <v>1877</v>
      </c>
      <c r="B1878" s="1" t="s">
        <v>104</v>
      </c>
      <c r="C1878" t="s">
        <v>150</v>
      </c>
      <c r="D1878">
        <v>22</v>
      </c>
      <c r="E1878" t="s">
        <v>156</v>
      </c>
    </row>
    <row r="1879" spans="1:5" x14ac:dyDescent="0.3">
      <c r="A1879">
        <v>1878</v>
      </c>
      <c r="B1879" s="1" t="s">
        <v>104</v>
      </c>
      <c r="C1879" t="s">
        <v>150</v>
      </c>
      <c r="D1879">
        <v>24</v>
      </c>
      <c r="E1879" t="s">
        <v>156</v>
      </c>
    </row>
    <row r="1880" spans="1:5" x14ac:dyDescent="0.3">
      <c r="A1880">
        <v>1879</v>
      </c>
      <c r="B1880" s="1" t="s">
        <v>98</v>
      </c>
      <c r="C1880" t="s">
        <v>150</v>
      </c>
      <c r="D1880">
        <v>76</v>
      </c>
      <c r="E1880" t="s">
        <v>156</v>
      </c>
    </row>
    <row r="1881" spans="1:5" x14ac:dyDescent="0.3">
      <c r="A1881">
        <v>1880</v>
      </c>
      <c r="B1881" s="1" t="s">
        <v>104</v>
      </c>
      <c r="C1881" t="s">
        <v>151</v>
      </c>
      <c r="D1881">
        <v>73</v>
      </c>
      <c r="E1881" t="s">
        <v>156</v>
      </c>
    </row>
    <row r="1882" spans="1:5" x14ac:dyDescent="0.3">
      <c r="A1882">
        <v>1881</v>
      </c>
      <c r="B1882" s="1" t="s">
        <v>99</v>
      </c>
      <c r="C1882" t="s">
        <v>151</v>
      </c>
      <c r="D1882">
        <v>83</v>
      </c>
      <c r="E1882" t="s">
        <v>156</v>
      </c>
    </row>
    <row r="1883" spans="1:5" x14ac:dyDescent="0.3">
      <c r="A1883">
        <v>1882</v>
      </c>
      <c r="B1883" s="1" t="s">
        <v>98</v>
      </c>
      <c r="C1883" t="s">
        <v>150</v>
      </c>
      <c r="D1883">
        <v>18</v>
      </c>
      <c r="E1883" t="s">
        <v>156</v>
      </c>
    </row>
    <row r="1884" spans="1:5" x14ac:dyDescent="0.3">
      <c r="A1884">
        <v>1883</v>
      </c>
      <c r="B1884" s="1" t="s">
        <v>98</v>
      </c>
      <c r="C1884" t="s">
        <v>150</v>
      </c>
      <c r="D1884">
        <v>20</v>
      </c>
      <c r="E1884" t="s">
        <v>156</v>
      </c>
    </row>
    <row r="1885" spans="1:5" x14ac:dyDescent="0.3">
      <c r="A1885">
        <v>1884</v>
      </c>
      <c r="B1885" s="1" t="s">
        <v>98</v>
      </c>
      <c r="C1885" t="s">
        <v>151</v>
      </c>
      <c r="D1885">
        <v>31</v>
      </c>
      <c r="E1885" t="s">
        <v>156</v>
      </c>
    </row>
    <row r="1886" spans="1:5" x14ac:dyDescent="0.3">
      <c r="A1886">
        <v>1885</v>
      </c>
      <c r="B1886" s="1" t="s">
        <v>103</v>
      </c>
      <c r="C1886" t="s">
        <v>151</v>
      </c>
      <c r="D1886">
        <v>27</v>
      </c>
      <c r="E1886" t="s">
        <v>156</v>
      </c>
    </row>
    <row r="1887" spans="1:5" x14ac:dyDescent="0.3">
      <c r="A1887">
        <v>1886</v>
      </c>
      <c r="B1887" s="1" t="s">
        <v>100</v>
      </c>
      <c r="C1887" t="s">
        <v>151</v>
      </c>
      <c r="D1887">
        <v>28</v>
      </c>
      <c r="E1887" t="s">
        <v>156</v>
      </c>
    </row>
    <row r="1888" spans="1:5" x14ac:dyDescent="0.3">
      <c r="A1888">
        <v>1887</v>
      </c>
      <c r="B1888" s="1" t="s">
        <v>104</v>
      </c>
      <c r="C1888" t="s">
        <v>150</v>
      </c>
      <c r="D1888">
        <v>89</v>
      </c>
      <c r="E1888" t="s">
        <v>156</v>
      </c>
    </row>
    <row r="1889" spans="1:5" x14ac:dyDescent="0.3">
      <c r="A1889">
        <v>1888</v>
      </c>
      <c r="B1889" s="1" t="s">
        <v>100</v>
      </c>
      <c r="C1889" t="s">
        <v>150</v>
      </c>
      <c r="D1889">
        <v>71</v>
      </c>
      <c r="E1889" t="s">
        <v>156</v>
      </c>
    </row>
    <row r="1890" spans="1:5" x14ac:dyDescent="0.3">
      <c r="A1890">
        <v>1889</v>
      </c>
      <c r="B1890" s="1" t="s">
        <v>105</v>
      </c>
      <c r="C1890" t="s">
        <v>150</v>
      </c>
      <c r="D1890">
        <v>42</v>
      </c>
      <c r="E1890" t="s">
        <v>156</v>
      </c>
    </row>
    <row r="1891" spans="1:5" x14ac:dyDescent="0.3">
      <c r="A1891">
        <v>1890</v>
      </c>
      <c r="B1891" s="1" t="s">
        <v>98</v>
      </c>
      <c r="C1891" t="s">
        <v>150</v>
      </c>
      <c r="D1891">
        <v>87</v>
      </c>
      <c r="E1891" t="s">
        <v>156</v>
      </c>
    </row>
    <row r="1892" spans="1:5" x14ac:dyDescent="0.3">
      <c r="A1892">
        <v>1891</v>
      </c>
      <c r="B1892" s="1" t="s">
        <v>105</v>
      </c>
      <c r="C1892" t="s">
        <v>150</v>
      </c>
      <c r="D1892">
        <v>54</v>
      </c>
      <c r="E1892" t="s">
        <v>156</v>
      </c>
    </row>
    <row r="1893" spans="1:5" x14ac:dyDescent="0.3">
      <c r="A1893">
        <v>1892</v>
      </c>
      <c r="B1893" s="1" t="s">
        <v>98</v>
      </c>
      <c r="C1893" t="s">
        <v>150</v>
      </c>
      <c r="D1893">
        <v>64</v>
      </c>
      <c r="E1893" t="s">
        <v>156</v>
      </c>
    </row>
    <row r="1894" spans="1:5" x14ac:dyDescent="0.3">
      <c r="A1894">
        <v>1893</v>
      </c>
      <c r="B1894" s="1" t="s">
        <v>100</v>
      </c>
      <c r="C1894" t="s">
        <v>150</v>
      </c>
      <c r="D1894">
        <v>47</v>
      </c>
      <c r="E1894" t="s">
        <v>156</v>
      </c>
    </row>
    <row r="1895" spans="1:5" x14ac:dyDescent="0.3">
      <c r="A1895">
        <v>1894</v>
      </c>
      <c r="B1895" s="1" t="s">
        <v>104</v>
      </c>
      <c r="C1895" t="s">
        <v>150</v>
      </c>
      <c r="D1895">
        <v>69</v>
      </c>
      <c r="E1895" t="s">
        <v>156</v>
      </c>
    </row>
    <row r="1896" spans="1:5" x14ac:dyDescent="0.3">
      <c r="A1896">
        <v>1895</v>
      </c>
      <c r="B1896" s="1" t="s">
        <v>99</v>
      </c>
      <c r="C1896" t="s">
        <v>150</v>
      </c>
      <c r="D1896" s="15">
        <v>60</v>
      </c>
      <c r="E1896" t="s">
        <v>156</v>
      </c>
    </row>
    <row r="1897" spans="1:5" x14ac:dyDescent="0.3">
      <c r="A1897">
        <v>1896</v>
      </c>
      <c r="B1897" s="1" t="s">
        <v>99</v>
      </c>
      <c r="C1897" t="s">
        <v>151</v>
      </c>
      <c r="D1897">
        <v>22</v>
      </c>
      <c r="E1897" t="s">
        <v>156</v>
      </c>
    </row>
    <row r="1898" spans="1:5" x14ac:dyDescent="0.3">
      <c r="A1898">
        <v>1897</v>
      </c>
      <c r="B1898" s="1" t="s">
        <v>98</v>
      </c>
      <c r="C1898" t="s">
        <v>151</v>
      </c>
      <c r="D1898">
        <v>28</v>
      </c>
      <c r="E1898" t="s">
        <v>156</v>
      </c>
    </row>
    <row r="1899" spans="1:5" x14ac:dyDescent="0.3">
      <c r="A1899">
        <v>1898</v>
      </c>
      <c r="B1899" s="1" t="s">
        <v>100</v>
      </c>
      <c r="C1899" t="s">
        <v>150</v>
      </c>
      <c r="D1899">
        <v>74</v>
      </c>
      <c r="E1899" t="s">
        <v>156</v>
      </c>
    </row>
    <row r="1900" spans="1:5" x14ac:dyDescent="0.3">
      <c r="A1900">
        <v>1899</v>
      </c>
      <c r="B1900" s="1" t="s">
        <v>98</v>
      </c>
      <c r="C1900" t="s">
        <v>151</v>
      </c>
      <c r="D1900">
        <v>63</v>
      </c>
      <c r="E1900" t="s">
        <v>156</v>
      </c>
    </row>
    <row r="1901" spans="1:5" x14ac:dyDescent="0.3">
      <c r="A1901">
        <v>1900</v>
      </c>
      <c r="B1901" s="1" t="s">
        <v>105</v>
      </c>
      <c r="C1901" t="s">
        <v>151</v>
      </c>
      <c r="D1901">
        <v>28</v>
      </c>
      <c r="E1901" t="s">
        <v>156</v>
      </c>
    </row>
    <row r="1902" spans="1:5" x14ac:dyDescent="0.3">
      <c r="A1902">
        <v>1901</v>
      </c>
      <c r="B1902" s="1" t="s">
        <v>98</v>
      </c>
      <c r="C1902" t="s">
        <v>151</v>
      </c>
      <c r="D1902">
        <v>34</v>
      </c>
      <c r="E1902" t="s">
        <v>156</v>
      </c>
    </row>
    <row r="1903" spans="1:5" x14ac:dyDescent="0.3">
      <c r="A1903">
        <v>1902</v>
      </c>
      <c r="B1903" s="1" t="s">
        <v>103</v>
      </c>
      <c r="C1903" t="s">
        <v>151</v>
      </c>
      <c r="D1903">
        <v>46</v>
      </c>
      <c r="E1903" t="s">
        <v>156</v>
      </c>
    </row>
    <row r="1904" spans="1:5" x14ac:dyDescent="0.3">
      <c r="A1904">
        <v>1903</v>
      </c>
      <c r="B1904" s="1" t="s">
        <v>100</v>
      </c>
      <c r="C1904" t="s">
        <v>150</v>
      </c>
      <c r="D1904">
        <v>71</v>
      </c>
      <c r="E1904" t="s">
        <v>156</v>
      </c>
    </row>
    <row r="1905" spans="1:5" x14ac:dyDescent="0.3">
      <c r="A1905">
        <v>1904</v>
      </c>
      <c r="B1905" s="1" t="s">
        <v>107</v>
      </c>
      <c r="C1905" t="s">
        <v>150</v>
      </c>
      <c r="D1905">
        <v>70</v>
      </c>
      <c r="E1905" t="s">
        <v>156</v>
      </c>
    </row>
    <row r="1906" spans="1:5" x14ac:dyDescent="0.3">
      <c r="A1906">
        <v>1905</v>
      </c>
      <c r="B1906" s="1" t="s">
        <v>104</v>
      </c>
      <c r="C1906" t="s">
        <v>150</v>
      </c>
      <c r="D1906">
        <v>48</v>
      </c>
      <c r="E1906" t="s">
        <v>156</v>
      </c>
    </row>
    <row r="1907" spans="1:5" x14ac:dyDescent="0.3">
      <c r="A1907">
        <v>1906</v>
      </c>
      <c r="B1907" s="1" t="s">
        <v>109</v>
      </c>
      <c r="C1907" t="s">
        <v>151</v>
      </c>
      <c r="D1907">
        <v>81</v>
      </c>
      <c r="E1907" t="s">
        <v>156</v>
      </c>
    </row>
    <row r="1908" spans="1:5" x14ac:dyDescent="0.3">
      <c r="A1908">
        <v>1907</v>
      </c>
      <c r="B1908" s="1" t="s">
        <v>100</v>
      </c>
      <c r="C1908" t="s">
        <v>151</v>
      </c>
      <c r="D1908">
        <v>83</v>
      </c>
      <c r="E1908" t="s">
        <v>156</v>
      </c>
    </row>
    <row r="1909" spans="1:5" x14ac:dyDescent="0.3">
      <c r="A1909">
        <v>1908</v>
      </c>
      <c r="B1909" s="1" t="s">
        <v>98</v>
      </c>
      <c r="C1909" t="s">
        <v>150</v>
      </c>
      <c r="D1909">
        <v>20</v>
      </c>
      <c r="E1909" t="s">
        <v>156</v>
      </c>
    </row>
    <row r="1910" spans="1:5" x14ac:dyDescent="0.3">
      <c r="A1910">
        <v>1909</v>
      </c>
      <c r="B1910" s="1" t="s">
        <v>107</v>
      </c>
      <c r="C1910" t="s">
        <v>150</v>
      </c>
      <c r="D1910">
        <v>40</v>
      </c>
      <c r="E1910" t="s">
        <v>156</v>
      </c>
    </row>
    <row r="1911" spans="1:5" x14ac:dyDescent="0.3">
      <c r="A1911">
        <v>1910</v>
      </c>
      <c r="B1911" s="1" t="s">
        <v>99</v>
      </c>
      <c r="C1911" t="s">
        <v>150</v>
      </c>
      <c r="D1911">
        <v>51</v>
      </c>
      <c r="E1911" t="s">
        <v>156</v>
      </c>
    </row>
    <row r="1912" spans="1:5" x14ac:dyDescent="0.3">
      <c r="A1912">
        <v>1911</v>
      </c>
      <c r="B1912" s="1" t="s">
        <v>100</v>
      </c>
      <c r="C1912" t="s">
        <v>151</v>
      </c>
      <c r="D1912">
        <v>78</v>
      </c>
      <c r="E1912" t="s">
        <v>156</v>
      </c>
    </row>
    <row r="1913" spans="1:5" x14ac:dyDescent="0.3">
      <c r="A1913">
        <v>1912</v>
      </c>
      <c r="B1913" s="1" t="s">
        <v>100</v>
      </c>
      <c r="C1913" t="s">
        <v>151</v>
      </c>
      <c r="D1913">
        <v>90</v>
      </c>
      <c r="E1913" t="s">
        <v>156</v>
      </c>
    </row>
    <row r="1914" spans="1:5" x14ac:dyDescent="0.3">
      <c r="A1914">
        <v>1913</v>
      </c>
      <c r="B1914" s="1" t="s">
        <v>106</v>
      </c>
      <c r="C1914" t="s">
        <v>151</v>
      </c>
      <c r="D1914">
        <v>51</v>
      </c>
      <c r="E1914" t="s">
        <v>156</v>
      </c>
    </row>
    <row r="1915" spans="1:5" x14ac:dyDescent="0.3">
      <c r="A1915">
        <v>1914</v>
      </c>
      <c r="B1915" s="1" t="s">
        <v>100</v>
      </c>
      <c r="C1915" t="s">
        <v>150</v>
      </c>
      <c r="D1915">
        <v>34</v>
      </c>
      <c r="E1915" t="s">
        <v>156</v>
      </c>
    </row>
    <row r="1916" spans="1:5" x14ac:dyDescent="0.3">
      <c r="A1916">
        <v>1915</v>
      </c>
      <c r="B1916" s="1" t="s">
        <v>98</v>
      </c>
      <c r="C1916" t="s">
        <v>150</v>
      </c>
      <c r="D1916">
        <v>74</v>
      </c>
      <c r="E1916" t="s">
        <v>156</v>
      </c>
    </row>
    <row r="1917" spans="1:5" x14ac:dyDescent="0.3">
      <c r="A1917">
        <v>1916</v>
      </c>
      <c r="B1917" s="1" t="s">
        <v>109</v>
      </c>
      <c r="C1917" t="s">
        <v>150</v>
      </c>
      <c r="D1917">
        <v>34</v>
      </c>
      <c r="E1917" t="s">
        <v>156</v>
      </c>
    </row>
    <row r="1918" spans="1:5" x14ac:dyDescent="0.3">
      <c r="A1918">
        <v>1917</v>
      </c>
      <c r="B1918" s="1" t="s">
        <v>98</v>
      </c>
      <c r="C1918" t="s">
        <v>151</v>
      </c>
      <c r="D1918">
        <v>63</v>
      </c>
      <c r="E1918" t="s">
        <v>156</v>
      </c>
    </row>
    <row r="1919" spans="1:5" x14ac:dyDescent="0.3">
      <c r="A1919">
        <v>1918</v>
      </c>
      <c r="B1919" s="1" t="s">
        <v>99</v>
      </c>
      <c r="C1919" t="s">
        <v>150</v>
      </c>
      <c r="D1919" s="15">
        <v>57</v>
      </c>
      <c r="E1919" t="s">
        <v>156</v>
      </c>
    </row>
    <row r="1920" spans="1:5" x14ac:dyDescent="0.3">
      <c r="A1920">
        <v>1919</v>
      </c>
      <c r="B1920" s="1" t="s">
        <v>99</v>
      </c>
      <c r="C1920" t="s">
        <v>150</v>
      </c>
      <c r="D1920">
        <v>86</v>
      </c>
      <c r="E1920" t="s">
        <v>156</v>
      </c>
    </row>
    <row r="1921" spans="1:5" x14ac:dyDescent="0.3">
      <c r="A1921">
        <v>1920</v>
      </c>
      <c r="B1921" s="1" t="s">
        <v>98</v>
      </c>
      <c r="C1921" t="s">
        <v>150</v>
      </c>
      <c r="D1921">
        <v>43</v>
      </c>
      <c r="E1921" t="s">
        <v>156</v>
      </c>
    </row>
    <row r="1922" spans="1:5" x14ac:dyDescent="0.3">
      <c r="A1922">
        <v>1921</v>
      </c>
      <c r="B1922" s="1" t="s">
        <v>98</v>
      </c>
      <c r="C1922" t="s">
        <v>151</v>
      </c>
      <c r="D1922">
        <v>62</v>
      </c>
      <c r="E1922" t="s">
        <v>156</v>
      </c>
    </row>
    <row r="1923" spans="1:5" x14ac:dyDescent="0.3">
      <c r="A1923">
        <v>1922</v>
      </c>
      <c r="B1923" s="1" t="s">
        <v>104</v>
      </c>
      <c r="C1923" t="s">
        <v>151</v>
      </c>
      <c r="D1923">
        <v>59</v>
      </c>
      <c r="E1923" t="s">
        <v>156</v>
      </c>
    </row>
    <row r="1924" spans="1:5" x14ac:dyDescent="0.3">
      <c r="A1924">
        <v>1923</v>
      </c>
      <c r="B1924" s="1" t="s">
        <v>106</v>
      </c>
      <c r="C1924" t="s">
        <v>150</v>
      </c>
      <c r="D1924">
        <v>29</v>
      </c>
      <c r="E1924" t="s">
        <v>156</v>
      </c>
    </row>
    <row r="1925" spans="1:5" x14ac:dyDescent="0.3">
      <c r="A1925">
        <v>1924</v>
      </c>
      <c r="B1925" s="1" t="s">
        <v>106</v>
      </c>
      <c r="C1925" t="s">
        <v>151</v>
      </c>
      <c r="D1925">
        <v>48</v>
      </c>
      <c r="E1925" t="s">
        <v>156</v>
      </c>
    </row>
    <row r="1926" spans="1:5" x14ac:dyDescent="0.3">
      <c r="A1926">
        <v>1925</v>
      </c>
      <c r="B1926" s="1" t="s">
        <v>98</v>
      </c>
      <c r="C1926" t="s">
        <v>150</v>
      </c>
      <c r="D1926">
        <v>65</v>
      </c>
      <c r="E1926" t="s">
        <v>156</v>
      </c>
    </row>
    <row r="1927" spans="1:5" x14ac:dyDescent="0.3">
      <c r="A1927">
        <v>1926</v>
      </c>
      <c r="B1927" s="1" t="s">
        <v>104</v>
      </c>
      <c r="C1927" t="s">
        <v>151</v>
      </c>
      <c r="D1927">
        <v>24</v>
      </c>
      <c r="E1927" t="s">
        <v>156</v>
      </c>
    </row>
    <row r="1928" spans="1:5" x14ac:dyDescent="0.3">
      <c r="A1928">
        <v>1927</v>
      </c>
      <c r="B1928" s="1" t="s">
        <v>104</v>
      </c>
      <c r="C1928" t="s">
        <v>151</v>
      </c>
      <c r="D1928">
        <v>52</v>
      </c>
      <c r="E1928" t="s">
        <v>156</v>
      </c>
    </row>
    <row r="1929" spans="1:5" x14ac:dyDescent="0.3">
      <c r="A1929">
        <v>1928</v>
      </c>
      <c r="B1929" s="1" t="s">
        <v>100</v>
      </c>
      <c r="C1929" t="s">
        <v>150</v>
      </c>
      <c r="D1929">
        <v>62</v>
      </c>
      <c r="E1929" t="s">
        <v>156</v>
      </c>
    </row>
    <row r="1930" spans="1:5" x14ac:dyDescent="0.3">
      <c r="A1930">
        <v>1929</v>
      </c>
      <c r="B1930" s="1" t="s">
        <v>99</v>
      </c>
      <c r="C1930" t="s">
        <v>151</v>
      </c>
      <c r="D1930">
        <v>69</v>
      </c>
      <c r="E1930" t="s">
        <v>156</v>
      </c>
    </row>
    <row r="1931" spans="1:5" x14ac:dyDescent="0.3">
      <c r="A1931">
        <v>1930</v>
      </c>
      <c r="B1931" s="1" t="s">
        <v>98</v>
      </c>
      <c r="C1931" t="s">
        <v>151</v>
      </c>
      <c r="D1931">
        <v>40</v>
      </c>
      <c r="E1931" t="s">
        <v>156</v>
      </c>
    </row>
    <row r="1932" spans="1:5" x14ac:dyDescent="0.3">
      <c r="A1932">
        <v>1931</v>
      </c>
      <c r="B1932" s="1" t="s">
        <v>98</v>
      </c>
      <c r="C1932" t="s">
        <v>151</v>
      </c>
      <c r="D1932">
        <v>76</v>
      </c>
      <c r="E1932" t="s">
        <v>156</v>
      </c>
    </row>
    <row r="1933" spans="1:5" x14ac:dyDescent="0.3">
      <c r="A1933">
        <v>1932</v>
      </c>
      <c r="B1933" s="1" t="s">
        <v>102</v>
      </c>
      <c r="C1933" t="s">
        <v>151</v>
      </c>
      <c r="D1933">
        <v>72</v>
      </c>
      <c r="E1933" t="s">
        <v>156</v>
      </c>
    </row>
    <row r="1934" spans="1:5" x14ac:dyDescent="0.3">
      <c r="A1934">
        <v>1933</v>
      </c>
      <c r="B1934" s="1" t="s">
        <v>104</v>
      </c>
      <c r="C1934" t="s">
        <v>150</v>
      </c>
      <c r="D1934">
        <v>62</v>
      </c>
      <c r="E1934" t="s">
        <v>156</v>
      </c>
    </row>
    <row r="1935" spans="1:5" x14ac:dyDescent="0.3">
      <c r="A1935">
        <v>1934</v>
      </c>
      <c r="B1935" s="1" t="s">
        <v>104</v>
      </c>
      <c r="C1935" t="s">
        <v>150</v>
      </c>
      <c r="D1935">
        <v>25</v>
      </c>
      <c r="E1935" t="s">
        <v>156</v>
      </c>
    </row>
    <row r="1936" spans="1:5" x14ac:dyDescent="0.3">
      <c r="A1936">
        <v>1935</v>
      </c>
      <c r="B1936" s="1" t="s">
        <v>104</v>
      </c>
      <c r="C1936" t="s">
        <v>151</v>
      </c>
      <c r="D1936">
        <v>77</v>
      </c>
      <c r="E1936" t="s">
        <v>156</v>
      </c>
    </row>
    <row r="1937" spans="1:5" x14ac:dyDescent="0.3">
      <c r="A1937">
        <v>1936</v>
      </c>
      <c r="B1937" s="1" t="s">
        <v>100</v>
      </c>
      <c r="C1937" t="s">
        <v>151</v>
      </c>
      <c r="D1937">
        <v>78</v>
      </c>
      <c r="E1937" t="s">
        <v>156</v>
      </c>
    </row>
    <row r="1938" spans="1:5" x14ac:dyDescent="0.3">
      <c r="A1938">
        <v>1937</v>
      </c>
      <c r="B1938" s="1" t="s">
        <v>103</v>
      </c>
      <c r="C1938" t="s">
        <v>151</v>
      </c>
      <c r="D1938">
        <v>27</v>
      </c>
      <c r="E1938" t="s">
        <v>156</v>
      </c>
    </row>
    <row r="1939" spans="1:5" x14ac:dyDescent="0.3">
      <c r="A1939">
        <v>1938</v>
      </c>
      <c r="B1939" s="1" t="s">
        <v>98</v>
      </c>
      <c r="C1939" t="s">
        <v>150</v>
      </c>
      <c r="D1939">
        <v>70</v>
      </c>
      <c r="E1939" t="s">
        <v>156</v>
      </c>
    </row>
    <row r="1940" spans="1:5" x14ac:dyDescent="0.3">
      <c r="A1940">
        <v>1939</v>
      </c>
      <c r="B1940" s="1" t="s">
        <v>98</v>
      </c>
      <c r="C1940" t="s">
        <v>150</v>
      </c>
      <c r="D1940">
        <v>44</v>
      </c>
      <c r="E1940" t="s">
        <v>156</v>
      </c>
    </row>
    <row r="1941" spans="1:5" x14ac:dyDescent="0.3">
      <c r="A1941">
        <v>1940</v>
      </c>
      <c r="B1941" s="1" t="s">
        <v>104</v>
      </c>
      <c r="C1941" t="s">
        <v>150</v>
      </c>
      <c r="D1941">
        <v>46</v>
      </c>
      <c r="E1941" t="s">
        <v>156</v>
      </c>
    </row>
    <row r="1942" spans="1:5" x14ac:dyDescent="0.3">
      <c r="A1942">
        <v>1941</v>
      </c>
      <c r="B1942" s="1" t="s">
        <v>104</v>
      </c>
      <c r="C1942" t="s">
        <v>151</v>
      </c>
      <c r="D1942">
        <v>86</v>
      </c>
      <c r="E1942" t="s">
        <v>156</v>
      </c>
    </row>
    <row r="1943" spans="1:5" x14ac:dyDescent="0.3">
      <c r="A1943">
        <v>1942</v>
      </c>
      <c r="B1943" s="1" t="s">
        <v>98</v>
      </c>
      <c r="C1943" t="s">
        <v>151</v>
      </c>
      <c r="D1943">
        <v>30</v>
      </c>
      <c r="E1943" t="s">
        <v>156</v>
      </c>
    </row>
    <row r="1944" spans="1:5" x14ac:dyDescent="0.3">
      <c r="A1944">
        <v>1943</v>
      </c>
      <c r="B1944" s="1" t="s">
        <v>98</v>
      </c>
      <c r="C1944" t="s">
        <v>151</v>
      </c>
      <c r="D1944">
        <v>72</v>
      </c>
      <c r="E1944" t="s">
        <v>156</v>
      </c>
    </row>
    <row r="1945" spans="1:5" x14ac:dyDescent="0.3">
      <c r="A1945">
        <v>1944</v>
      </c>
      <c r="B1945" s="1" t="s">
        <v>104</v>
      </c>
      <c r="C1945" t="s">
        <v>150</v>
      </c>
      <c r="D1945">
        <v>82</v>
      </c>
      <c r="E1945" t="s">
        <v>156</v>
      </c>
    </row>
    <row r="1946" spans="1:5" x14ac:dyDescent="0.3">
      <c r="A1946">
        <v>1945</v>
      </c>
      <c r="B1946" s="1" t="s">
        <v>98</v>
      </c>
      <c r="C1946" t="s">
        <v>150</v>
      </c>
      <c r="D1946">
        <v>62</v>
      </c>
      <c r="E1946" t="s">
        <v>156</v>
      </c>
    </row>
    <row r="1947" spans="1:5" x14ac:dyDescent="0.3">
      <c r="A1947">
        <v>1946</v>
      </c>
      <c r="B1947" s="1" t="s">
        <v>98</v>
      </c>
      <c r="C1947" t="s">
        <v>150</v>
      </c>
      <c r="D1947">
        <v>75</v>
      </c>
      <c r="E1947" t="s">
        <v>156</v>
      </c>
    </row>
    <row r="1948" spans="1:5" x14ac:dyDescent="0.3">
      <c r="A1948">
        <v>1947</v>
      </c>
      <c r="B1948" s="1" t="s">
        <v>104</v>
      </c>
      <c r="C1948" t="s">
        <v>151</v>
      </c>
      <c r="D1948">
        <v>33</v>
      </c>
      <c r="E1948" t="s">
        <v>156</v>
      </c>
    </row>
    <row r="1949" spans="1:5" x14ac:dyDescent="0.3">
      <c r="A1949">
        <v>1948</v>
      </c>
      <c r="B1949" s="1" t="s">
        <v>98</v>
      </c>
      <c r="C1949" t="s">
        <v>151</v>
      </c>
      <c r="D1949">
        <v>79</v>
      </c>
      <c r="E1949" t="s">
        <v>156</v>
      </c>
    </row>
    <row r="1950" spans="1:5" x14ac:dyDescent="0.3">
      <c r="A1950">
        <v>1949</v>
      </c>
      <c r="B1950" s="1" t="s">
        <v>103</v>
      </c>
      <c r="C1950" t="s">
        <v>150</v>
      </c>
      <c r="D1950">
        <v>57</v>
      </c>
      <c r="E1950" t="s">
        <v>156</v>
      </c>
    </row>
    <row r="1951" spans="1:5" x14ac:dyDescent="0.3">
      <c r="A1951">
        <v>1950</v>
      </c>
      <c r="B1951" s="1" t="s">
        <v>105</v>
      </c>
      <c r="C1951" t="s">
        <v>151</v>
      </c>
      <c r="D1951">
        <v>87</v>
      </c>
      <c r="E1951" t="s">
        <v>156</v>
      </c>
    </row>
    <row r="1952" spans="1:5" x14ac:dyDescent="0.3">
      <c r="A1952">
        <v>1951</v>
      </c>
      <c r="B1952" s="1" t="s">
        <v>107</v>
      </c>
      <c r="C1952" t="s">
        <v>150</v>
      </c>
      <c r="D1952">
        <v>28</v>
      </c>
      <c r="E1952" t="s">
        <v>156</v>
      </c>
    </row>
    <row r="1953" spans="1:5" x14ac:dyDescent="0.3">
      <c r="A1953">
        <v>1952</v>
      </c>
      <c r="B1953" s="1" t="s">
        <v>98</v>
      </c>
      <c r="C1953" t="s">
        <v>150</v>
      </c>
      <c r="D1953">
        <v>49</v>
      </c>
      <c r="E1953" t="s">
        <v>156</v>
      </c>
    </row>
    <row r="1954" spans="1:5" x14ac:dyDescent="0.3">
      <c r="A1954">
        <v>1953</v>
      </c>
      <c r="B1954" s="1" t="s">
        <v>98</v>
      </c>
      <c r="C1954" t="s">
        <v>150</v>
      </c>
      <c r="D1954">
        <v>19</v>
      </c>
      <c r="E1954" t="s">
        <v>156</v>
      </c>
    </row>
    <row r="1955" spans="1:5" x14ac:dyDescent="0.3">
      <c r="A1955">
        <v>1954</v>
      </c>
      <c r="B1955" s="1" t="s">
        <v>101</v>
      </c>
      <c r="C1955" t="s">
        <v>151</v>
      </c>
      <c r="D1955">
        <v>55</v>
      </c>
      <c r="E1955" t="s">
        <v>156</v>
      </c>
    </row>
    <row r="1956" spans="1:5" x14ac:dyDescent="0.3">
      <c r="A1956">
        <v>1955</v>
      </c>
      <c r="B1956" s="1" t="s">
        <v>104</v>
      </c>
      <c r="C1956" t="s">
        <v>151</v>
      </c>
      <c r="D1956">
        <v>68</v>
      </c>
      <c r="E1956" t="s">
        <v>156</v>
      </c>
    </row>
    <row r="1957" spans="1:5" x14ac:dyDescent="0.3">
      <c r="A1957">
        <v>1956</v>
      </c>
      <c r="B1957" s="1" t="s">
        <v>103</v>
      </c>
      <c r="C1957" t="s">
        <v>150</v>
      </c>
      <c r="D1957">
        <v>41</v>
      </c>
      <c r="E1957" t="s">
        <v>156</v>
      </c>
    </row>
    <row r="1958" spans="1:5" x14ac:dyDescent="0.3">
      <c r="A1958">
        <v>1957</v>
      </c>
      <c r="B1958" s="1" t="s">
        <v>98</v>
      </c>
      <c r="C1958" t="s">
        <v>151</v>
      </c>
      <c r="D1958">
        <v>42</v>
      </c>
      <c r="E1958" t="s">
        <v>156</v>
      </c>
    </row>
    <row r="1959" spans="1:5" x14ac:dyDescent="0.3">
      <c r="A1959">
        <v>1958</v>
      </c>
      <c r="B1959" s="1" t="s">
        <v>110</v>
      </c>
      <c r="C1959" t="s">
        <v>151</v>
      </c>
      <c r="D1959">
        <v>23</v>
      </c>
      <c r="E1959" t="s">
        <v>156</v>
      </c>
    </row>
    <row r="1960" spans="1:5" x14ac:dyDescent="0.3">
      <c r="A1960">
        <v>1959</v>
      </c>
      <c r="B1960" s="1" t="s">
        <v>108</v>
      </c>
      <c r="C1960" t="s">
        <v>150</v>
      </c>
      <c r="D1960">
        <v>28</v>
      </c>
      <c r="E1960" t="s">
        <v>156</v>
      </c>
    </row>
    <row r="1961" spans="1:5" x14ac:dyDescent="0.3">
      <c r="A1961">
        <v>1960</v>
      </c>
      <c r="B1961" s="1" t="s">
        <v>110</v>
      </c>
      <c r="C1961" t="s">
        <v>151</v>
      </c>
      <c r="D1961">
        <v>33</v>
      </c>
      <c r="E1961" t="s">
        <v>156</v>
      </c>
    </row>
    <row r="1962" spans="1:5" x14ac:dyDescent="0.3">
      <c r="A1962">
        <v>1961</v>
      </c>
      <c r="B1962" s="1" t="s">
        <v>108</v>
      </c>
      <c r="C1962" t="s">
        <v>150</v>
      </c>
      <c r="D1962">
        <v>87</v>
      </c>
      <c r="E1962" t="s">
        <v>156</v>
      </c>
    </row>
    <row r="1963" spans="1:5" x14ac:dyDescent="0.3">
      <c r="A1963">
        <v>1962</v>
      </c>
      <c r="B1963" s="1" t="s">
        <v>98</v>
      </c>
      <c r="C1963" t="s">
        <v>150</v>
      </c>
      <c r="D1963">
        <v>23</v>
      </c>
      <c r="E1963" t="s">
        <v>156</v>
      </c>
    </row>
    <row r="1964" spans="1:5" x14ac:dyDescent="0.3">
      <c r="A1964">
        <v>1963</v>
      </c>
      <c r="B1964" s="1" t="s">
        <v>100</v>
      </c>
      <c r="C1964" t="s">
        <v>151</v>
      </c>
      <c r="D1964">
        <v>25</v>
      </c>
      <c r="E1964" t="s">
        <v>156</v>
      </c>
    </row>
    <row r="1965" spans="1:5" x14ac:dyDescent="0.3">
      <c r="A1965">
        <v>1964</v>
      </c>
      <c r="B1965" s="1" t="s">
        <v>104</v>
      </c>
      <c r="C1965" t="s">
        <v>151</v>
      </c>
      <c r="D1965">
        <v>32</v>
      </c>
      <c r="E1965" t="s">
        <v>156</v>
      </c>
    </row>
    <row r="1966" spans="1:5" x14ac:dyDescent="0.3">
      <c r="A1966">
        <v>1965</v>
      </c>
      <c r="B1966" s="1" t="s">
        <v>99</v>
      </c>
      <c r="C1966" t="s">
        <v>150</v>
      </c>
      <c r="D1966">
        <v>84</v>
      </c>
      <c r="E1966" t="s">
        <v>156</v>
      </c>
    </row>
    <row r="1967" spans="1:5" x14ac:dyDescent="0.3">
      <c r="A1967">
        <v>1966</v>
      </c>
      <c r="B1967" s="1" t="s">
        <v>106</v>
      </c>
      <c r="C1967" t="s">
        <v>150</v>
      </c>
      <c r="D1967">
        <v>82</v>
      </c>
      <c r="E1967" t="s">
        <v>156</v>
      </c>
    </row>
    <row r="1968" spans="1:5" x14ac:dyDescent="0.3">
      <c r="A1968">
        <v>1967</v>
      </c>
      <c r="B1968" s="1" t="s">
        <v>104</v>
      </c>
      <c r="C1968" t="s">
        <v>150</v>
      </c>
      <c r="D1968">
        <v>89</v>
      </c>
      <c r="E1968" t="s">
        <v>156</v>
      </c>
    </row>
    <row r="1969" spans="1:5" x14ac:dyDescent="0.3">
      <c r="A1969">
        <v>1968</v>
      </c>
      <c r="B1969" s="1" t="s">
        <v>98</v>
      </c>
      <c r="C1969" t="s">
        <v>151</v>
      </c>
      <c r="D1969">
        <v>20</v>
      </c>
      <c r="E1969" t="s">
        <v>156</v>
      </c>
    </row>
    <row r="1970" spans="1:5" x14ac:dyDescent="0.3">
      <c r="A1970">
        <v>1969</v>
      </c>
      <c r="B1970" s="1" t="s">
        <v>104</v>
      </c>
      <c r="C1970" t="s">
        <v>150</v>
      </c>
      <c r="D1970">
        <v>41</v>
      </c>
      <c r="E1970" t="s">
        <v>156</v>
      </c>
    </row>
    <row r="1971" spans="1:5" x14ac:dyDescent="0.3">
      <c r="A1971">
        <v>1970</v>
      </c>
      <c r="B1971" s="1" t="s">
        <v>99</v>
      </c>
      <c r="C1971" t="s">
        <v>150</v>
      </c>
      <c r="D1971">
        <v>79</v>
      </c>
      <c r="E1971" t="s">
        <v>156</v>
      </c>
    </row>
    <row r="1972" spans="1:5" x14ac:dyDescent="0.3">
      <c r="A1972">
        <v>1971</v>
      </c>
      <c r="B1972" s="1" t="s">
        <v>104</v>
      </c>
      <c r="C1972" t="s">
        <v>151</v>
      </c>
      <c r="D1972">
        <v>44</v>
      </c>
      <c r="E1972" t="s">
        <v>156</v>
      </c>
    </row>
    <row r="1973" spans="1:5" x14ac:dyDescent="0.3">
      <c r="A1973">
        <v>1972</v>
      </c>
      <c r="B1973" s="1" t="s">
        <v>98</v>
      </c>
      <c r="C1973" t="s">
        <v>150</v>
      </c>
      <c r="D1973">
        <v>37</v>
      </c>
      <c r="E1973" t="s">
        <v>156</v>
      </c>
    </row>
    <row r="1974" spans="1:5" x14ac:dyDescent="0.3">
      <c r="A1974">
        <v>1973</v>
      </c>
      <c r="B1974" s="1" t="s">
        <v>98</v>
      </c>
      <c r="C1974" t="s">
        <v>150</v>
      </c>
      <c r="D1974">
        <v>64</v>
      </c>
      <c r="E1974" t="s">
        <v>156</v>
      </c>
    </row>
    <row r="1975" spans="1:5" x14ac:dyDescent="0.3">
      <c r="A1975">
        <v>1974</v>
      </c>
      <c r="B1975" s="1" t="s">
        <v>98</v>
      </c>
      <c r="C1975" t="s">
        <v>151</v>
      </c>
      <c r="D1975">
        <v>74</v>
      </c>
      <c r="E1975" t="s">
        <v>156</v>
      </c>
    </row>
    <row r="1976" spans="1:5" x14ac:dyDescent="0.3">
      <c r="A1976">
        <v>1975</v>
      </c>
      <c r="B1976" s="1" t="s">
        <v>98</v>
      </c>
      <c r="C1976" t="s">
        <v>150</v>
      </c>
      <c r="D1976">
        <v>40</v>
      </c>
      <c r="E1976" t="s">
        <v>156</v>
      </c>
    </row>
    <row r="1977" spans="1:5" x14ac:dyDescent="0.3">
      <c r="A1977">
        <v>1976</v>
      </c>
      <c r="B1977" s="1" t="s">
        <v>104</v>
      </c>
      <c r="C1977" t="s">
        <v>151</v>
      </c>
      <c r="D1977">
        <v>73</v>
      </c>
      <c r="E1977" t="s">
        <v>156</v>
      </c>
    </row>
    <row r="1978" spans="1:5" x14ac:dyDescent="0.3">
      <c r="A1978">
        <v>1977</v>
      </c>
      <c r="B1978" s="1" t="s">
        <v>98</v>
      </c>
      <c r="C1978" t="s">
        <v>151</v>
      </c>
      <c r="D1978">
        <v>79</v>
      </c>
      <c r="E1978" t="s">
        <v>156</v>
      </c>
    </row>
    <row r="1979" spans="1:5" x14ac:dyDescent="0.3">
      <c r="A1979">
        <v>1978</v>
      </c>
      <c r="B1979" s="1" t="s">
        <v>104</v>
      </c>
      <c r="C1979" t="s">
        <v>151</v>
      </c>
      <c r="D1979">
        <v>23</v>
      </c>
      <c r="E1979" t="s">
        <v>156</v>
      </c>
    </row>
    <row r="1980" spans="1:5" x14ac:dyDescent="0.3">
      <c r="A1980">
        <v>1979</v>
      </c>
      <c r="B1980" s="1" t="s">
        <v>101</v>
      </c>
      <c r="C1980" t="s">
        <v>151</v>
      </c>
      <c r="D1980">
        <v>21</v>
      </c>
      <c r="E1980" t="s">
        <v>156</v>
      </c>
    </row>
    <row r="1981" spans="1:5" x14ac:dyDescent="0.3">
      <c r="A1981">
        <v>1980</v>
      </c>
      <c r="B1981" s="1" t="s">
        <v>109</v>
      </c>
      <c r="C1981" t="s">
        <v>150</v>
      </c>
      <c r="D1981">
        <v>57</v>
      </c>
      <c r="E1981" t="s">
        <v>156</v>
      </c>
    </row>
    <row r="1982" spans="1:5" x14ac:dyDescent="0.3">
      <c r="A1982">
        <v>1981</v>
      </c>
      <c r="B1982" s="1" t="s">
        <v>98</v>
      </c>
      <c r="C1982" t="s">
        <v>150</v>
      </c>
      <c r="D1982">
        <v>26</v>
      </c>
      <c r="E1982" t="s">
        <v>156</v>
      </c>
    </row>
    <row r="1983" spans="1:5" x14ac:dyDescent="0.3">
      <c r="A1983">
        <v>1982</v>
      </c>
      <c r="B1983" s="1" t="s">
        <v>106</v>
      </c>
      <c r="C1983" t="s">
        <v>151</v>
      </c>
      <c r="D1983">
        <v>74</v>
      </c>
      <c r="E1983" t="s">
        <v>156</v>
      </c>
    </row>
    <row r="1984" spans="1:5" x14ac:dyDescent="0.3">
      <c r="A1984">
        <v>1983</v>
      </c>
      <c r="B1984" s="1" t="s">
        <v>104</v>
      </c>
      <c r="C1984" t="s">
        <v>151</v>
      </c>
      <c r="D1984">
        <v>35</v>
      </c>
      <c r="E1984" t="s">
        <v>156</v>
      </c>
    </row>
    <row r="1985" spans="1:5" x14ac:dyDescent="0.3">
      <c r="A1985">
        <v>1984</v>
      </c>
      <c r="B1985" s="1" t="s">
        <v>100</v>
      </c>
      <c r="C1985" t="s">
        <v>150</v>
      </c>
      <c r="D1985">
        <v>45</v>
      </c>
      <c r="E1985" t="s">
        <v>156</v>
      </c>
    </row>
    <row r="1986" spans="1:5" x14ac:dyDescent="0.3">
      <c r="A1986">
        <v>1985</v>
      </c>
      <c r="B1986" s="1" t="s">
        <v>99</v>
      </c>
      <c r="C1986" t="s">
        <v>150</v>
      </c>
      <c r="D1986">
        <v>49</v>
      </c>
      <c r="E1986" t="s">
        <v>156</v>
      </c>
    </row>
    <row r="1987" spans="1:5" x14ac:dyDescent="0.3">
      <c r="A1987">
        <v>1986</v>
      </c>
      <c r="B1987" s="1" t="s">
        <v>99</v>
      </c>
      <c r="C1987" t="s">
        <v>150</v>
      </c>
      <c r="D1987">
        <v>21</v>
      </c>
      <c r="E1987" t="s">
        <v>156</v>
      </c>
    </row>
    <row r="1988" spans="1:5" x14ac:dyDescent="0.3">
      <c r="A1988">
        <v>1987</v>
      </c>
      <c r="B1988" s="1" t="s">
        <v>99</v>
      </c>
      <c r="C1988" t="s">
        <v>150</v>
      </c>
      <c r="D1988">
        <v>48</v>
      </c>
      <c r="E1988" t="s">
        <v>156</v>
      </c>
    </row>
    <row r="1989" spans="1:5" x14ac:dyDescent="0.3">
      <c r="A1989">
        <v>1988</v>
      </c>
      <c r="B1989" s="1" t="s">
        <v>98</v>
      </c>
      <c r="C1989" t="s">
        <v>150</v>
      </c>
      <c r="D1989">
        <v>66</v>
      </c>
      <c r="E1989" t="s">
        <v>156</v>
      </c>
    </row>
    <row r="1990" spans="1:5" x14ac:dyDescent="0.3">
      <c r="A1990">
        <v>1989</v>
      </c>
      <c r="B1990" s="1" t="s">
        <v>98</v>
      </c>
      <c r="C1990" t="s">
        <v>150</v>
      </c>
      <c r="D1990">
        <v>89</v>
      </c>
      <c r="E1990" t="s">
        <v>156</v>
      </c>
    </row>
    <row r="1991" spans="1:5" x14ac:dyDescent="0.3">
      <c r="A1991">
        <v>1990</v>
      </c>
      <c r="B1991" s="1" t="s">
        <v>98</v>
      </c>
      <c r="C1991" t="s">
        <v>151</v>
      </c>
      <c r="D1991">
        <v>89</v>
      </c>
      <c r="E1991" t="s">
        <v>156</v>
      </c>
    </row>
    <row r="1992" spans="1:5" x14ac:dyDescent="0.3">
      <c r="A1992">
        <v>1991</v>
      </c>
      <c r="B1992" s="1" t="s">
        <v>98</v>
      </c>
      <c r="C1992" t="s">
        <v>151</v>
      </c>
      <c r="D1992">
        <v>49</v>
      </c>
      <c r="E1992" t="s">
        <v>156</v>
      </c>
    </row>
    <row r="1993" spans="1:5" x14ac:dyDescent="0.3">
      <c r="A1993">
        <v>1992</v>
      </c>
      <c r="B1993" s="1" t="s">
        <v>107</v>
      </c>
      <c r="C1993" t="s">
        <v>151</v>
      </c>
      <c r="D1993">
        <v>66</v>
      </c>
      <c r="E1993" t="s">
        <v>156</v>
      </c>
    </row>
    <row r="1994" spans="1:5" x14ac:dyDescent="0.3">
      <c r="A1994">
        <v>1993</v>
      </c>
      <c r="B1994" s="1" t="s">
        <v>98</v>
      </c>
      <c r="C1994" t="s">
        <v>150</v>
      </c>
      <c r="D1994">
        <v>61</v>
      </c>
      <c r="E1994" t="s">
        <v>156</v>
      </c>
    </row>
    <row r="1995" spans="1:5" x14ac:dyDescent="0.3">
      <c r="A1995">
        <v>1994</v>
      </c>
      <c r="B1995" s="1" t="s">
        <v>105</v>
      </c>
      <c r="C1995" t="s">
        <v>150</v>
      </c>
      <c r="D1995">
        <v>43</v>
      </c>
      <c r="E1995" t="s">
        <v>156</v>
      </c>
    </row>
    <row r="1996" spans="1:5" x14ac:dyDescent="0.3">
      <c r="A1996">
        <v>1995</v>
      </c>
      <c r="B1996" s="1" t="s">
        <v>98</v>
      </c>
      <c r="C1996" t="s">
        <v>150</v>
      </c>
      <c r="D1996">
        <v>45</v>
      </c>
      <c r="E1996" t="s">
        <v>156</v>
      </c>
    </row>
    <row r="1997" spans="1:5" x14ac:dyDescent="0.3">
      <c r="A1997">
        <v>1996</v>
      </c>
      <c r="B1997" s="1" t="s">
        <v>98</v>
      </c>
      <c r="C1997" t="s">
        <v>150</v>
      </c>
      <c r="D1997">
        <v>83</v>
      </c>
      <c r="E1997" t="s">
        <v>156</v>
      </c>
    </row>
    <row r="1998" spans="1:5" x14ac:dyDescent="0.3">
      <c r="A1998">
        <v>1997</v>
      </c>
      <c r="B1998" s="1" t="s">
        <v>104</v>
      </c>
      <c r="C1998" t="s">
        <v>151</v>
      </c>
      <c r="D1998">
        <v>79</v>
      </c>
      <c r="E1998" t="s">
        <v>156</v>
      </c>
    </row>
    <row r="1999" spans="1:5" x14ac:dyDescent="0.3">
      <c r="A1999">
        <v>1998</v>
      </c>
      <c r="B1999" s="1" t="s">
        <v>100</v>
      </c>
      <c r="C1999" t="s">
        <v>150</v>
      </c>
      <c r="D1999">
        <v>82</v>
      </c>
      <c r="E1999" t="s">
        <v>156</v>
      </c>
    </row>
    <row r="2000" spans="1:5" x14ac:dyDescent="0.3">
      <c r="A2000">
        <v>1999</v>
      </c>
      <c r="B2000" s="1" t="s">
        <v>106</v>
      </c>
      <c r="C2000" t="s">
        <v>150</v>
      </c>
      <c r="D2000">
        <v>72</v>
      </c>
      <c r="E2000" t="s">
        <v>156</v>
      </c>
    </row>
    <row r="2001" spans="1:5" x14ac:dyDescent="0.3">
      <c r="A2001">
        <v>2000</v>
      </c>
      <c r="B2001" s="1" t="s">
        <v>98</v>
      </c>
      <c r="C2001" t="s">
        <v>151</v>
      </c>
      <c r="D2001">
        <v>39</v>
      </c>
      <c r="E2001" t="s">
        <v>156</v>
      </c>
    </row>
    <row r="2002" spans="1:5" x14ac:dyDescent="0.3">
      <c r="A2002">
        <v>2001</v>
      </c>
      <c r="B2002" s="1" t="s">
        <v>104</v>
      </c>
      <c r="C2002" t="s">
        <v>151</v>
      </c>
      <c r="D2002">
        <v>59</v>
      </c>
      <c r="E2002" t="s">
        <v>157</v>
      </c>
    </row>
    <row r="2003" spans="1:5" x14ac:dyDescent="0.3">
      <c r="A2003">
        <v>2002</v>
      </c>
      <c r="B2003" s="1" t="s">
        <v>98</v>
      </c>
      <c r="C2003" t="s">
        <v>151</v>
      </c>
      <c r="D2003">
        <v>53</v>
      </c>
      <c r="E2003" t="s">
        <v>157</v>
      </c>
    </row>
    <row r="2004" spans="1:5" x14ac:dyDescent="0.3">
      <c r="A2004">
        <v>2003</v>
      </c>
      <c r="B2004" s="1" t="s">
        <v>98</v>
      </c>
      <c r="C2004" t="s">
        <v>150</v>
      </c>
      <c r="D2004">
        <v>23</v>
      </c>
      <c r="E2004" t="s">
        <v>157</v>
      </c>
    </row>
    <row r="2005" spans="1:5" x14ac:dyDescent="0.3">
      <c r="A2005">
        <v>2004</v>
      </c>
      <c r="B2005" s="1" t="s">
        <v>98</v>
      </c>
      <c r="C2005" t="s">
        <v>151</v>
      </c>
      <c r="D2005">
        <v>40</v>
      </c>
      <c r="E2005" t="s">
        <v>157</v>
      </c>
    </row>
    <row r="2006" spans="1:5" x14ac:dyDescent="0.3">
      <c r="A2006">
        <v>2005</v>
      </c>
      <c r="B2006" s="1" t="s">
        <v>104</v>
      </c>
      <c r="C2006" t="s">
        <v>150</v>
      </c>
      <c r="D2006">
        <v>38</v>
      </c>
      <c r="E2006" t="s">
        <v>157</v>
      </c>
    </row>
    <row r="2007" spans="1:5" x14ac:dyDescent="0.3">
      <c r="A2007">
        <v>2006</v>
      </c>
      <c r="B2007" s="1" t="s">
        <v>98</v>
      </c>
      <c r="C2007" t="s">
        <v>150</v>
      </c>
      <c r="D2007">
        <v>21</v>
      </c>
      <c r="E2007" t="s">
        <v>157</v>
      </c>
    </row>
    <row r="2008" spans="1:5" x14ac:dyDescent="0.3">
      <c r="A2008">
        <v>2007</v>
      </c>
      <c r="B2008" s="1" t="s">
        <v>106</v>
      </c>
      <c r="C2008" t="s">
        <v>150</v>
      </c>
      <c r="D2008">
        <v>58</v>
      </c>
      <c r="E2008" t="s">
        <v>157</v>
      </c>
    </row>
    <row r="2009" spans="1:5" x14ac:dyDescent="0.3">
      <c r="A2009">
        <v>2008</v>
      </c>
      <c r="B2009" s="1" t="s">
        <v>100</v>
      </c>
      <c r="C2009" t="s">
        <v>150</v>
      </c>
      <c r="D2009">
        <v>67</v>
      </c>
      <c r="E2009" t="s">
        <v>157</v>
      </c>
    </row>
    <row r="2010" spans="1:5" x14ac:dyDescent="0.3">
      <c r="A2010">
        <v>2009</v>
      </c>
      <c r="B2010" s="1" t="s">
        <v>98</v>
      </c>
      <c r="C2010" t="s">
        <v>151</v>
      </c>
      <c r="D2010">
        <v>42</v>
      </c>
      <c r="E2010" t="s">
        <v>157</v>
      </c>
    </row>
    <row r="2011" spans="1:5" x14ac:dyDescent="0.3">
      <c r="A2011">
        <v>2010</v>
      </c>
      <c r="B2011" s="1" t="s">
        <v>99</v>
      </c>
      <c r="C2011" t="s">
        <v>150</v>
      </c>
      <c r="D2011">
        <v>50</v>
      </c>
      <c r="E2011" t="s">
        <v>157</v>
      </c>
    </row>
    <row r="2012" spans="1:5" x14ac:dyDescent="0.3">
      <c r="A2012">
        <v>2011</v>
      </c>
      <c r="B2012" s="1" t="s">
        <v>98</v>
      </c>
      <c r="C2012" t="s">
        <v>150</v>
      </c>
      <c r="D2012">
        <v>18</v>
      </c>
      <c r="E2012" t="s">
        <v>157</v>
      </c>
    </row>
    <row r="2013" spans="1:5" x14ac:dyDescent="0.3">
      <c r="A2013">
        <v>2012</v>
      </c>
      <c r="B2013" s="1" t="s">
        <v>98</v>
      </c>
      <c r="C2013" t="s">
        <v>150</v>
      </c>
      <c r="D2013">
        <v>42</v>
      </c>
      <c r="E2013" t="s">
        <v>157</v>
      </c>
    </row>
    <row r="2014" spans="1:5" x14ac:dyDescent="0.3">
      <c r="A2014">
        <v>2013</v>
      </c>
      <c r="B2014" s="1" t="s">
        <v>98</v>
      </c>
      <c r="C2014" t="s">
        <v>150</v>
      </c>
      <c r="D2014">
        <v>39</v>
      </c>
      <c r="E2014" t="s">
        <v>157</v>
      </c>
    </row>
    <row r="2015" spans="1:5" x14ac:dyDescent="0.3">
      <c r="A2015">
        <v>2014</v>
      </c>
      <c r="B2015" s="1" t="s">
        <v>99</v>
      </c>
      <c r="C2015" t="s">
        <v>151</v>
      </c>
      <c r="D2015">
        <v>41</v>
      </c>
      <c r="E2015" t="s">
        <v>157</v>
      </c>
    </row>
    <row r="2016" spans="1:5" x14ac:dyDescent="0.3">
      <c r="A2016">
        <v>2015</v>
      </c>
      <c r="B2016" s="1" t="s">
        <v>99</v>
      </c>
      <c r="C2016" t="s">
        <v>150</v>
      </c>
      <c r="D2016">
        <v>55</v>
      </c>
      <c r="E2016" t="s">
        <v>157</v>
      </c>
    </row>
    <row r="2017" spans="1:5" x14ac:dyDescent="0.3">
      <c r="A2017">
        <v>2016</v>
      </c>
      <c r="B2017" s="1" t="s">
        <v>104</v>
      </c>
      <c r="C2017" t="s">
        <v>151</v>
      </c>
      <c r="D2017">
        <v>71</v>
      </c>
      <c r="E2017" t="s">
        <v>157</v>
      </c>
    </row>
    <row r="2018" spans="1:5" x14ac:dyDescent="0.3">
      <c r="A2018">
        <v>2017</v>
      </c>
      <c r="B2018" s="1" t="s">
        <v>98</v>
      </c>
      <c r="C2018" t="s">
        <v>150</v>
      </c>
      <c r="D2018">
        <v>76</v>
      </c>
      <c r="E2018" t="s">
        <v>157</v>
      </c>
    </row>
    <row r="2019" spans="1:5" x14ac:dyDescent="0.3">
      <c r="A2019">
        <v>2018</v>
      </c>
      <c r="B2019" s="1" t="s">
        <v>104</v>
      </c>
      <c r="C2019" t="s">
        <v>150</v>
      </c>
      <c r="D2019">
        <v>44</v>
      </c>
      <c r="E2019" t="s">
        <v>157</v>
      </c>
    </row>
    <row r="2020" spans="1:5" x14ac:dyDescent="0.3">
      <c r="A2020">
        <v>2019</v>
      </c>
      <c r="B2020" s="1" t="s">
        <v>98</v>
      </c>
      <c r="C2020" t="s">
        <v>150</v>
      </c>
      <c r="D2020">
        <v>57</v>
      </c>
      <c r="E2020" t="s">
        <v>157</v>
      </c>
    </row>
    <row r="2021" spans="1:5" x14ac:dyDescent="0.3">
      <c r="A2021">
        <v>2020</v>
      </c>
      <c r="B2021" s="1" t="s">
        <v>99</v>
      </c>
      <c r="C2021" t="s">
        <v>150</v>
      </c>
      <c r="D2021">
        <v>58</v>
      </c>
      <c r="E2021" t="s">
        <v>157</v>
      </c>
    </row>
    <row r="2022" spans="1:5" x14ac:dyDescent="0.3">
      <c r="A2022">
        <v>2021</v>
      </c>
      <c r="B2022" s="1" t="s">
        <v>104</v>
      </c>
      <c r="C2022" t="s">
        <v>151</v>
      </c>
      <c r="D2022">
        <v>26</v>
      </c>
      <c r="E2022" t="s">
        <v>157</v>
      </c>
    </row>
    <row r="2023" spans="1:5" x14ac:dyDescent="0.3">
      <c r="A2023">
        <v>2022</v>
      </c>
      <c r="B2023" s="1" t="s">
        <v>98</v>
      </c>
      <c r="C2023" t="s">
        <v>151</v>
      </c>
      <c r="D2023">
        <v>52</v>
      </c>
      <c r="E2023" t="s">
        <v>157</v>
      </c>
    </row>
    <row r="2024" spans="1:5" x14ac:dyDescent="0.3">
      <c r="A2024">
        <v>2023</v>
      </c>
      <c r="B2024" s="1" t="s">
        <v>98</v>
      </c>
      <c r="C2024" t="s">
        <v>150</v>
      </c>
      <c r="D2024">
        <v>73</v>
      </c>
      <c r="E2024" t="s">
        <v>157</v>
      </c>
    </row>
    <row r="2025" spans="1:5" x14ac:dyDescent="0.3">
      <c r="A2025">
        <v>2024</v>
      </c>
      <c r="B2025" s="1" t="s">
        <v>104</v>
      </c>
      <c r="C2025" t="s">
        <v>151</v>
      </c>
      <c r="D2025">
        <v>78</v>
      </c>
      <c r="E2025" t="s">
        <v>157</v>
      </c>
    </row>
    <row r="2026" spans="1:5" x14ac:dyDescent="0.3">
      <c r="A2026">
        <v>2025</v>
      </c>
      <c r="B2026" s="1" t="s">
        <v>98</v>
      </c>
      <c r="C2026" t="s">
        <v>151</v>
      </c>
      <c r="D2026">
        <v>21</v>
      </c>
      <c r="E2026" t="s">
        <v>157</v>
      </c>
    </row>
    <row r="2027" spans="1:5" x14ac:dyDescent="0.3">
      <c r="A2027">
        <v>2026</v>
      </c>
      <c r="B2027" s="1" t="s">
        <v>99</v>
      </c>
      <c r="C2027" t="s">
        <v>151</v>
      </c>
      <c r="D2027">
        <v>58</v>
      </c>
      <c r="E2027" t="s">
        <v>157</v>
      </c>
    </row>
    <row r="2028" spans="1:5" x14ac:dyDescent="0.3">
      <c r="A2028">
        <v>2027</v>
      </c>
      <c r="B2028" s="1" t="s">
        <v>104</v>
      </c>
      <c r="C2028" t="s">
        <v>151</v>
      </c>
      <c r="D2028">
        <v>89</v>
      </c>
      <c r="E2028" t="s">
        <v>157</v>
      </c>
    </row>
    <row r="2029" spans="1:5" x14ac:dyDescent="0.3">
      <c r="A2029">
        <v>2028</v>
      </c>
      <c r="B2029" s="1" t="s">
        <v>98</v>
      </c>
      <c r="C2029" t="s">
        <v>151</v>
      </c>
      <c r="D2029">
        <v>39</v>
      </c>
      <c r="E2029" t="s">
        <v>157</v>
      </c>
    </row>
    <row r="2030" spans="1:5" x14ac:dyDescent="0.3">
      <c r="A2030">
        <v>2029</v>
      </c>
      <c r="B2030" s="1" t="s">
        <v>98</v>
      </c>
      <c r="C2030" t="s">
        <v>150</v>
      </c>
      <c r="D2030">
        <v>48</v>
      </c>
      <c r="E2030" t="s">
        <v>157</v>
      </c>
    </row>
    <row r="2031" spans="1:5" x14ac:dyDescent="0.3">
      <c r="A2031">
        <v>2030</v>
      </c>
      <c r="B2031" s="1" t="s">
        <v>103</v>
      </c>
      <c r="C2031" t="s">
        <v>150</v>
      </c>
      <c r="D2031">
        <v>72</v>
      </c>
      <c r="E2031" t="s">
        <v>157</v>
      </c>
    </row>
    <row r="2032" spans="1:5" x14ac:dyDescent="0.3">
      <c r="A2032">
        <v>2031</v>
      </c>
      <c r="B2032" s="1" t="s">
        <v>104</v>
      </c>
      <c r="C2032" t="s">
        <v>151</v>
      </c>
      <c r="D2032">
        <v>54</v>
      </c>
      <c r="E2032" t="s">
        <v>157</v>
      </c>
    </row>
    <row r="2033" spans="1:5" x14ac:dyDescent="0.3">
      <c r="A2033">
        <v>2032</v>
      </c>
      <c r="B2033" s="1" t="s">
        <v>105</v>
      </c>
      <c r="C2033" t="s">
        <v>151</v>
      </c>
      <c r="D2033">
        <v>83</v>
      </c>
      <c r="E2033" t="s">
        <v>157</v>
      </c>
    </row>
    <row r="2034" spans="1:5" x14ac:dyDescent="0.3">
      <c r="A2034">
        <v>2033</v>
      </c>
      <c r="B2034" s="1" t="s">
        <v>98</v>
      </c>
      <c r="C2034" t="s">
        <v>150</v>
      </c>
      <c r="D2034">
        <v>21</v>
      </c>
      <c r="E2034" t="s">
        <v>157</v>
      </c>
    </row>
    <row r="2035" spans="1:5" x14ac:dyDescent="0.3">
      <c r="A2035">
        <v>2034</v>
      </c>
      <c r="B2035" s="1" t="s">
        <v>98</v>
      </c>
      <c r="C2035" t="s">
        <v>151</v>
      </c>
      <c r="D2035">
        <v>39</v>
      </c>
      <c r="E2035" t="s">
        <v>157</v>
      </c>
    </row>
    <row r="2036" spans="1:5" x14ac:dyDescent="0.3">
      <c r="A2036">
        <v>2035</v>
      </c>
      <c r="B2036" s="1" t="s">
        <v>99</v>
      </c>
      <c r="C2036" t="s">
        <v>151</v>
      </c>
      <c r="D2036">
        <v>42</v>
      </c>
      <c r="E2036" t="s">
        <v>157</v>
      </c>
    </row>
    <row r="2037" spans="1:5" x14ac:dyDescent="0.3">
      <c r="A2037">
        <v>2036</v>
      </c>
      <c r="B2037" s="1" t="s">
        <v>98</v>
      </c>
      <c r="C2037" t="s">
        <v>150</v>
      </c>
      <c r="D2037">
        <v>83</v>
      </c>
      <c r="E2037" t="s">
        <v>157</v>
      </c>
    </row>
    <row r="2038" spans="1:5" x14ac:dyDescent="0.3">
      <c r="A2038">
        <v>2037</v>
      </c>
      <c r="B2038" s="1" t="s">
        <v>106</v>
      </c>
      <c r="C2038" t="s">
        <v>151</v>
      </c>
      <c r="D2038">
        <v>22</v>
      </c>
      <c r="E2038" t="s">
        <v>157</v>
      </c>
    </row>
    <row r="2039" spans="1:5" x14ac:dyDescent="0.3">
      <c r="A2039">
        <v>2038</v>
      </c>
      <c r="B2039" s="1" t="s">
        <v>101</v>
      </c>
      <c r="C2039" t="s">
        <v>150</v>
      </c>
      <c r="D2039">
        <v>56</v>
      </c>
      <c r="E2039" t="s">
        <v>157</v>
      </c>
    </row>
    <row r="2040" spans="1:5" x14ac:dyDescent="0.3">
      <c r="A2040">
        <v>2039</v>
      </c>
      <c r="B2040" s="1" t="s">
        <v>107</v>
      </c>
      <c r="C2040" t="s">
        <v>151</v>
      </c>
      <c r="D2040">
        <v>55</v>
      </c>
      <c r="E2040" t="s">
        <v>157</v>
      </c>
    </row>
    <row r="2041" spans="1:5" x14ac:dyDescent="0.3">
      <c r="A2041">
        <v>2040</v>
      </c>
      <c r="B2041" s="1" t="s">
        <v>108</v>
      </c>
      <c r="C2041" t="s">
        <v>150</v>
      </c>
      <c r="D2041">
        <v>38</v>
      </c>
      <c r="E2041" t="s">
        <v>157</v>
      </c>
    </row>
    <row r="2042" spans="1:5" x14ac:dyDescent="0.3">
      <c r="A2042">
        <v>2041</v>
      </c>
      <c r="B2042" s="1" t="s">
        <v>100</v>
      </c>
      <c r="C2042" t="s">
        <v>150</v>
      </c>
      <c r="D2042">
        <v>70</v>
      </c>
      <c r="E2042" t="s">
        <v>157</v>
      </c>
    </row>
    <row r="2043" spans="1:5" x14ac:dyDescent="0.3">
      <c r="A2043">
        <v>2042</v>
      </c>
      <c r="B2043" s="1" t="s">
        <v>103</v>
      </c>
      <c r="C2043" t="s">
        <v>151</v>
      </c>
      <c r="D2043">
        <v>57</v>
      </c>
      <c r="E2043" t="s">
        <v>157</v>
      </c>
    </row>
    <row r="2044" spans="1:5" x14ac:dyDescent="0.3">
      <c r="A2044">
        <v>2043</v>
      </c>
      <c r="B2044" s="1" t="s">
        <v>104</v>
      </c>
      <c r="C2044" t="s">
        <v>150</v>
      </c>
      <c r="D2044">
        <v>51</v>
      </c>
      <c r="E2044" t="s">
        <v>157</v>
      </c>
    </row>
    <row r="2045" spans="1:5" x14ac:dyDescent="0.3">
      <c r="A2045">
        <v>2044</v>
      </c>
      <c r="B2045" s="1" t="s">
        <v>98</v>
      </c>
      <c r="C2045" t="s">
        <v>151</v>
      </c>
      <c r="D2045">
        <v>39</v>
      </c>
      <c r="E2045" t="s">
        <v>157</v>
      </c>
    </row>
    <row r="2046" spans="1:5" x14ac:dyDescent="0.3">
      <c r="A2046">
        <v>2045</v>
      </c>
      <c r="B2046" s="1" t="s">
        <v>104</v>
      </c>
      <c r="C2046" t="s">
        <v>150</v>
      </c>
      <c r="D2046">
        <v>56</v>
      </c>
      <c r="E2046" t="s">
        <v>157</v>
      </c>
    </row>
    <row r="2047" spans="1:5" x14ac:dyDescent="0.3">
      <c r="A2047">
        <v>2046</v>
      </c>
      <c r="B2047" s="1" t="s">
        <v>99</v>
      </c>
      <c r="C2047" t="s">
        <v>151</v>
      </c>
      <c r="D2047">
        <v>43</v>
      </c>
      <c r="E2047" t="s">
        <v>157</v>
      </c>
    </row>
    <row r="2048" spans="1:5" x14ac:dyDescent="0.3">
      <c r="A2048">
        <v>2047</v>
      </c>
      <c r="B2048" s="1" t="s">
        <v>98</v>
      </c>
      <c r="C2048" t="s">
        <v>151</v>
      </c>
      <c r="D2048">
        <v>87</v>
      </c>
      <c r="E2048" t="s">
        <v>157</v>
      </c>
    </row>
    <row r="2049" spans="1:5" x14ac:dyDescent="0.3">
      <c r="A2049">
        <v>2048</v>
      </c>
      <c r="B2049" s="1" t="s">
        <v>98</v>
      </c>
      <c r="C2049" t="s">
        <v>150</v>
      </c>
      <c r="D2049">
        <v>63</v>
      </c>
      <c r="E2049" t="s">
        <v>157</v>
      </c>
    </row>
    <row r="2050" spans="1:5" x14ac:dyDescent="0.3">
      <c r="A2050">
        <v>2049</v>
      </c>
      <c r="B2050" s="1" t="s">
        <v>98</v>
      </c>
      <c r="C2050" t="s">
        <v>150</v>
      </c>
      <c r="D2050">
        <v>67</v>
      </c>
      <c r="E2050" t="s">
        <v>157</v>
      </c>
    </row>
    <row r="2051" spans="1:5" x14ac:dyDescent="0.3">
      <c r="A2051">
        <v>2050</v>
      </c>
      <c r="B2051" s="1" t="s">
        <v>101</v>
      </c>
      <c r="C2051" t="s">
        <v>151</v>
      </c>
      <c r="D2051">
        <v>34</v>
      </c>
      <c r="E2051" t="s">
        <v>157</v>
      </c>
    </row>
    <row r="2052" spans="1:5" x14ac:dyDescent="0.3">
      <c r="A2052">
        <v>2051</v>
      </c>
      <c r="B2052" s="1" t="s">
        <v>109</v>
      </c>
      <c r="C2052" t="s">
        <v>151</v>
      </c>
      <c r="D2052">
        <v>90</v>
      </c>
      <c r="E2052" t="s">
        <v>157</v>
      </c>
    </row>
    <row r="2053" spans="1:5" x14ac:dyDescent="0.3">
      <c r="A2053">
        <v>2052</v>
      </c>
      <c r="B2053" s="1" t="s">
        <v>106</v>
      </c>
      <c r="C2053" t="s">
        <v>150</v>
      </c>
      <c r="D2053">
        <v>65</v>
      </c>
      <c r="E2053" t="s">
        <v>157</v>
      </c>
    </row>
    <row r="2054" spans="1:5" x14ac:dyDescent="0.3">
      <c r="A2054">
        <v>2053</v>
      </c>
      <c r="B2054" s="1" t="s">
        <v>98</v>
      </c>
      <c r="C2054" t="s">
        <v>150</v>
      </c>
      <c r="D2054">
        <v>38</v>
      </c>
      <c r="E2054" t="s">
        <v>157</v>
      </c>
    </row>
    <row r="2055" spans="1:5" x14ac:dyDescent="0.3">
      <c r="A2055">
        <v>2054</v>
      </c>
      <c r="B2055" s="1" t="s">
        <v>104</v>
      </c>
      <c r="C2055" t="s">
        <v>151</v>
      </c>
      <c r="D2055">
        <v>28</v>
      </c>
      <c r="E2055" t="s">
        <v>157</v>
      </c>
    </row>
    <row r="2056" spans="1:5" x14ac:dyDescent="0.3">
      <c r="A2056">
        <v>2055</v>
      </c>
      <c r="B2056" s="1" t="s">
        <v>98</v>
      </c>
      <c r="C2056" t="s">
        <v>151</v>
      </c>
      <c r="D2056">
        <v>33</v>
      </c>
      <c r="E2056" t="s">
        <v>157</v>
      </c>
    </row>
    <row r="2057" spans="1:5" x14ac:dyDescent="0.3">
      <c r="A2057">
        <v>2056</v>
      </c>
      <c r="B2057" s="1" t="s">
        <v>98</v>
      </c>
      <c r="C2057" t="s">
        <v>150</v>
      </c>
      <c r="D2057">
        <v>79</v>
      </c>
      <c r="E2057" t="s">
        <v>157</v>
      </c>
    </row>
    <row r="2058" spans="1:5" x14ac:dyDescent="0.3">
      <c r="A2058">
        <v>2057</v>
      </c>
      <c r="B2058" s="1" t="s">
        <v>99</v>
      </c>
      <c r="C2058" t="s">
        <v>150</v>
      </c>
      <c r="D2058">
        <v>41</v>
      </c>
      <c r="E2058" t="s">
        <v>157</v>
      </c>
    </row>
    <row r="2059" spans="1:5" x14ac:dyDescent="0.3">
      <c r="A2059">
        <v>2058</v>
      </c>
      <c r="B2059" s="1" t="s">
        <v>98</v>
      </c>
      <c r="C2059" t="s">
        <v>150</v>
      </c>
      <c r="D2059">
        <v>30</v>
      </c>
      <c r="E2059" t="s">
        <v>157</v>
      </c>
    </row>
    <row r="2060" spans="1:5" x14ac:dyDescent="0.3">
      <c r="A2060">
        <v>2059</v>
      </c>
      <c r="B2060" s="1" t="s">
        <v>107</v>
      </c>
      <c r="C2060" t="s">
        <v>150</v>
      </c>
      <c r="D2060">
        <v>27</v>
      </c>
      <c r="E2060" t="s">
        <v>157</v>
      </c>
    </row>
    <row r="2061" spans="1:5" x14ac:dyDescent="0.3">
      <c r="A2061">
        <v>2060</v>
      </c>
      <c r="B2061" s="1" t="s">
        <v>99</v>
      </c>
      <c r="C2061" t="s">
        <v>151</v>
      </c>
      <c r="D2061">
        <v>42</v>
      </c>
      <c r="E2061" t="s">
        <v>157</v>
      </c>
    </row>
    <row r="2062" spans="1:5" x14ac:dyDescent="0.3">
      <c r="A2062">
        <v>2061</v>
      </c>
      <c r="B2062" s="1" t="s">
        <v>98</v>
      </c>
      <c r="C2062" t="s">
        <v>150</v>
      </c>
      <c r="D2062">
        <v>78</v>
      </c>
      <c r="E2062" t="s">
        <v>157</v>
      </c>
    </row>
    <row r="2063" spans="1:5" x14ac:dyDescent="0.3">
      <c r="A2063">
        <v>2062</v>
      </c>
      <c r="B2063" s="1" t="s">
        <v>100</v>
      </c>
      <c r="C2063" t="s">
        <v>150</v>
      </c>
      <c r="D2063">
        <v>52</v>
      </c>
      <c r="E2063" t="s">
        <v>157</v>
      </c>
    </row>
    <row r="2064" spans="1:5" x14ac:dyDescent="0.3">
      <c r="A2064">
        <v>2063</v>
      </c>
      <c r="B2064" s="1" t="s">
        <v>100</v>
      </c>
      <c r="C2064" t="s">
        <v>150</v>
      </c>
      <c r="D2064">
        <v>23</v>
      </c>
      <c r="E2064" t="s">
        <v>157</v>
      </c>
    </row>
    <row r="2065" spans="1:5" x14ac:dyDescent="0.3">
      <c r="A2065">
        <v>2064</v>
      </c>
      <c r="B2065" s="1" t="s">
        <v>101</v>
      </c>
      <c r="C2065" t="s">
        <v>150</v>
      </c>
      <c r="D2065">
        <v>47</v>
      </c>
      <c r="E2065" t="s">
        <v>157</v>
      </c>
    </row>
    <row r="2066" spans="1:5" x14ac:dyDescent="0.3">
      <c r="A2066">
        <v>2065</v>
      </c>
      <c r="B2066" s="1" t="s">
        <v>100</v>
      </c>
      <c r="C2066" t="s">
        <v>151</v>
      </c>
      <c r="D2066">
        <v>58</v>
      </c>
      <c r="E2066" t="s">
        <v>157</v>
      </c>
    </row>
    <row r="2067" spans="1:5" x14ac:dyDescent="0.3">
      <c r="A2067">
        <v>2066</v>
      </c>
      <c r="B2067" s="1" t="s">
        <v>104</v>
      </c>
      <c r="C2067" t="s">
        <v>150</v>
      </c>
      <c r="D2067">
        <v>69</v>
      </c>
      <c r="E2067" t="s">
        <v>157</v>
      </c>
    </row>
    <row r="2068" spans="1:5" x14ac:dyDescent="0.3">
      <c r="A2068">
        <v>2067</v>
      </c>
      <c r="B2068" s="1" t="s">
        <v>101</v>
      </c>
      <c r="C2068" t="s">
        <v>151</v>
      </c>
      <c r="D2068">
        <v>70</v>
      </c>
      <c r="E2068" t="s">
        <v>157</v>
      </c>
    </row>
    <row r="2069" spans="1:5" x14ac:dyDescent="0.3">
      <c r="A2069">
        <v>2068</v>
      </c>
      <c r="B2069" s="1" t="s">
        <v>98</v>
      </c>
      <c r="C2069" t="s">
        <v>150</v>
      </c>
      <c r="D2069">
        <v>70</v>
      </c>
      <c r="E2069" t="s">
        <v>157</v>
      </c>
    </row>
    <row r="2070" spans="1:5" x14ac:dyDescent="0.3">
      <c r="A2070">
        <v>2069</v>
      </c>
      <c r="B2070" s="1" t="s">
        <v>109</v>
      </c>
      <c r="C2070" t="s">
        <v>151</v>
      </c>
      <c r="D2070">
        <v>61</v>
      </c>
      <c r="E2070" t="s">
        <v>157</v>
      </c>
    </row>
    <row r="2071" spans="1:5" x14ac:dyDescent="0.3">
      <c r="A2071">
        <v>2070</v>
      </c>
      <c r="B2071" s="1" t="s">
        <v>104</v>
      </c>
      <c r="C2071" t="s">
        <v>150</v>
      </c>
      <c r="D2071">
        <v>41</v>
      </c>
      <c r="E2071" t="s">
        <v>157</v>
      </c>
    </row>
    <row r="2072" spans="1:5" x14ac:dyDescent="0.3">
      <c r="A2072">
        <v>2071</v>
      </c>
      <c r="B2072" s="1" t="s">
        <v>104</v>
      </c>
      <c r="C2072" t="s">
        <v>150</v>
      </c>
      <c r="D2072">
        <v>46</v>
      </c>
      <c r="E2072" t="s">
        <v>157</v>
      </c>
    </row>
    <row r="2073" spans="1:5" x14ac:dyDescent="0.3">
      <c r="A2073">
        <v>2072</v>
      </c>
      <c r="B2073" s="1" t="s">
        <v>98</v>
      </c>
      <c r="C2073" t="s">
        <v>150</v>
      </c>
      <c r="D2073">
        <v>80</v>
      </c>
      <c r="E2073" t="s">
        <v>157</v>
      </c>
    </row>
    <row r="2074" spans="1:5" x14ac:dyDescent="0.3">
      <c r="A2074">
        <v>2073</v>
      </c>
      <c r="B2074" s="1" t="s">
        <v>103</v>
      </c>
      <c r="C2074" t="s">
        <v>151</v>
      </c>
      <c r="D2074">
        <v>30</v>
      </c>
      <c r="E2074" t="s">
        <v>157</v>
      </c>
    </row>
    <row r="2075" spans="1:5" x14ac:dyDescent="0.3">
      <c r="A2075">
        <v>2074</v>
      </c>
      <c r="B2075" s="1" t="s">
        <v>98</v>
      </c>
      <c r="C2075" t="s">
        <v>151</v>
      </c>
      <c r="D2075">
        <v>86</v>
      </c>
      <c r="E2075" t="s">
        <v>157</v>
      </c>
    </row>
    <row r="2076" spans="1:5" x14ac:dyDescent="0.3">
      <c r="A2076">
        <v>2075</v>
      </c>
      <c r="B2076" s="1" t="s">
        <v>98</v>
      </c>
      <c r="C2076" t="s">
        <v>150</v>
      </c>
      <c r="D2076">
        <v>81</v>
      </c>
      <c r="E2076" t="s">
        <v>157</v>
      </c>
    </row>
    <row r="2077" spans="1:5" x14ac:dyDescent="0.3">
      <c r="A2077">
        <v>2076</v>
      </c>
      <c r="B2077" s="1" t="s">
        <v>98</v>
      </c>
      <c r="C2077" t="s">
        <v>151</v>
      </c>
      <c r="D2077">
        <v>55</v>
      </c>
      <c r="E2077" t="s">
        <v>157</v>
      </c>
    </row>
    <row r="2078" spans="1:5" x14ac:dyDescent="0.3">
      <c r="A2078">
        <v>2077</v>
      </c>
      <c r="B2078" s="1" t="s">
        <v>104</v>
      </c>
      <c r="C2078" t="s">
        <v>151</v>
      </c>
      <c r="D2078">
        <v>61</v>
      </c>
      <c r="E2078" t="s">
        <v>157</v>
      </c>
    </row>
    <row r="2079" spans="1:5" x14ac:dyDescent="0.3">
      <c r="A2079">
        <v>2078</v>
      </c>
      <c r="B2079" s="1" t="s">
        <v>103</v>
      </c>
      <c r="C2079" t="s">
        <v>150</v>
      </c>
      <c r="D2079">
        <v>63</v>
      </c>
      <c r="E2079" t="s">
        <v>157</v>
      </c>
    </row>
    <row r="2080" spans="1:5" x14ac:dyDescent="0.3">
      <c r="A2080">
        <v>2079</v>
      </c>
      <c r="B2080" s="1" t="s">
        <v>98</v>
      </c>
      <c r="C2080" t="s">
        <v>150</v>
      </c>
      <c r="D2080">
        <v>55</v>
      </c>
      <c r="E2080" t="s">
        <v>157</v>
      </c>
    </row>
    <row r="2081" spans="1:5" x14ac:dyDescent="0.3">
      <c r="A2081">
        <v>2080</v>
      </c>
      <c r="B2081" s="1" t="s">
        <v>98</v>
      </c>
      <c r="C2081" t="s">
        <v>150</v>
      </c>
      <c r="D2081">
        <v>73</v>
      </c>
      <c r="E2081" t="s">
        <v>157</v>
      </c>
    </row>
    <row r="2082" spans="1:5" x14ac:dyDescent="0.3">
      <c r="A2082">
        <v>2081</v>
      </c>
      <c r="B2082" s="1" t="s">
        <v>105</v>
      </c>
      <c r="C2082" t="s">
        <v>151</v>
      </c>
      <c r="D2082">
        <v>82</v>
      </c>
      <c r="E2082" t="s">
        <v>157</v>
      </c>
    </row>
    <row r="2083" spans="1:5" x14ac:dyDescent="0.3">
      <c r="A2083">
        <v>2082</v>
      </c>
      <c r="B2083" s="1" t="s">
        <v>108</v>
      </c>
      <c r="C2083" t="s">
        <v>150</v>
      </c>
      <c r="D2083">
        <v>70</v>
      </c>
      <c r="E2083" t="s">
        <v>157</v>
      </c>
    </row>
    <row r="2084" spans="1:5" x14ac:dyDescent="0.3">
      <c r="A2084">
        <v>2083</v>
      </c>
      <c r="B2084" s="1" t="s">
        <v>98</v>
      </c>
      <c r="C2084" t="s">
        <v>150</v>
      </c>
      <c r="D2084">
        <v>22</v>
      </c>
      <c r="E2084" t="s">
        <v>157</v>
      </c>
    </row>
    <row r="2085" spans="1:5" x14ac:dyDescent="0.3">
      <c r="A2085">
        <v>2084</v>
      </c>
      <c r="B2085" s="1" t="s">
        <v>98</v>
      </c>
      <c r="C2085" t="s">
        <v>151</v>
      </c>
      <c r="D2085">
        <v>75</v>
      </c>
      <c r="E2085" t="s">
        <v>157</v>
      </c>
    </row>
    <row r="2086" spans="1:5" x14ac:dyDescent="0.3">
      <c r="A2086">
        <v>2085</v>
      </c>
      <c r="B2086" s="1" t="s">
        <v>99</v>
      </c>
      <c r="C2086" t="s">
        <v>151</v>
      </c>
      <c r="D2086">
        <v>23</v>
      </c>
      <c r="E2086" t="s">
        <v>157</v>
      </c>
    </row>
    <row r="2087" spans="1:5" x14ac:dyDescent="0.3">
      <c r="A2087">
        <v>2086</v>
      </c>
      <c r="B2087" s="1" t="s">
        <v>98</v>
      </c>
      <c r="C2087" t="s">
        <v>151</v>
      </c>
      <c r="D2087">
        <v>48</v>
      </c>
      <c r="E2087" t="s">
        <v>157</v>
      </c>
    </row>
    <row r="2088" spans="1:5" x14ac:dyDescent="0.3">
      <c r="A2088">
        <v>2087</v>
      </c>
      <c r="B2088" s="1" t="s">
        <v>98</v>
      </c>
      <c r="C2088" t="s">
        <v>151</v>
      </c>
      <c r="D2088">
        <v>49</v>
      </c>
      <c r="E2088" t="s">
        <v>157</v>
      </c>
    </row>
    <row r="2089" spans="1:5" x14ac:dyDescent="0.3">
      <c r="A2089">
        <v>2088</v>
      </c>
      <c r="B2089" s="1" t="s">
        <v>98</v>
      </c>
      <c r="C2089" t="s">
        <v>150</v>
      </c>
      <c r="D2089">
        <v>56</v>
      </c>
      <c r="E2089" t="s">
        <v>157</v>
      </c>
    </row>
    <row r="2090" spans="1:5" x14ac:dyDescent="0.3">
      <c r="A2090">
        <v>2089</v>
      </c>
      <c r="B2090" s="1" t="s">
        <v>98</v>
      </c>
      <c r="C2090" t="s">
        <v>150</v>
      </c>
      <c r="D2090">
        <v>28</v>
      </c>
      <c r="E2090" t="s">
        <v>157</v>
      </c>
    </row>
    <row r="2091" spans="1:5" x14ac:dyDescent="0.3">
      <c r="A2091">
        <v>2090</v>
      </c>
      <c r="B2091" s="1" t="s">
        <v>98</v>
      </c>
      <c r="C2091" t="s">
        <v>151</v>
      </c>
      <c r="D2091">
        <v>74</v>
      </c>
      <c r="E2091" t="s">
        <v>157</v>
      </c>
    </row>
    <row r="2092" spans="1:5" x14ac:dyDescent="0.3">
      <c r="A2092">
        <v>2091</v>
      </c>
      <c r="B2092" s="1" t="s">
        <v>98</v>
      </c>
      <c r="C2092" t="s">
        <v>150</v>
      </c>
      <c r="D2092">
        <v>66</v>
      </c>
      <c r="E2092" t="s">
        <v>157</v>
      </c>
    </row>
    <row r="2093" spans="1:5" x14ac:dyDescent="0.3">
      <c r="A2093">
        <v>2092</v>
      </c>
      <c r="B2093" s="1" t="s">
        <v>98</v>
      </c>
      <c r="C2093" t="s">
        <v>150</v>
      </c>
      <c r="D2093">
        <v>90</v>
      </c>
      <c r="E2093" t="s">
        <v>157</v>
      </c>
    </row>
    <row r="2094" spans="1:5" x14ac:dyDescent="0.3">
      <c r="A2094">
        <v>2093</v>
      </c>
      <c r="B2094" s="1" t="s">
        <v>99</v>
      </c>
      <c r="C2094" t="s">
        <v>151</v>
      </c>
      <c r="D2094">
        <v>41</v>
      </c>
      <c r="E2094" t="s">
        <v>157</v>
      </c>
    </row>
    <row r="2095" spans="1:5" x14ac:dyDescent="0.3">
      <c r="A2095">
        <v>2094</v>
      </c>
      <c r="B2095" s="1" t="s">
        <v>100</v>
      </c>
      <c r="C2095" t="s">
        <v>151</v>
      </c>
      <c r="D2095">
        <v>24</v>
      </c>
      <c r="E2095" t="s">
        <v>157</v>
      </c>
    </row>
    <row r="2096" spans="1:5" x14ac:dyDescent="0.3">
      <c r="A2096">
        <v>2095</v>
      </c>
      <c r="B2096" s="1" t="s">
        <v>98</v>
      </c>
      <c r="C2096" t="s">
        <v>151</v>
      </c>
      <c r="D2096">
        <v>29</v>
      </c>
      <c r="E2096" t="s">
        <v>157</v>
      </c>
    </row>
    <row r="2097" spans="1:5" x14ac:dyDescent="0.3">
      <c r="A2097">
        <v>2096</v>
      </c>
      <c r="B2097" s="1" t="s">
        <v>98</v>
      </c>
      <c r="C2097" t="s">
        <v>150</v>
      </c>
      <c r="D2097">
        <v>36</v>
      </c>
      <c r="E2097" t="s">
        <v>157</v>
      </c>
    </row>
    <row r="2098" spans="1:5" x14ac:dyDescent="0.3">
      <c r="A2098">
        <v>2097</v>
      </c>
      <c r="B2098" s="1" t="s">
        <v>99</v>
      </c>
      <c r="C2098" t="s">
        <v>150</v>
      </c>
      <c r="D2098">
        <v>30</v>
      </c>
      <c r="E2098" t="s">
        <v>157</v>
      </c>
    </row>
    <row r="2099" spans="1:5" x14ac:dyDescent="0.3">
      <c r="A2099">
        <v>2098</v>
      </c>
      <c r="B2099" s="1" t="s">
        <v>106</v>
      </c>
      <c r="C2099" t="s">
        <v>150</v>
      </c>
      <c r="D2099">
        <v>35</v>
      </c>
      <c r="E2099" t="s">
        <v>157</v>
      </c>
    </row>
    <row r="2100" spans="1:5" x14ac:dyDescent="0.3">
      <c r="A2100">
        <v>2099</v>
      </c>
      <c r="B2100" s="1" t="s">
        <v>105</v>
      </c>
      <c r="C2100" t="s">
        <v>151</v>
      </c>
      <c r="D2100">
        <v>76</v>
      </c>
      <c r="E2100" t="s">
        <v>157</v>
      </c>
    </row>
    <row r="2101" spans="1:5" x14ac:dyDescent="0.3">
      <c r="A2101">
        <v>2100</v>
      </c>
      <c r="B2101" s="1" t="s">
        <v>99</v>
      </c>
      <c r="C2101" t="s">
        <v>150</v>
      </c>
      <c r="D2101">
        <v>82</v>
      </c>
      <c r="E2101" t="s">
        <v>157</v>
      </c>
    </row>
    <row r="2102" spans="1:5" x14ac:dyDescent="0.3">
      <c r="A2102">
        <v>2101</v>
      </c>
      <c r="B2102" s="1" t="s">
        <v>106</v>
      </c>
      <c r="C2102" t="s">
        <v>150</v>
      </c>
      <c r="D2102">
        <v>57</v>
      </c>
      <c r="E2102" t="s">
        <v>157</v>
      </c>
    </row>
    <row r="2103" spans="1:5" x14ac:dyDescent="0.3">
      <c r="A2103">
        <v>2102</v>
      </c>
      <c r="B2103" s="1" t="s">
        <v>98</v>
      </c>
      <c r="C2103" t="s">
        <v>151</v>
      </c>
      <c r="D2103">
        <v>57</v>
      </c>
      <c r="E2103" t="s">
        <v>157</v>
      </c>
    </row>
    <row r="2104" spans="1:5" x14ac:dyDescent="0.3">
      <c r="A2104">
        <v>2103</v>
      </c>
      <c r="B2104" s="1" t="s">
        <v>98</v>
      </c>
      <c r="C2104" t="s">
        <v>150</v>
      </c>
      <c r="D2104">
        <v>87</v>
      </c>
      <c r="E2104" t="s">
        <v>157</v>
      </c>
    </row>
    <row r="2105" spans="1:5" x14ac:dyDescent="0.3">
      <c r="A2105">
        <v>2104</v>
      </c>
      <c r="B2105" s="1" t="s">
        <v>98</v>
      </c>
      <c r="C2105" t="s">
        <v>150</v>
      </c>
      <c r="D2105">
        <v>59</v>
      </c>
      <c r="E2105" t="s">
        <v>157</v>
      </c>
    </row>
    <row r="2106" spans="1:5" x14ac:dyDescent="0.3">
      <c r="A2106">
        <v>2105</v>
      </c>
      <c r="B2106" s="1" t="s">
        <v>107</v>
      </c>
      <c r="C2106" t="s">
        <v>150</v>
      </c>
      <c r="D2106">
        <v>33</v>
      </c>
      <c r="E2106" t="s">
        <v>157</v>
      </c>
    </row>
    <row r="2107" spans="1:5" x14ac:dyDescent="0.3">
      <c r="A2107">
        <v>2106</v>
      </c>
      <c r="B2107" s="1" t="s">
        <v>106</v>
      </c>
      <c r="C2107" t="s">
        <v>150</v>
      </c>
      <c r="D2107">
        <v>36</v>
      </c>
      <c r="E2107" t="s">
        <v>157</v>
      </c>
    </row>
    <row r="2108" spans="1:5" x14ac:dyDescent="0.3">
      <c r="A2108">
        <v>2107</v>
      </c>
      <c r="B2108" s="1" t="s">
        <v>104</v>
      </c>
      <c r="C2108" t="s">
        <v>150</v>
      </c>
      <c r="D2108">
        <v>56</v>
      </c>
      <c r="E2108" t="s">
        <v>157</v>
      </c>
    </row>
    <row r="2109" spans="1:5" x14ac:dyDescent="0.3">
      <c r="A2109">
        <v>2108</v>
      </c>
      <c r="B2109" s="1" t="s">
        <v>98</v>
      </c>
      <c r="C2109" t="s">
        <v>150</v>
      </c>
      <c r="D2109">
        <v>37</v>
      </c>
      <c r="E2109" t="s">
        <v>157</v>
      </c>
    </row>
    <row r="2110" spans="1:5" x14ac:dyDescent="0.3">
      <c r="A2110">
        <v>2109</v>
      </c>
      <c r="B2110" s="1" t="s">
        <v>98</v>
      </c>
      <c r="C2110" t="s">
        <v>150</v>
      </c>
      <c r="D2110">
        <v>62</v>
      </c>
      <c r="E2110" t="s">
        <v>157</v>
      </c>
    </row>
    <row r="2111" spans="1:5" x14ac:dyDescent="0.3">
      <c r="A2111">
        <v>2110</v>
      </c>
      <c r="B2111" s="1" t="s">
        <v>99</v>
      </c>
      <c r="C2111" t="s">
        <v>150</v>
      </c>
      <c r="D2111">
        <v>84</v>
      </c>
      <c r="E2111" t="s">
        <v>157</v>
      </c>
    </row>
    <row r="2112" spans="1:5" x14ac:dyDescent="0.3">
      <c r="A2112">
        <v>2111</v>
      </c>
      <c r="B2112" s="1" t="s">
        <v>99</v>
      </c>
      <c r="C2112" t="s">
        <v>151</v>
      </c>
      <c r="D2112">
        <v>42</v>
      </c>
      <c r="E2112" t="s">
        <v>157</v>
      </c>
    </row>
    <row r="2113" spans="1:5" x14ac:dyDescent="0.3">
      <c r="A2113">
        <v>2112</v>
      </c>
      <c r="B2113" s="1" t="s">
        <v>98</v>
      </c>
      <c r="C2113" t="s">
        <v>150</v>
      </c>
      <c r="D2113">
        <v>70</v>
      </c>
      <c r="E2113" t="s">
        <v>157</v>
      </c>
    </row>
    <row r="2114" spans="1:5" x14ac:dyDescent="0.3">
      <c r="A2114">
        <v>2113</v>
      </c>
      <c r="B2114" s="1" t="s">
        <v>98</v>
      </c>
      <c r="C2114" t="s">
        <v>151</v>
      </c>
      <c r="D2114">
        <v>32</v>
      </c>
      <c r="E2114" t="s">
        <v>157</v>
      </c>
    </row>
    <row r="2115" spans="1:5" x14ac:dyDescent="0.3">
      <c r="A2115">
        <v>2114</v>
      </c>
      <c r="B2115" s="1" t="s">
        <v>99</v>
      </c>
      <c r="C2115" t="s">
        <v>150</v>
      </c>
      <c r="D2115">
        <v>62</v>
      </c>
      <c r="E2115" t="s">
        <v>157</v>
      </c>
    </row>
    <row r="2116" spans="1:5" x14ac:dyDescent="0.3">
      <c r="A2116">
        <v>2115</v>
      </c>
      <c r="B2116" s="1" t="s">
        <v>98</v>
      </c>
      <c r="C2116" t="s">
        <v>151</v>
      </c>
      <c r="D2116">
        <v>45</v>
      </c>
      <c r="E2116" t="s">
        <v>157</v>
      </c>
    </row>
    <row r="2117" spans="1:5" x14ac:dyDescent="0.3">
      <c r="A2117">
        <v>2116</v>
      </c>
      <c r="B2117" s="1" t="s">
        <v>109</v>
      </c>
      <c r="C2117" t="s">
        <v>151</v>
      </c>
      <c r="D2117">
        <v>84</v>
      </c>
      <c r="E2117" t="s">
        <v>157</v>
      </c>
    </row>
    <row r="2118" spans="1:5" x14ac:dyDescent="0.3">
      <c r="A2118">
        <v>2117</v>
      </c>
      <c r="B2118" s="1" t="s">
        <v>98</v>
      </c>
      <c r="C2118" t="s">
        <v>151</v>
      </c>
      <c r="D2118">
        <v>21</v>
      </c>
      <c r="E2118" t="s">
        <v>157</v>
      </c>
    </row>
    <row r="2119" spans="1:5" x14ac:dyDescent="0.3">
      <c r="A2119">
        <v>2118</v>
      </c>
      <c r="B2119" s="1" t="s">
        <v>98</v>
      </c>
      <c r="C2119" t="s">
        <v>150</v>
      </c>
      <c r="D2119">
        <v>68</v>
      </c>
      <c r="E2119" t="s">
        <v>157</v>
      </c>
    </row>
    <row r="2120" spans="1:5" x14ac:dyDescent="0.3">
      <c r="A2120">
        <v>2119</v>
      </c>
      <c r="B2120" s="1" t="s">
        <v>98</v>
      </c>
      <c r="C2120" t="s">
        <v>151</v>
      </c>
      <c r="D2120">
        <v>68</v>
      </c>
      <c r="E2120" t="s">
        <v>157</v>
      </c>
    </row>
    <row r="2121" spans="1:5" x14ac:dyDescent="0.3">
      <c r="A2121">
        <v>2120</v>
      </c>
      <c r="B2121" s="1" t="s">
        <v>98</v>
      </c>
      <c r="C2121" t="s">
        <v>151</v>
      </c>
      <c r="D2121">
        <v>26</v>
      </c>
      <c r="E2121" t="s">
        <v>157</v>
      </c>
    </row>
    <row r="2122" spans="1:5" x14ac:dyDescent="0.3">
      <c r="A2122">
        <v>2121</v>
      </c>
      <c r="B2122" s="1" t="s">
        <v>102</v>
      </c>
      <c r="C2122" t="s">
        <v>150</v>
      </c>
      <c r="D2122">
        <v>29</v>
      </c>
      <c r="E2122" t="s">
        <v>157</v>
      </c>
    </row>
    <row r="2123" spans="1:5" x14ac:dyDescent="0.3">
      <c r="A2123">
        <v>2122</v>
      </c>
      <c r="B2123" s="1" t="s">
        <v>99</v>
      </c>
      <c r="C2123" t="s">
        <v>150</v>
      </c>
      <c r="D2123">
        <v>84</v>
      </c>
      <c r="E2123" t="s">
        <v>157</v>
      </c>
    </row>
    <row r="2124" spans="1:5" x14ac:dyDescent="0.3">
      <c r="A2124">
        <v>2123</v>
      </c>
      <c r="B2124" s="1" t="s">
        <v>106</v>
      </c>
      <c r="C2124" t="s">
        <v>151</v>
      </c>
      <c r="D2124">
        <v>54</v>
      </c>
      <c r="E2124" t="s">
        <v>157</v>
      </c>
    </row>
    <row r="2125" spans="1:5" x14ac:dyDescent="0.3">
      <c r="A2125">
        <v>2124</v>
      </c>
      <c r="B2125" s="1" t="s">
        <v>99</v>
      </c>
      <c r="C2125" t="s">
        <v>151</v>
      </c>
      <c r="D2125">
        <v>83</v>
      </c>
      <c r="E2125" t="s">
        <v>157</v>
      </c>
    </row>
    <row r="2126" spans="1:5" x14ac:dyDescent="0.3">
      <c r="A2126">
        <v>2125</v>
      </c>
      <c r="B2126" s="1" t="s">
        <v>98</v>
      </c>
      <c r="C2126" t="s">
        <v>151</v>
      </c>
      <c r="D2126">
        <v>69</v>
      </c>
      <c r="E2126" t="s">
        <v>157</v>
      </c>
    </row>
    <row r="2127" spans="1:5" x14ac:dyDescent="0.3">
      <c r="A2127">
        <v>2126</v>
      </c>
      <c r="B2127" s="1" t="s">
        <v>98</v>
      </c>
      <c r="C2127" t="s">
        <v>151</v>
      </c>
      <c r="D2127">
        <v>76</v>
      </c>
      <c r="E2127" t="s">
        <v>157</v>
      </c>
    </row>
    <row r="2128" spans="1:5" x14ac:dyDescent="0.3">
      <c r="A2128">
        <v>2127</v>
      </c>
      <c r="B2128" s="1" t="s">
        <v>98</v>
      </c>
      <c r="C2128" t="s">
        <v>151</v>
      </c>
      <c r="D2128">
        <v>37</v>
      </c>
      <c r="E2128" t="s">
        <v>157</v>
      </c>
    </row>
    <row r="2129" spans="1:5" x14ac:dyDescent="0.3">
      <c r="A2129">
        <v>2128</v>
      </c>
      <c r="B2129" s="1" t="s">
        <v>99</v>
      </c>
      <c r="C2129" t="s">
        <v>151</v>
      </c>
      <c r="D2129">
        <v>56</v>
      </c>
      <c r="E2129" t="s">
        <v>157</v>
      </c>
    </row>
    <row r="2130" spans="1:5" x14ac:dyDescent="0.3">
      <c r="A2130">
        <v>2129</v>
      </c>
      <c r="B2130" s="1" t="s">
        <v>108</v>
      </c>
      <c r="C2130" t="s">
        <v>151</v>
      </c>
      <c r="D2130">
        <v>67</v>
      </c>
      <c r="E2130" t="s">
        <v>157</v>
      </c>
    </row>
    <row r="2131" spans="1:5" x14ac:dyDescent="0.3">
      <c r="A2131">
        <v>2130</v>
      </c>
      <c r="B2131" s="1" t="s">
        <v>108</v>
      </c>
      <c r="C2131" t="s">
        <v>151</v>
      </c>
      <c r="D2131">
        <v>20</v>
      </c>
      <c r="E2131" t="s">
        <v>157</v>
      </c>
    </row>
    <row r="2132" spans="1:5" x14ac:dyDescent="0.3">
      <c r="A2132">
        <v>2131</v>
      </c>
      <c r="B2132" s="1" t="s">
        <v>99</v>
      </c>
      <c r="C2132" t="s">
        <v>151</v>
      </c>
      <c r="D2132">
        <v>89</v>
      </c>
      <c r="E2132" t="s">
        <v>157</v>
      </c>
    </row>
    <row r="2133" spans="1:5" x14ac:dyDescent="0.3">
      <c r="A2133">
        <v>2132</v>
      </c>
      <c r="B2133" s="1" t="s">
        <v>104</v>
      </c>
      <c r="C2133" t="s">
        <v>151</v>
      </c>
      <c r="D2133">
        <v>55</v>
      </c>
      <c r="E2133" t="s">
        <v>157</v>
      </c>
    </row>
    <row r="2134" spans="1:5" x14ac:dyDescent="0.3">
      <c r="A2134">
        <v>2133</v>
      </c>
      <c r="B2134" s="1" t="s">
        <v>103</v>
      </c>
      <c r="C2134" t="s">
        <v>150</v>
      </c>
      <c r="D2134">
        <v>69</v>
      </c>
      <c r="E2134" t="s">
        <v>157</v>
      </c>
    </row>
    <row r="2135" spans="1:5" x14ac:dyDescent="0.3">
      <c r="A2135">
        <v>2134</v>
      </c>
      <c r="B2135" s="1" t="s">
        <v>105</v>
      </c>
      <c r="C2135" t="s">
        <v>151</v>
      </c>
      <c r="D2135">
        <v>69</v>
      </c>
      <c r="E2135" t="s">
        <v>157</v>
      </c>
    </row>
    <row r="2136" spans="1:5" x14ac:dyDescent="0.3">
      <c r="A2136">
        <v>2135</v>
      </c>
      <c r="B2136" s="1" t="s">
        <v>99</v>
      </c>
      <c r="C2136" t="s">
        <v>150</v>
      </c>
      <c r="D2136">
        <v>61</v>
      </c>
      <c r="E2136" t="s">
        <v>157</v>
      </c>
    </row>
    <row r="2137" spans="1:5" x14ac:dyDescent="0.3">
      <c r="A2137">
        <v>2136</v>
      </c>
      <c r="B2137" s="1" t="s">
        <v>98</v>
      </c>
      <c r="C2137" t="s">
        <v>150</v>
      </c>
      <c r="D2137">
        <v>83</v>
      </c>
      <c r="E2137" t="s">
        <v>157</v>
      </c>
    </row>
    <row r="2138" spans="1:5" x14ac:dyDescent="0.3">
      <c r="A2138">
        <v>2137</v>
      </c>
      <c r="B2138" s="1" t="s">
        <v>106</v>
      </c>
      <c r="C2138" t="s">
        <v>150</v>
      </c>
      <c r="D2138">
        <v>62</v>
      </c>
      <c r="E2138" t="s">
        <v>157</v>
      </c>
    </row>
    <row r="2139" spans="1:5" x14ac:dyDescent="0.3">
      <c r="A2139">
        <v>2138</v>
      </c>
      <c r="B2139" s="1" t="s">
        <v>98</v>
      </c>
      <c r="C2139" t="s">
        <v>150</v>
      </c>
      <c r="D2139">
        <v>87</v>
      </c>
      <c r="E2139" t="s">
        <v>157</v>
      </c>
    </row>
    <row r="2140" spans="1:5" x14ac:dyDescent="0.3">
      <c r="A2140">
        <v>2139</v>
      </c>
      <c r="B2140" s="1" t="s">
        <v>100</v>
      </c>
      <c r="C2140" t="s">
        <v>151</v>
      </c>
      <c r="D2140">
        <v>24</v>
      </c>
      <c r="E2140" t="s">
        <v>157</v>
      </c>
    </row>
    <row r="2141" spans="1:5" x14ac:dyDescent="0.3">
      <c r="A2141">
        <v>2140</v>
      </c>
      <c r="B2141" s="1" t="s">
        <v>98</v>
      </c>
      <c r="C2141" t="s">
        <v>150</v>
      </c>
      <c r="D2141">
        <v>53</v>
      </c>
      <c r="E2141" t="s">
        <v>157</v>
      </c>
    </row>
    <row r="2142" spans="1:5" x14ac:dyDescent="0.3">
      <c r="A2142">
        <v>2141</v>
      </c>
      <c r="B2142" s="1" t="s">
        <v>98</v>
      </c>
      <c r="C2142" t="s">
        <v>150</v>
      </c>
      <c r="D2142">
        <v>53</v>
      </c>
      <c r="E2142" t="s">
        <v>157</v>
      </c>
    </row>
    <row r="2143" spans="1:5" x14ac:dyDescent="0.3">
      <c r="A2143">
        <v>2142</v>
      </c>
      <c r="B2143" s="1" t="s">
        <v>99</v>
      </c>
      <c r="C2143" t="s">
        <v>150</v>
      </c>
      <c r="D2143">
        <v>37</v>
      </c>
      <c r="E2143" t="s">
        <v>157</v>
      </c>
    </row>
    <row r="2144" spans="1:5" x14ac:dyDescent="0.3">
      <c r="A2144">
        <v>2143</v>
      </c>
      <c r="B2144" s="1" t="s">
        <v>98</v>
      </c>
      <c r="C2144" t="s">
        <v>151</v>
      </c>
      <c r="D2144">
        <v>59</v>
      </c>
      <c r="E2144" t="s">
        <v>157</v>
      </c>
    </row>
    <row r="2145" spans="1:5" x14ac:dyDescent="0.3">
      <c r="A2145">
        <v>2144</v>
      </c>
      <c r="B2145" s="1" t="s">
        <v>104</v>
      </c>
      <c r="C2145" t="s">
        <v>150</v>
      </c>
      <c r="D2145">
        <v>59</v>
      </c>
      <c r="E2145" t="s">
        <v>157</v>
      </c>
    </row>
    <row r="2146" spans="1:5" x14ac:dyDescent="0.3">
      <c r="A2146">
        <v>2145</v>
      </c>
      <c r="B2146" s="1" t="s">
        <v>98</v>
      </c>
      <c r="C2146" t="s">
        <v>151</v>
      </c>
      <c r="D2146">
        <v>60</v>
      </c>
      <c r="E2146" t="s">
        <v>157</v>
      </c>
    </row>
    <row r="2147" spans="1:5" x14ac:dyDescent="0.3">
      <c r="A2147">
        <v>2146</v>
      </c>
      <c r="B2147" s="1" t="s">
        <v>98</v>
      </c>
      <c r="C2147" t="s">
        <v>151</v>
      </c>
      <c r="D2147">
        <v>28</v>
      </c>
      <c r="E2147" t="s">
        <v>157</v>
      </c>
    </row>
    <row r="2148" spans="1:5" x14ac:dyDescent="0.3">
      <c r="A2148">
        <v>2147</v>
      </c>
      <c r="B2148" s="1" t="s">
        <v>105</v>
      </c>
      <c r="C2148" t="s">
        <v>150</v>
      </c>
      <c r="D2148">
        <v>52</v>
      </c>
      <c r="E2148" t="s">
        <v>157</v>
      </c>
    </row>
    <row r="2149" spans="1:5" x14ac:dyDescent="0.3">
      <c r="A2149">
        <v>2148</v>
      </c>
      <c r="B2149" s="1" t="s">
        <v>98</v>
      </c>
      <c r="C2149" t="s">
        <v>151</v>
      </c>
      <c r="D2149">
        <v>44</v>
      </c>
      <c r="E2149" t="s">
        <v>157</v>
      </c>
    </row>
    <row r="2150" spans="1:5" x14ac:dyDescent="0.3">
      <c r="A2150">
        <v>2149</v>
      </c>
      <c r="B2150" s="1" t="s">
        <v>99</v>
      </c>
      <c r="C2150" t="s">
        <v>151</v>
      </c>
      <c r="D2150">
        <v>72</v>
      </c>
      <c r="E2150" t="s">
        <v>157</v>
      </c>
    </row>
    <row r="2151" spans="1:5" x14ac:dyDescent="0.3">
      <c r="A2151">
        <v>2150</v>
      </c>
      <c r="B2151" s="1" t="s">
        <v>98</v>
      </c>
      <c r="C2151" t="s">
        <v>151</v>
      </c>
      <c r="D2151">
        <v>18</v>
      </c>
      <c r="E2151" t="s">
        <v>157</v>
      </c>
    </row>
    <row r="2152" spans="1:5" x14ac:dyDescent="0.3">
      <c r="A2152">
        <v>2151</v>
      </c>
      <c r="B2152" s="1" t="s">
        <v>109</v>
      </c>
      <c r="C2152" t="s">
        <v>150</v>
      </c>
      <c r="D2152">
        <v>41</v>
      </c>
      <c r="E2152" t="s">
        <v>157</v>
      </c>
    </row>
    <row r="2153" spans="1:5" x14ac:dyDescent="0.3">
      <c r="A2153">
        <v>2152</v>
      </c>
      <c r="B2153" s="1" t="s">
        <v>98</v>
      </c>
      <c r="C2153" t="s">
        <v>151</v>
      </c>
      <c r="D2153">
        <v>77</v>
      </c>
      <c r="E2153" t="s">
        <v>157</v>
      </c>
    </row>
    <row r="2154" spans="1:5" x14ac:dyDescent="0.3">
      <c r="A2154">
        <v>2153</v>
      </c>
      <c r="B2154" s="1" t="s">
        <v>104</v>
      </c>
      <c r="C2154" t="s">
        <v>150</v>
      </c>
      <c r="D2154">
        <v>87</v>
      </c>
      <c r="E2154" t="s">
        <v>157</v>
      </c>
    </row>
    <row r="2155" spans="1:5" x14ac:dyDescent="0.3">
      <c r="A2155">
        <v>2154</v>
      </c>
      <c r="B2155" s="1" t="s">
        <v>104</v>
      </c>
      <c r="C2155" t="s">
        <v>150</v>
      </c>
      <c r="D2155">
        <v>38</v>
      </c>
      <c r="E2155" t="s">
        <v>157</v>
      </c>
    </row>
    <row r="2156" spans="1:5" x14ac:dyDescent="0.3">
      <c r="A2156">
        <v>2155</v>
      </c>
      <c r="B2156" s="1" t="s">
        <v>99</v>
      </c>
      <c r="C2156" t="s">
        <v>150</v>
      </c>
      <c r="D2156">
        <v>62</v>
      </c>
      <c r="E2156" t="s">
        <v>157</v>
      </c>
    </row>
    <row r="2157" spans="1:5" x14ac:dyDescent="0.3">
      <c r="A2157">
        <v>2156</v>
      </c>
      <c r="B2157" s="1" t="s">
        <v>98</v>
      </c>
      <c r="C2157" t="s">
        <v>151</v>
      </c>
      <c r="D2157">
        <v>74</v>
      </c>
      <c r="E2157" t="s">
        <v>157</v>
      </c>
    </row>
    <row r="2158" spans="1:5" x14ac:dyDescent="0.3">
      <c r="A2158">
        <v>2157</v>
      </c>
      <c r="B2158" s="1" t="s">
        <v>98</v>
      </c>
      <c r="C2158" t="s">
        <v>150</v>
      </c>
      <c r="D2158">
        <v>58</v>
      </c>
      <c r="E2158" t="s">
        <v>157</v>
      </c>
    </row>
    <row r="2159" spans="1:5" x14ac:dyDescent="0.3">
      <c r="A2159">
        <v>2158</v>
      </c>
      <c r="B2159" s="1" t="s">
        <v>98</v>
      </c>
      <c r="C2159" t="s">
        <v>150</v>
      </c>
      <c r="D2159">
        <v>57</v>
      </c>
      <c r="E2159" t="s">
        <v>157</v>
      </c>
    </row>
    <row r="2160" spans="1:5" x14ac:dyDescent="0.3">
      <c r="A2160">
        <v>2159</v>
      </c>
      <c r="B2160" s="1" t="s">
        <v>100</v>
      </c>
      <c r="C2160" t="s">
        <v>151</v>
      </c>
      <c r="D2160">
        <v>58</v>
      </c>
      <c r="E2160" t="s">
        <v>157</v>
      </c>
    </row>
    <row r="2161" spans="1:5" x14ac:dyDescent="0.3">
      <c r="A2161">
        <v>2160</v>
      </c>
      <c r="B2161" s="1" t="s">
        <v>104</v>
      </c>
      <c r="C2161" t="s">
        <v>151</v>
      </c>
      <c r="D2161">
        <v>58</v>
      </c>
      <c r="E2161" t="s">
        <v>157</v>
      </c>
    </row>
    <row r="2162" spans="1:5" x14ac:dyDescent="0.3">
      <c r="A2162">
        <v>2161</v>
      </c>
      <c r="B2162" s="1" t="s">
        <v>104</v>
      </c>
      <c r="C2162" t="s">
        <v>151</v>
      </c>
      <c r="D2162">
        <v>20</v>
      </c>
      <c r="E2162" t="s">
        <v>157</v>
      </c>
    </row>
    <row r="2163" spans="1:5" x14ac:dyDescent="0.3">
      <c r="A2163">
        <v>2162</v>
      </c>
      <c r="B2163" s="1" t="s">
        <v>98</v>
      </c>
      <c r="C2163" t="s">
        <v>150</v>
      </c>
      <c r="D2163">
        <v>42</v>
      </c>
      <c r="E2163" t="s">
        <v>157</v>
      </c>
    </row>
    <row r="2164" spans="1:5" x14ac:dyDescent="0.3">
      <c r="A2164">
        <v>2163</v>
      </c>
      <c r="B2164" s="1" t="s">
        <v>103</v>
      </c>
      <c r="C2164" t="s">
        <v>150</v>
      </c>
      <c r="D2164">
        <v>68</v>
      </c>
      <c r="E2164" t="s">
        <v>157</v>
      </c>
    </row>
    <row r="2165" spans="1:5" x14ac:dyDescent="0.3">
      <c r="A2165">
        <v>2164</v>
      </c>
      <c r="B2165" s="1" t="s">
        <v>99</v>
      </c>
      <c r="C2165" t="s">
        <v>150</v>
      </c>
      <c r="D2165">
        <v>47</v>
      </c>
      <c r="E2165" t="s">
        <v>157</v>
      </c>
    </row>
    <row r="2166" spans="1:5" x14ac:dyDescent="0.3">
      <c r="A2166">
        <v>2165</v>
      </c>
      <c r="B2166" s="1" t="s">
        <v>100</v>
      </c>
      <c r="C2166" t="s">
        <v>150</v>
      </c>
      <c r="D2166">
        <v>23</v>
      </c>
      <c r="E2166" t="s">
        <v>157</v>
      </c>
    </row>
    <row r="2167" spans="1:5" x14ac:dyDescent="0.3">
      <c r="A2167">
        <v>2166</v>
      </c>
      <c r="B2167" s="1" t="s">
        <v>101</v>
      </c>
      <c r="C2167" t="s">
        <v>151</v>
      </c>
      <c r="D2167">
        <v>18</v>
      </c>
      <c r="E2167" t="s">
        <v>157</v>
      </c>
    </row>
    <row r="2168" spans="1:5" x14ac:dyDescent="0.3">
      <c r="A2168">
        <v>2167</v>
      </c>
      <c r="B2168" s="1" t="s">
        <v>98</v>
      </c>
      <c r="C2168" t="s">
        <v>151</v>
      </c>
      <c r="D2168">
        <v>55</v>
      </c>
      <c r="E2168" t="s">
        <v>157</v>
      </c>
    </row>
    <row r="2169" spans="1:5" x14ac:dyDescent="0.3">
      <c r="A2169">
        <v>2168</v>
      </c>
      <c r="B2169" s="1" t="s">
        <v>110</v>
      </c>
      <c r="C2169" t="s">
        <v>150</v>
      </c>
      <c r="D2169">
        <v>73</v>
      </c>
      <c r="E2169" t="s">
        <v>157</v>
      </c>
    </row>
    <row r="2170" spans="1:5" x14ac:dyDescent="0.3">
      <c r="A2170">
        <v>2169</v>
      </c>
      <c r="B2170" s="1" t="s">
        <v>98</v>
      </c>
      <c r="C2170" t="s">
        <v>150</v>
      </c>
      <c r="D2170">
        <v>44</v>
      </c>
      <c r="E2170" t="s">
        <v>157</v>
      </c>
    </row>
    <row r="2171" spans="1:5" x14ac:dyDescent="0.3">
      <c r="A2171">
        <v>2170</v>
      </c>
      <c r="B2171" s="1" t="s">
        <v>98</v>
      </c>
      <c r="C2171" t="s">
        <v>151</v>
      </c>
      <c r="D2171">
        <v>46</v>
      </c>
      <c r="E2171" t="s">
        <v>157</v>
      </c>
    </row>
    <row r="2172" spans="1:5" x14ac:dyDescent="0.3">
      <c r="A2172">
        <v>2171</v>
      </c>
      <c r="B2172" s="1" t="s">
        <v>99</v>
      </c>
      <c r="C2172" t="s">
        <v>150</v>
      </c>
      <c r="D2172">
        <v>57</v>
      </c>
      <c r="E2172" t="s">
        <v>157</v>
      </c>
    </row>
    <row r="2173" spans="1:5" x14ac:dyDescent="0.3">
      <c r="A2173">
        <v>2172</v>
      </c>
      <c r="B2173" s="1" t="s">
        <v>100</v>
      </c>
      <c r="C2173" t="s">
        <v>150</v>
      </c>
      <c r="D2173">
        <v>64</v>
      </c>
      <c r="E2173" t="s">
        <v>157</v>
      </c>
    </row>
    <row r="2174" spans="1:5" x14ac:dyDescent="0.3">
      <c r="A2174">
        <v>2173</v>
      </c>
      <c r="B2174" s="1" t="s">
        <v>98</v>
      </c>
      <c r="C2174" t="s">
        <v>150</v>
      </c>
      <c r="D2174">
        <v>49</v>
      </c>
      <c r="E2174" t="s">
        <v>157</v>
      </c>
    </row>
    <row r="2175" spans="1:5" x14ac:dyDescent="0.3">
      <c r="A2175">
        <v>2174</v>
      </c>
      <c r="B2175" s="1" t="s">
        <v>98</v>
      </c>
      <c r="C2175" t="s">
        <v>151</v>
      </c>
      <c r="D2175">
        <v>38</v>
      </c>
      <c r="E2175" t="s">
        <v>157</v>
      </c>
    </row>
    <row r="2176" spans="1:5" x14ac:dyDescent="0.3">
      <c r="A2176">
        <v>2175</v>
      </c>
      <c r="B2176" s="1" t="s">
        <v>98</v>
      </c>
      <c r="C2176" t="s">
        <v>150</v>
      </c>
      <c r="D2176">
        <v>41</v>
      </c>
      <c r="E2176" t="s">
        <v>157</v>
      </c>
    </row>
    <row r="2177" spans="1:5" x14ac:dyDescent="0.3">
      <c r="A2177">
        <v>2176</v>
      </c>
      <c r="B2177" s="1" t="s">
        <v>98</v>
      </c>
      <c r="C2177" t="s">
        <v>150</v>
      </c>
      <c r="D2177">
        <v>36</v>
      </c>
      <c r="E2177" t="s">
        <v>157</v>
      </c>
    </row>
    <row r="2178" spans="1:5" x14ac:dyDescent="0.3">
      <c r="A2178">
        <v>2177</v>
      </c>
      <c r="B2178" s="1" t="s">
        <v>104</v>
      </c>
      <c r="C2178" t="s">
        <v>151</v>
      </c>
      <c r="D2178">
        <v>68</v>
      </c>
      <c r="E2178" t="s">
        <v>157</v>
      </c>
    </row>
    <row r="2179" spans="1:5" x14ac:dyDescent="0.3">
      <c r="A2179">
        <v>2178</v>
      </c>
      <c r="B2179" s="1" t="s">
        <v>99</v>
      </c>
      <c r="C2179" t="s">
        <v>150</v>
      </c>
      <c r="D2179">
        <v>73</v>
      </c>
      <c r="E2179" t="s">
        <v>157</v>
      </c>
    </row>
    <row r="2180" spans="1:5" x14ac:dyDescent="0.3">
      <c r="A2180">
        <v>2179</v>
      </c>
      <c r="B2180" s="1" t="s">
        <v>108</v>
      </c>
      <c r="C2180" t="s">
        <v>150</v>
      </c>
      <c r="D2180">
        <v>69</v>
      </c>
      <c r="E2180" t="s">
        <v>157</v>
      </c>
    </row>
    <row r="2181" spans="1:5" x14ac:dyDescent="0.3">
      <c r="A2181">
        <v>2180</v>
      </c>
      <c r="B2181" s="1" t="s">
        <v>98</v>
      </c>
      <c r="C2181" t="s">
        <v>151</v>
      </c>
      <c r="D2181">
        <v>28</v>
      </c>
      <c r="E2181" t="s">
        <v>157</v>
      </c>
    </row>
    <row r="2182" spans="1:5" x14ac:dyDescent="0.3">
      <c r="A2182">
        <v>2181</v>
      </c>
      <c r="B2182" s="1" t="s">
        <v>98</v>
      </c>
      <c r="C2182" t="s">
        <v>151</v>
      </c>
      <c r="D2182">
        <v>26</v>
      </c>
      <c r="E2182" t="s">
        <v>157</v>
      </c>
    </row>
    <row r="2183" spans="1:5" x14ac:dyDescent="0.3">
      <c r="A2183">
        <v>2182</v>
      </c>
      <c r="B2183" s="1" t="s">
        <v>98</v>
      </c>
      <c r="C2183" t="s">
        <v>151</v>
      </c>
      <c r="D2183">
        <v>64</v>
      </c>
      <c r="E2183" t="s">
        <v>157</v>
      </c>
    </row>
    <row r="2184" spans="1:5" x14ac:dyDescent="0.3">
      <c r="A2184">
        <v>2183</v>
      </c>
      <c r="B2184" s="1" t="s">
        <v>98</v>
      </c>
      <c r="C2184" t="s">
        <v>151</v>
      </c>
      <c r="D2184">
        <v>53</v>
      </c>
      <c r="E2184" t="s">
        <v>157</v>
      </c>
    </row>
    <row r="2185" spans="1:5" x14ac:dyDescent="0.3">
      <c r="A2185">
        <v>2184</v>
      </c>
      <c r="B2185" s="1" t="s">
        <v>106</v>
      </c>
      <c r="C2185" t="s">
        <v>150</v>
      </c>
      <c r="D2185">
        <v>28</v>
      </c>
      <c r="E2185" t="s">
        <v>157</v>
      </c>
    </row>
    <row r="2186" spans="1:5" x14ac:dyDescent="0.3">
      <c r="A2186">
        <v>2185</v>
      </c>
      <c r="B2186" s="1" t="s">
        <v>100</v>
      </c>
      <c r="C2186" t="s">
        <v>150</v>
      </c>
      <c r="D2186">
        <v>45</v>
      </c>
      <c r="E2186" t="s">
        <v>157</v>
      </c>
    </row>
    <row r="2187" spans="1:5" x14ac:dyDescent="0.3">
      <c r="A2187">
        <v>2186</v>
      </c>
      <c r="B2187" s="1" t="s">
        <v>98</v>
      </c>
      <c r="C2187" t="s">
        <v>150</v>
      </c>
      <c r="D2187">
        <v>39</v>
      </c>
      <c r="E2187" t="s">
        <v>157</v>
      </c>
    </row>
    <row r="2188" spans="1:5" x14ac:dyDescent="0.3">
      <c r="A2188">
        <v>2187</v>
      </c>
      <c r="B2188" s="1" t="s">
        <v>99</v>
      </c>
      <c r="C2188" t="s">
        <v>150</v>
      </c>
      <c r="D2188">
        <v>83</v>
      </c>
      <c r="E2188" t="s">
        <v>157</v>
      </c>
    </row>
    <row r="2189" spans="1:5" x14ac:dyDescent="0.3">
      <c r="A2189">
        <v>2188</v>
      </c>
      <c r="B2189" s="1" t="s">
        <v>104</v>
      </c>
      <c r="C2189" t="s">
        <v>150</v>
      </c>
      <c r="D2189">
        <v>39</v>
      </c>
      <c r="E2189" t="s">
        <v>157</v>
      </c>
    </row>
    <row r="2190" spans="1:5" x14ac:dyDescent="0.3">
      <c r="A2190">
        <v>2189</v>
      </c>
      <c r="B2190" s="1" t="s">
        <v>98</v>
      </c>
      <c r="C2190" t="s">
        <v>150</v>
      </c>
      <c r="D2190">
        <v>62</v>
      </c>
      <c r="E2190" t="s">
        <v>157</v>
      </c>
    </row>
    <row r="2191" spans="1:5" x14ac:dyDescent="0.3">
      <c r="A2191">
        <v>2190</v>
      </c>
      <c r="B2191" s="1" t="s">
        <v>99</v>
      </c>
      <c r="C2191" t="s">
        <v>151</v>
      </c>
      <c r="D2191">
        <v>70</v>
      </c>
      <c r="E2191" t="s">
        <v>157</v>
      </c>
    </row>
    <row r="2192" spans="1:5" x14ac:dyDescent="0.3">
      <c r="A2192">
        <v>2191</v>
      </c>
      <c r="B2192" s="1" t="s">
        <v>109</v>
      </c>
      <c r="C2192" t="s">
        <v>150</v>
      </c>
      <c r="D2192">
        <v>26</v>
      </c>
      <c r="E2192" t="s">
        <v>157</v>
      </c>
    </row>
    <row r="2193" spans="1:5" x14ac:dyDescent="0.3">
      <c r="A2193">
        <v>2192</v>
      </c>
      <c r="B2193" s="1" t="s">
        <v>98</v>
      </c>
      <c r="C2193" t="s">
        <v>150</v>
      </c>
      <c r="D2193">
        <v>28</v>
      </c>
      <c r="E2193" t="s">
        <v>157</v>
      </c>
    </row>
    <row r="2194" spans="1:5" x14ac:dyDescent="0.3">
      <c r="A2194">
        <v>2193</v>
      </c>
      <c r="B2194" s="1" t="s">
        <v>98</v>
      </c>
      <c r="C2194" t="s">
        <v>150</v>
      </c>
      <c r="D2194">
        <v>24</v>
      </c>
      <c r="E2194" t="s">
        <v>157</v>
      </c>
    </row>
    <row r="2195" spans="1:5" x14ac:dyDescent="0.3">
      <c r="A2195">
        <v>2194</v>
      </c>
      <c r="B2195" s="1" t="s">
        <v>98</v>
      </c>
      <c r="C2195" t="s">
        <v>151</v>
      </c>
      <c r="D2195">
        <v>81</v>
      </c>
      <c r="E2195" t="s">
        <v>157</v>
      </c>
    </row>
    <row r="2196" spans="1:5" x14ac:dyDescent="0.3">
      <c r="A2196">
        <v>2195</v>
      </c>
      <c r="B2196" s="1" t="s">
        <v>98</v>
      </c>
      <c r="C2196" t="s">
        <v>151</v>
      </c>
      <c r="D2196">
        <v>49</v>
      </c>
      <c r="E2196" t="s">
        <v>157</v>
      </c>
    </row>
    <row r="2197" spans="1:5" x14ac:dyDescent="0.3">
      <c r="A2197">
        <v>2196</v>
      </c>
      <c r="B2197" s="1" t="s">
        <v>104</v>
      </c>
      <c r="C2197" t="s">
        <v>151</v>
      </c>
      <c r="D2197">
        <v>79</v>
      </c>
      <c r="E2197" t="s">
        <v>157</v>
      </c>
    </row>
    <row r="2198" spans="1:5" x14ac:dyDescent="0.3">
      <c r="A2198">
        <v>2197</v>
      </c>
      <c r="B2198" s="1" t="s">
        <v>99</v>
      </c>
      <c r="C2198" t="s">
        <v>150</v>
      </c>
      <c r="D2198">
        <v>85</v>
      </c>
      <c r="E2198" t="s">
        <v>157</v>
      </c>
    </row>
    <row r="2199" spans="1:5" x14ac:dyDescent="0.3">
      <c r="A2199">
        <v>2198</v>
      </c>
      <c r="B2199" s="1" t="s">
        <v>104</v>
      </c>
      <c r="C2199" t="s">
        <v>151</v>
      </c>
      <c r="D2199">
        <v>30</v>
      </c>
      <c r="E2199" t="s">
        <v>157</v>
      </c>
    </row>
    <row r="2200" spans="1:5" x14ac:dyDescent="0.3">
      <c r="A2200">
        <v>2199</v>
      </c>
      <c r="B2200" s="1" t="s">
        <v>108</v>
      </c>
      <c r="C2200" t="s">
        <v>150</v>
      </c>
      <c r="D2200">
        <v>50</v>
      </c>
      <c r="E2200" t="s">
        <v>157</v>
      </c>
    </row>
    <row r="2201" spans="1:5" x14ac:dyDescent="0.3">
      <c r="A2201">
        <v>2200</v>
      </c>
      <c r="B2201" s="1" t="s">
        <v>99</v>
      </c>
      <c r="C2201" t="s">
        <v>151</v>
      </c>
      <c r="D2201">
        <v>52</v>
      </c>
      <c r="E2201" t="s">
        <v>157</v>
      </c>
    </row>
    <row r="2202" spans="1:5" x14ac:dyDescent="0.3">
      <c r="A2202">
        <v>2201</v>
      </c>
      <c r="B2202" s="1" t="s">
        <v>101</v>
      </c>
      <c r="C2202" t="s">
        <v>151</v>
      </c>
      <c r="D2202">
        <v>80</v>
      </c>
      <c r="E2202" t="s">
        <v>157</v>
      </c>
    </row>
    <row r="2203" spans="1:5" x14ac:dyDescent="0.3">
      <c r="A2203">
        <v>2202</v>
      </c>
      <c r="B2203" s="1" t="s">
        <v>105</v>
      </c>
      <c r="C2203" t="s">
        <v>150</v>
      </c>
      <c r="D2203">
        <v>40</v>
      </c>
      <c r="E2203" t="s">
        <v>157</v>
      </c>
    </row>
    <row r="2204" spans="1:5" x14ac:dyDescent="0.3">
      <c r="A2204">
        <v>2203</v>
      </c>
      <c r="B2204" s="1" t="s">
        <v>99</v>
      </c>
      <c r="C2204" t="s">
        <v>150</v>
      </c>
      <c r="D2204">
        <v>43</v>
      </c>
      <c r="E2204" t="s">
        <v>157</v>
      </c>
    </row>
    <row r="2205" spans="1:5" x14ac:dyDescent="0.3">
      <c r="A2205">
        <v>2204</v>
      </c>
      <c r="B2205" s="1" t="s">
        <v>98</v>
      </c>
      <c r="C2205" t="s">
        <v>151</v>
      </c>
      <c r="D2205">
        <v>67</v>
      </c>
      <c r="E2205" t="s">
        <v>157</v>
      </c>
    </row>
    <row r="2206" spans="1:5" x14ac:dyDescent="0.3">
      <c r="A2206">
        <v>2205</v>
      </c>
      <c r="B2206" s="1" t="s">
        <v>104</v>
      </c>
      <c r="C2206" t="s">
        <v>151</v>
      </c>
      <c r="D2206">
        <v>67</v>
      </c>
      <c r="E2206" t="s">
        <v>157</v>
      </c>
    </row>
    <row r="2207" spans="1:5" x14ac:dyDescent="0.3">
      <c r="A2207">
        <v>2206</v>
      </c>
      <c r="B2207" s="1" t="s">
        <v>106</v>
      </c>
      <c r="C2207" t="s">
        <v>151</v>
      </c>
      <c r="D2207">
        <v>37</v>
      </c>
      <c r="E2207" t="s">
        <v>157</v>
      </c>
    </row>
    <row r="2208" spans="1:5" x14ac:dyDescent="0.3">
      <c r="A2208">
        <v>2207</v>
      </c>
      <c r="B2208" s="1" t="s">
        <v>104</v>
      </c>
      <c r="C2208" t="s">
        <v>151</v>
      </c>
      <c r="D2208">
        <v>57</v>
      </c>
      <c r="E2208" t="s">
        <v>157</v>
      </c>
    </row>
    <row r="2209" spans="1:5" x14ac:dyDescent="0.3">
      <c r="A2209">
        <v>2208</v>
      </c>
      <c r="B2209" s="1" t="s">
        <v>98</v>
      </c>
      <c r="C2209" t="s">
        <v>151</v>
      </c>
      <c r="D2209">
        <v>61</v>
      </c>
      <c r="E2209" t="s">
        <v>157</v>
      </c>
    </row>
    <row r="2210" spans="1:5" x14ac:dyDescent="0.3">
      <c r="A2210">
        <v>2209</v>
      </c>
      <c r="B2210" s="1" t="s">
        <v>107</v>
      </c>
      <c r="C2210" t="s">
        <v>151</v>
      </c>
      <c r="D2210">
        <v>86</v>
      </c>
      <c r="E2210" t="s">
        <v>157</v>
      </c>
    </row>
    <row r="2211" spans="1:5" x14ac:dyDescent="0.3">
      <c r="A2211">
        <v>2210</v>
      </c>
      <c r="B2211" s="1" t="s">
        <v>100</v>
      </c>
      <c r="C2211" t="s">
        <v>150</v>
      </c>
      <c r="D2211">
        <v>67</v>
      </c>
      <c r="E2211" t="s">
        <v>157</v>
      </c>
    </row>
    <row r="2212" spans="1:5" x14ac:dyDescent="0.3">
      <c r="A2212">
        <v>2211</v>
      </c>
      <c r="B2212" s="1" t="s">
        <v>106</v>
      </c>
      <c r="C2212" t="s">
        <v>150</v>
      </c>
      <c r="D2212">
        <v>53</v>
      </c>
      <c r="E2212" t="s">
        <v>157</v>
      </c>
    </row>
    <row r="2213" spans="1:5" x14ac:dyDescent="0.3">
      <c r="A2213">
        <v>2212</v>
      </c>
      <c r="B2213" s="1" t="s">
        <v>99</v>
      </c>
      <c r="C2213" t="s">
        <v>150</v>
      </c>
      <c r="D2213">
        <v>80</v>
      </c>
      <c r="E2213" t="s">
        <v>157</v>
      </c>
    </row>
    <row r="2214" spans="1:5" x14ac:dyDescent="0.3">
      <c r="A2214">
        <v>2213</v>
      </c>
      <c r="B2214" s="1" t="s">
        <v>100</v>
      </c>
      <c r="C2214" t="s">
        <v>151</v>
      </c>
      <c r="D2214">
        <v>79</v>
      </c>
      <c r="E2214" t="s">
        <v>157</v>
      </c>
    </row>
    <row r="2215" spans="1:5" x14ac:dyDescent="0.3">
      <c r="A2215">
        <v>2214</v>
      </c>
      <c r="B2215" s="1" t="s">
        <v>98</v>
      </c>
      <c r="C2215" t="s">
        <v>150</v>
      </c>
      <c r="D2215">
        <v>32</v>
      </c>
      <c r="E2215" t="s">
        <v>157</v>
      </c>
    </row>
    <row r="2216" spans="1:5" x14ac:dyDescent="0.3">
      <c r="A2216">
        <v>2215</v>
      </c>
      <c r="B2216" s="1" t="s">
        <v>104</v>
      </c>
      <c r="C2216" t="s">
        <v>150</v>
      </c>
      <c r="D2216">
        <v>73</v>
      </c>
      <c r="E2216" t="s">
        <v>157</v>
      </c>
    </row>
    <row r="2217" spans="1:5" x14ac:dyDescent="0.3">
      <c r="A2217">
        <v>2216</v>
      </c>
      <c r="B2217" s="1" t="s">
        <v>98</v>
      </c>
      <c r="C2217" t="s">
        <v>151</v>
      </c>
      <c r="D2217">
        <v>36</v>
      </c>
      <c r="E2217" t="s">
        <v>157</v>
      </c>
    </row>
    <row r="2218" spans="1:5" x14ac:dyDescent="0.3">
      <c r="A2218">
        <v>2217</v>
      </c>
      <c r="B2218" s="1" t="s">
        <v>104</v>
      </c>
      <c r="C2218" t="s">
        <v>151</v>
      </c>
      <c r="D2218">
        <v>18</v>
      </c>
      <c r="E2218" t="s">
        <v>157</v>
      </c>
    </row>
    <row r="2219" spans="1:5" x14ac:dyDescent="0.3">
      <c r="A2219">
        <v>2218</v>
      </c>
      <c r="B2219" s="1" t="s">
        <v>98</v>
      </c>
      <c r="C2219" t="s">
        <v>150</v>
      </c>
      <c r="D2219">
        <v>37</v>
      </c>
      <c r="E2219" t="s">
        <v>157</v>
      </c>
    </row>
    <row r="2220" spans="1:5" x14ac:dyDescent="0.3">
      <c r="A2220">
        <v>2219</v>
      </c>
      <c r="B2220" s="1" t="s">
        <v>103</v>
      </c>
      <c r="C2220" t="s">
        <v>150</v>
      </c>
      <c r="D2220">
        <v>19</v>
      </c>
      <c r="E2220" t="s">
        <v>157</v>
      </c>
    </row>
    <row r="2221" spans="1:5" x14ac:dyDescent="0.3">
      <c r="A2221">
        <v>2220</v>
      </c>
      <c r="B2221" s="1" t="s">
        <v>100</v>
      </c>
      <c r="C2221" t="s">
        <v>151</v>
      </c>
      <c r="D2221" s="15">
        <v>24.666666666666668</v>
      </c>
      <c r="E2221" t="s">
        <v>157</v>
      </c>
    </row>
    <row r="2222" spans="1:5" x14ac:dyDescent="0.3">
      <c r="A2222">
        <v>2221</v>
      </c>
      <c r="B2222" s="1" t="s">
        <v>100</v>
      </c>
      <c r="C2222" t="s">
        <v>151</v>
      </c>
      <c r="D2222">
        <v>69</v>
      </c>
      <c r="E2222" t="s">
        <v>157</v>
      </c>
    </row>
    <row r="2223" spans="1:5" x14ac:dyDescent="0.3">
      <c r="A2223">
        <v>2222</v>
      </c>
      <c r="B2223" s="1" t="s">
        <v>98</v>
      </c>
      <c r="C2223" t="s">
        <v>151</v>
      </c>
      <c r="D2223">
        <v>23</v>
      </c>
      <c r="E2223" t="s">
        <v>157</v>
      </c>
    </row>
    <row r="2224" spans="1:5" x14ac:dyDescent="0.3">
      <c r="A2224">
        <v>2223</v>
      </c>
      <c r="B2224" s="1" t="s">
        <v>98</v>
      </c>
      <c r="C2224" t="s">
        <v>150</v>
      </c>
      <c r="D2224">
        <v>85</v>
      </c>
      <c r="E2224" t="s">
        <v>157</v>
      </c>
    </row>
    <row r="2225" spans="1:5" x14ac:dyDescent="0.3">
      <c r="A2225">
        <v>2224</v>
      </c>
      <c r="B2225" s="1" t="s">
        <v>98</v>
      </c>
      <c r="C2225" t="s">
        <v>150</v>
      </c>
      <c r="D2225">
        <v>82</v>
      </c>
      <c r="E2225" t="s">
        <v>157</v>
      </c>
    </row>
    <row r="2226" spans="1:5" x14ac:dyDescent="0.3">
      <c r="A2226">
        <v>2225</v>
      </c>
      <c r="B2226" s="1" t="s">
        <v>98</v>
      </c>
      <c r="C2226" t="s">
        <v>151</v>
      </c>
      <c r="D2226">
        <v>89</v>
      </c>
      <c r="E2226" t="s">
        <v>157</v>
      </c>
    </row>
    <row r="2227" spans="1:5" x14ac:dyDescent="0.3">
      <c r="A2227">
        <v>2226</v>
      </c>
      <c r="B2227" s="1" t="s">
        <v>99</v>
      </c>
      <c r="C2227" t="s">
        <v>151</v>
      </c>
      <c r="D2227">
        <v>66</v>
      </c>
      <c r="E2227" t="s">
        <v>157</v>
      </c>
    </row>
    <row r="2228" spans="1:5" x14ac:dyDescent="0.3">
      <c r="A2228">
        <v>2227</v>
      </c>
      <c r="B2228" s="1" t="s">
        <v>98</v>
      </c>
      <c r="C2228" t="s">
        <v>151</v>
      </c>
      <c r="D2228">
        <v>70</v>
      </c>
      <c r="E2228" t="s">
        <v>157</v>
      </c>
    </row>
    <row r="2229" spans="1:5" x14ac:dyDescent="0.3">
      <c r="A2229">
        <v>2228</v>
      </c>
      <c r="B2229" s="1" t="s">
        <v>106</v>
      </c>
      <c r="C2229" t="s">
        <v>151</v>
      </c>
      <c r="D2229">
        <v>46</v>
      </c>
      <c r="E2229" t="s">
        <v>157</v>
      </c>
    </row>
    <row r="2230" spans="1:5" x14ac:dyDescent="0.3">
      <c r="A2230">
        <v>2229</v>
      </c>
      <c r="B2230" s="1" t="s">
        <v>107</v>
      </c>
      <c r="C2230" t="s">
        <v>151</v>
      </c>
      <c r="D2230">
        <v>38</v>
      </c>
      <c r="E2230" t="s">
        <v>157</v>
      </c>
    </row>
    <row r="2231" spans="1:5" x14ac:dyDescent="0.3">
      <c r="A2231">
        <v>2230</v>
      </c>
      <c r="B2231" s="1" t="s">
        <v>100</v>
      </c>
      <c r="C2231" t="s">
        <v>151</v>
      </c>
      <c r="D2231">
        <v>65</v>
      </c>
      <c r="E2231" t="s">
        <v>157</v>
      </c>
    </row>
    <row r="2232" spans="1:5" x14ac:dyDescent="0.3">
      <c r="A2232">
        <v>2231</v>
      </c>
      <c r="B2232" s="1" t="s">
        <v>99</v>
      </c>
      <c r="C2232" t="s">
        <v>150</v>
      </c>
      <c r="D2232">
        <v>76</v>
      </c>
      <c r="E2232" t="s">
        <v>157</v>
      </c>
    </row>
    <row r="2233" spans="1:5" x14ac:dyDescent="0.3">
      <c r="A2233">
        <v>2232</v>
      </c>
      <c r="B2233" s="1" t="s">
        <v>98</v>
      </c>
      <c r="C2233" t="s">
        <v>150</v>
      </c>
      <c r="D2233">
        <v>57</v>
      </c>
      <c r="E2233" t="s">
        <v>157</v>
      </c>
    </row>
    <row r="2234" spans="1:5" x14ac:dyDescent="0.3">
      <c r="A2234">
        <v>2233</v>
      </c>
      <c r="B2234" s="1" t="s">
        <v>108</v>
      </c>
      <c r="C2234" t="s">
        <v>151</v>
      </c>
      <c r="D2234">
        <v>52</v>
      </c>
      <c r="E2234" t="s">
        <v>157</v>
      </c>
    </row>
    <row r="2235" spans="1:5" x14ac:dyDescent="0.3">
      <c r="A2235">
        <v>2234</v>
      </c>
      <c r="B2235" s="1" t="s">
        <v>109</v>
      </c>
      <c r="C2235" t="s">
        <v>150</v>
      </c>
      <c r="D2235">
        <v>47</v>
      </c>
      <c r="E2235" t="s">
        <v>157</v>
      </c>
    </row>
    <row r="2236" spans="1:5" x14ac:dyDescent="0.3">
      <c r="A2236">
        <v>2235</v>
      </c>
      <c r="B2236" s="1" t="s">
        <v>104</v>
      </c>
      <c r="C2236" t="s">
        <v>150</v>
      </c>
      <c r="D2236">
        <v>65</v>
      </c>
      <c r="E2236" t="s">
        <v>157</v>
      </c>
    </row>
    <row r="2237" spans="1:5" x14ac:dyDescent="0.3">
      <c r="A2237">
        <v>2236</v>
      </c>
      <c r="B2237" s="1" t="s">
        <v>98</v>
      </c>
      <c r="C2237" t="s">
        <v>151</v>
      </c>
      <c r="D2237">
        <v>80</v>
      </c>
      <c r="E2237" t="s">
        <v>157</v>
      </c>
    </row>
    <row r="2238" spans="1:5" x14ac:dyDescent="0.3">
      <c r="A2238">
        <v>2237</v>
      </c>
      <c r="B2238" s="1" t="s">
        <v>104</v>
      </c>
      <c r="C2238" t="s">
        <v>151</v>
      </c>
      <c r="D2238">
        <v>65</v>
      </c>
      <c r="E2238" t="s">
        <v>157</v>
      </c>
    </row>
    <row r="2239" spans="1:5" x14ac:dyDescent="0.3">
      <c r="A2239">
        <v>2238</v>
      </c>
      <c r="B2239" s="1" t="s">
        <v>105</v>
      </c>
      <c r="C2239" t="s">
        <v>150</v>
      </c>
      <c r="D2239">
        <v>43</v>
      </c>
      <c r="E2239" t="s">
        <v>157</v>
      </c>
    </row>
    <row r="2240" spans="1:5" x14ac:dyDescent="0.3">
      <c r="A2240">
        <v>2239</v>
      </c>
      <c r="B2240" s="1" t="s">
        <v>98</v>
      </c>
      <c r="C2240" t="s">
        <v>151</v>
      </c>
      <c r="D2240">
        <v>36</v>
      </c>
      <c r="E2240" t="s">
        <v>157</v>
      </c>
    </row>
    <row r="2241" spans="1:5" x14ac:dyDescent="0.3">
      <c r="A2241">
        <v>2240</v>
      </c>
      <c r="B2241" s="1" t="s">
        <v>99</v>
      </c>
      <c r="C2241" t="s">
        <v>151</v>
      </c>
      <c r="D2241">
        <v>83</v>
      </c>
      <c r="E2241" t="s">
        <v>157</v>
      </c>
    </row>
    <row r="2242" spans="1:5" x14ac:dyDescent="0.3">
      <c r="A2242">
        <v>2241</v>
      </c>
      <c r="B2242" s="1" t="s">
        <v>104</v>
      </c>
      <c r="C2242" t="s">
        <v>150</v>
      </c>
      <c r="D2242">
        <v>67</v>
      </c>
      <c r="E2242" t="s">
        <v>157</v>
      </c>
    </row>
    <row r="2243" spans="1:5" x14ac:dyDescent="0.3">
      <c r="A2243">
        <v>2242</v>
      </c>
      <c r="B2243" s="1" t="s">
        <v>99</v>
      </c>
      <c r="C2243" t="s">
        <v>151</v>
      </c>
      <c r="D2243">
        <v>77</v>
      </c>
      <c r="E2243" t="s">
        <v>157</v>
      </c>
    </row>
    <row r="2244" spans="1:5" x14ac:dyDescent="0.3">
      <c r="A2244">
        <v>2243</v>
      </c>
      <c r="B2244" s="1" t="s">
        <v>104</v>
      </c>
      <c r="C2244" t="s">
        <v>150</v>
      </c>
      <c r="D2244">
        <v>79</v>
      </c>
      <c r="E2244" t="s">
        <v>157</v>
      </c>
    </row>
    <row r="2245" spans="1:5" x14ac:dyDescent="0.3">
      <c r="A2245">
        <v>2244</v>
      </c>
      <c r="B2245" s="1" t="s">
        <v>98</v>
      </c>
      <c r="C2245" t="s">
        <v>151</v>
      </c>
      <c r="D2245">
        <v>51</v>
      </c>
      <c r="E2245" t="s">
        <v>157</v>
      </c>
    </row>
    <row r="2246" spans="1:5" x14ac:dyDescent="0.3">
      <c r="A2246">
        <v>2245</v>
      </c>
      <c r="B2246" s="1" t="s">
        <v>104</v>
      </c>
      <c r="C2246" t="s">
        <v>150</v>
      </c>
      <c r="D2246">
        <v>61</v>
      </c>
      <c r="E2246" t="s">
        <v>157</v>
      </c>
    </row>
    <row r="2247" spans="1:5" x14ac:dyDescent="0.3">
      <c r="A2247">
        <v>2246</v>
      </c>
      <c r="B2247" s="1" t="s">
        <v>100</v>
      </c>
      <c r="C2247" t="s">
        <v>150</v>
      </c>
      <c r="D2247">
        <v>76</v>
      </c>
      <c r="E2247" t="s">
        <v>157</v>
      </c>
    </row>
    <row r="2248" spans="1:5" x14ac:dyDescent="0.3">
      <c r="A2248">
        <v>2247</v>
      </c>
      <c r="B2248" s="1" t="s">
        <v>107</v>
      </c>
      <c r="C2248" t="s">
        <v>151</v>
      </c>
      <c r="D2248">
        <v>71</v>
      </c>
      <c r="E2248" t="s">
        <v>157</v>
      </c>
    </row>
    <row r="2249" spans="1:5" x14ac:dyDescent="0.3">
      <c r="A2249">
        <v>2248</v>
      </c>
      <c r="B2249" s="1" t="s">
        <v>98</v>
      </c>
      <c r="C2249" t="s">
        <v>151</v>
      </c>
      <c r="D2249">
        <v>68</v>
      </c>
      <c r="E2249" t="s">
        <v>157</v>
      </c>
    </row>
    <row r="2250" spans="1:5" x14ac:dyDescent="0.3">
      <c r="A2250">
        <v>2249</v>
      </c>
      <c r="B2250" s="1" t="s">
        <v>108</v>
      </c>
      <c r="C2250" t="s">
        <v>150</v>
      </c>
      <c r="D2250">
        <v>35</v>
      </c>
      <c r="E2250" t="s">
        <v>157</v>
      </c>
    </row>
    <row r="2251" spans="1:5" x14ac:dyDescent="0.3">
      <c r="A2251">
        <v>2250</v>
      </c>
      <c r="B2251" s="1" t="s">
        <v>98</v>
      </c>
      <c r="C2251" t="s">
        <v>150</v>
      </c>
      <c r="D2251">
        <v>79</v>
      </c>
      <c r="E2251" t="s">
        <v>157</v>
      </c>
    </row>
    <row r="2252" spans="1:5" x14ac:dyDescent="0.3">
      <c r="A2252">
        <v>2251</v>
      </c>
      <c r="B2252" s="1" t="s">
        <v>99</v>
      </c>
      <c r="C2252" t="s">
        <v>150</v>
      </c>
      <c r="D2252">
        <v>75</v>
      </c>
      <c r="E2252" t="s">
        <v>157</v>
      </c>
    </row>
    <row r="2253" spans="1:5" x14ac:dyDescent="0.3">
      <c r="A2253">
        <v>2252</v>
      </c>
      <c r="B2253" s="1" t="s">
        <v>103</v>
      </c>
      <c r="C2253" t="s">
        <v>150</v>
      </c>
      <c r="D2253">
        <v>21</v>
      </c>
      <c r="E2253" t="s">
        <v>157</v>
      </c>
    </row>
    <row r="2254" spans="1:5" x14ac:dyDescent="0.3">
      <c r="A2254">
        <v>2253</v>
      </c>
      <c r="B2254" s="1" t="s">
        <v>98</v>
      </c>
      <c r="C2254" t="s">
        <v>150</v>
      </c>
      <c r="D2254">
        <v>26</v>
      </c>
      <c r="E2254" t="s">
        <v>157</v>
      </c>
    </row>
    <row r="2255" spans="1:5" x14ac:dyDescent="0.3">
      <c r="A2255">
        <v>2254</v>
      </c>
      <c r="B2255" s="1" t="s">
        <v>98</v>
      </c>
      <c r="C2255" t="s">
        <v>151</v>
      </c>
      <c r="D2255">
        <v>38</v>
      </c>
      <c r="E2255" t="s">
        <v>157</v>
      </c>
    </row>
    <row r="2256" spans="1:5" x14ac:dyDescent="0.3">
      <c r="A2256">
        <v>2255</v>
      </c>
      <c r="B2256" s="1" t="s">
        <v>106</v>
      </c>
      <c r="C2256" t="s">
        <v>151</v>
      </c>
      <c r="D2256">
        <v>45</v>
      </c>
      <c r="E2256" t="s">
        <v>157</v>
      </c>
    </row>
    <row r="2257" spans="1:5" x14ac:dyDescent="0.3">
      <c r="A2257">
        <v>2256</v>
      </c>
      <c r="B2257" s="1" t="s">
        <v>98</v>
      </c>
      <c r="C2257" t="s">
        <v>150</v>
      </c>
      <c r="D2257">
        <v>43</v>
      </c>
      <c r="E2257" t="s">
        <v>157</v>
      </c>
    </row>
    <row r="2258" spans="1:5" x14ac:dyDescent="0.3">
      <c r="A2258">
        <v>2257</v>
      </c>
      <c r="B2258" s="1" t="s">
        <v>98</v>
      </c>
      <c r="C2258" t="s">
        <v>151</v>
      </c>
      <c r="D2258">
        <v>59</v>
      </c>
      <c r="E2258" t="s">
        <v>157</v>
      </c>
    </row>
    <row r="2259" spans="1:5" x14ac:dyDescent="0.3">
      <c r="A2259">
        <v>2258</v>
      </c>
      <c r="B2259" s="1" t="s">
        <v>105</v>
      </c>
      <c r="C2259" t="s">
        <v>150</v>
      </c>
      <c r="D2259">
        <v>77</v>
      </c>
      <c r="E2259" t="s">
        <v>157</v>
      </c>
    </row>
    <row r="2260" spans="1:5" x14ac:dyDescent="0.3">
      <c r="A2260">
        <v>2259</v>
      </c>
      <c r="B2260" s="1" t="s">
        <v>100</v>
      </c>
      <c r="C2260" t="s">
        <v>151</v>
      </c>
      <c r="D2260">
        <v>41</v>
      </c>
      <c r="E2260" t="s">
        <v>157</v>
      </c>
    </row>
    <row r="2261" spans="1:5" x14ac:dyDescent="0.3">
      <c r="A2261">
        <v>2260</v>
      </c>
      <c r="B2261" s="1" t="s">
        <v>98</v>
      </c>
      <c r="C2261" t="s">
        <v>150</v>
      </c>
      <c r="D2261">
        <v>60</v>
      </c>
      <c r="E2261" t="s">
        <v>157</v>
      </c>
    </row>
    <row r="2262" spans="1:5" x14ac:dyDescent="0.3">
      <c r="A2262">
        <v>2261</v>
      </c>
      <c r="B2262" s="1" t="s">
        <v>98</v>
      </c>
      <c r="C2262" t="s">
        <v>150</v>
      </c>
      <c r="D2262">
        <v>90</v>
      </c>
      <c r="E2262" t="s">
        <v>157</v>
      </c>
    </row>
    <row r="2263" spans="1:5" x14ac:dyDescent="0.3">
      <c r="A2263">
        <v>2262</v>
      </c>
      <c r="B2263" s="1" t="s">
        <v>98</v>
      </c>
      <c r="C2263" t="s">
        <v>151</v>
      </c>
      <c r="D2263">
        <v>27</v>
      </c>
      <c r="E2263" t="s">
        <v>157</v>
      </c>
    </row>
    <row r="2264" spans="1:5" x14ac:dyDescent="0.3">
      <c r="A2264">
        <v>2263</v>
      </c>
      <c r="B2264" s="1" t="s">
        <v>104</v>
      </c>
      <c r="C2264" t="s">
        <v>151</v>
      </c>
      <c r="D2264">
        <v>48</v>
      </c>
      <c r="E2264" t="s">
        <v>157</v>
      </c>
    </row>
    <row r="2265" spans="1:5" x14ac:dyDescent="0.3">
      <c r="A2265">
        <v>2264</v>
      </c>
      <c r="B2265" s="1" t="s">
        <v>98</v>
      </c>
      <c r="C2265" t="s">
        <v>151</v>
      </c>
      <c r="D2265">
        <v>31</v>
      </c>
      <c r="E2265" t="s">
        <v>157</v>
      </c>
    </row>
    <row r="2266" spans="1:5" x14ac:dyDescent="0.3">
      <c r="A2266">
        <v>2265</v>
      </c>
      <c r="B2266" s="1" t="s">
        <v>99</v>
      </c>
      <c r="C2266" t="s">
        <v>151</v>
      </c>
      <c r="D2266">
        <v>65</v>
      </c>
      <c r="E2266" t="s">
        <v>157</v>
      </c>
    </row>
    <row r="2267" spans="1:5" x14ac:dyDescent="0.3">
      <c r="A2267">
        <v>2266</v>
      </c>
      <c r="B2267" s="1" t="s">
        <v>99</v>
      </c>
      <c r="C2267" t="s">
        <v>150</v>
      </c>
      <c r="D2267">
        <v>90</v>
      </c>
      <c r="E2267" t="s">
        <v>157</v>
      </c>
    </row>
    <row r="2268" spans="1:5" x14ac:dyDescent="0.3">
      <c r="A2268">
        <v>2267</v>
      </c>
      <c r="B2268" s="1" t="s">
        <v>100</v>
      </c>
      <c r="C2268" t="s">
        <v>150</v>
      </c>
      <c r="D2268">
        <v>20</v>
      </c>
      <c r="E2268" t="s">
        <v>157</v>
      </c>
    </row>
    <row r="2269" spans="1:5" x14ac:dyDescent="0.3">
      <c r="A2269">
        <v>2268</v>
      </c>
      <c r="B2269" s="1" t="s">
        <v>103</v>
      </c>
      <c r="C2269" t="s">
        <v>150</v>
      </c>
      <c r="D2269">
        <v>60</v>
      </c>
      <c r="E2269" t="s">
        <v>157</v>
      </c>
    </row>
    <row r="2270" spans="1:5" x14ac:dyDescent="0.3">
      <c r="A2270">
        <v>2269</v>
      </c>
      <c r="B2270" s="1" t="s">
        <v>98</v>
      </c>
      <c r="C2270" t="s">
        <v>151</v>
      </c>
      <c r="D2270">
        <v>48</v>
      </c>
      <c r="E2270" t="s">
        <v>157</v>
      </c>
    </row>
    <row r="2271" spans="1:5" x14ac:dyDescent="0.3">
      <c r="A2271">
        <v>2270</v>
      </c>
      <c r="B2271" s="1" t="s">
        <v>99</v>
      </c>
      <c r="C2271" t="s">
        <v>150</v>
      </c>
      <c r="D2271">
        <v>64</v>
      </c>
      <c r="E2271" t="s">
        <v>157</v>
      </c>
    </row>
    <row r="2272" spans="1:5" x14ac:dyDescent="0.3">
      <c r="A2272">
        <v>2271</v>
      </c>
      <c r="B2272" s="1" t="s">
        <v>98</v>
      </c>
      <c r="C2272" t="s">
        <v>151</v>
      </c>
      <c r="D2272">
        <v>57</v>
      </c>
      <c r="E2272" t="s">
        <v>157</v>
      </c>
    </row>
    <row r="2273" spans="1:5" x14ac:dyDescent="0.3">
      <c r="A2273">
        <v>2272</v>
      </c>
      <c r="B2273" s="1" t="s">
        <v>104</v>
      </c>
      <c r="C2273" t="s">
        <v>151</v>
      </c>
      <c r="D2273">
        <v>40</v>
      </c>
      <c r="E2273" t="s">
        <v>157</v>
      </c>
    </row>
    <row r="2274" spans="1:5" x14ac:dyDescent="0.3">
      <c r="A2274">
        <v>2273</v>
      </c>
      <c r="B2274" s="1" t="s">
        <v>109</v>
      </c>
      <c r="C2274" t="s">
        <v>150</v>
      </c>
      <c r="D2274">
        <v>52</v>
      </c>
      <c r="E2274" t="s">
        <v>157</v>
      </c>
    </row>
    <row r="2275" spans="1:5" x14ac:dyDescent="0.3">
      <c r="A2275">
        <v>2274</v>
      </c>
      <c r="B2275" s="1" t="s">
        <v>98</v>
      </c>
      <c r="C2275" t="s">
        <v>150</v>
      </c>
      <c r="D2275">
        <v>64</v>
      </c>
      <c r="E2275" t="s">
        <v>157</v>
      </c>
    </row>
    <row r="2276" spans="1:5" x14ac:dyDescent="0.3">
      <c r="A2276">
        <v>2275</v>
      </c>
      <c r="B2276" s="1" t="s">
        <v>98</v>
      </c>
      <c r="C2276" t="s">
        <v>151</v>
      </c>
      <c r="D2276">
        <v>74</v>
      </c>
      <c r="E2276" t="s">
        <v>157</v>
      </c>
    </row>
    <row r="2277" spans="1:5" x14ac:dyDescent="0.3">
      <c r="A2277">
        <v>2276</v>
      </c>
      <c r="B2277" s="1" t="s">
        <v>104</v>
      </c>
      <c r="C2277" t="s">
        <v>151</v>
      </c>
      <c r="D2277">
        <v>18</v>
      </c>
      <c r="E2277" t="s">
        <v>157</v>
      </c>
    </row>
    <row r="2278" spans="1:5" x14ac:dyDescent="0.3">
      <c r="A2278">
        <v>2277</v>
      </c>
      <c r="B2278" s="1" t="s">
        <v>104</v>
      </c>
      <c r="C2278" t="s">
        <v>150</v>
      </c>
      <c r="D2278">
        <v>65</v>
      </c>
      <c r="E2278" t="s">
        <v>157</v>
      </c>
    </row>
    <row r="2279" spans="1:5" x14ac:dyDescent="0.3">
      <c r="A2279">
        <v>2278</v>
      </c>
      <c r="B2279" s="1" t="s">
        <v>100</v>
      </c>
      <c r="C2279" t="s">
        <v>150</v>
      </c>
      <c r="D2279">
        <v>78</v>
      </c>
      <c r="E2279" t="s">
        <v>157</v>
      </c>
    </row>
    <row r="2280" spans="1:5" x14ac:dyDescent="0.3">
      <c r="A2280">
        <v>2279</v>
      </c>
      <c r="B2280" s="1" t="s">
        <v>105</v>
      </c>
      <c r="C2280" t="s">
        <v>150</v>
      </c>
      <c r="D2280">
        <v>33</v>
      </c>
      <c r="E2280" t="s">
        <v>157</v>
      </c>
    </row>
    <row r="2281" spans="1:5" x14ac:dyDescent="0.3">
      <c r="A2281">
        <v>2280</v>
      </c>
      <c r="B2281" s="1" t="s">
        <v>98</v>
      </c>
      <c r="C2281" t="s">
        <v>150</v>
      </c>
      <c r="D2281">
        <v>53</v>
      </c>
      <c r="E2281" t="s">
        <v>157</v>
      </c>
    </row>
    <row r="2282" spans="1:5" x14ac:dyDescent="0.3">
      <c r="A2282">
        <v>2281</v>
      </c>
      <c r="B2282" s="1" t="s">
        <v>98</v>
      </c>
      <c r="C2282" t="s">
        <v>151</v>
      </c>
      <c r="D2282">
        <v>31</v>
      </c>
      <c r="E2282" t="s">
        <v>157</v>
      </c>
    </row>
    <row r="2283" spans="1:5" x14ac:dyDescent="0.3">
      <c r="A2283">
        <v>2282</v>
      </c>
      <c r="B2283" s="1" t="s">
        <v>98</v>
      </c>
      <c r="C2283" t="s">
        <v>151</v>
      </c>
      <c r="D2283">
        <v>22</v>
      </c>
      <c r="E2283" t="s">
        <v>157</v>
      </c>
    </row>
    <row r="2284" spans="1:5" x14ac:dyDescent="0.3">
      <c r="A2284">
        <v>2283</v>
      </c>
      <c r="B2284" s="1" t="s">
        <v>98</v>
      </c>
      <c r="C2284" t="s">
        <v>151</v>
      </c>
      <c r="D2284">
        <v>24</v>
      </c>
      <c r="E2284" t="s">
        <v>157</v>
      </c>
    </row>
    <row r="2285" spans="1:5" x14ac:dyDescent="0.3">
      <c r="A2285">
        <v>2284</v>
      </c>
      <c r="B2285" s="1" t="s">
        <v>99</v>
      </c>
      <c r="C2285" t="s">
        <v>150</v>
      </c>
      <c r="D2285">
        <v>61</v>
      </c>
      <c r="E2285" t="s">
        <v>157</v>
      </c>
    </row>
    <row r="2286" spans="1:5" x14ac:dyDescent="0.3">
      <c r="A2286">
        <v>2285</v>
      </c>
      <c r="B2286" s="1" t="s">
        <v>109</v>
      </c>
      <c r="C2286" t="s">
        <v>150</v>
      </c>
      <c r="D2286">
        <v>90</v>
      </c>
      <c r="E2286" t="s">
        <v>157</v>
      </c>
    </row>
    <row r="2287" spans="1:5" x14ac:dyDescent="0.3">
      <c r="A2287">
        <v>2286</v>
      </c>
      <c r="B2287" s="1" t="s">
        <v>99</v>
      </c>
      <c r="C2287" t="s">
        <v>150</v>
      </c>
      <c r="D2287">
        <v>75</v>
      </c>
      <c r="E2287" t="s">
        <v>157</v>
      </c>
    </row>
    <row r="2288" spans="1:5" x14ac:dyDescent="0.3">
      <c r="A2288">
        <v>2287</v>
      </c>
      <c r="B2288" s="1" t="s">
        <v>106</v>
      </c>
      <c r="C2288" t="s">
        <v>150</v>
      </c>
      <c r="D2288">
        <v>72</v>
      </c>
      <c r="E2288" t="s">
        <v>157</v>
      </c>
    </row>
    <row r="2289" spans="1:5" x14ac:dyDescent="0.3">
      <c r="A2289">
        <v>2288</v>
      </c>
      <c r="B2289" s="1" t="s">
        <v>98</v>
      </c>
      <c r="C2289" t="s">
        <v>150</v>
      </c>
      <c r="D2289">
        <v>40</v>
      </c>
      <c r="E2289" t="s">
        <v>157</v>
      </c>
    </row>
    <row r="2290" spans="1:5" x14ac:dyDescent="0.3">
      <c r="A2290">
        <v>2289</v>
      </c>
      <c r="B2290" s="1" t="s">
        <v>99</v>
      </c>
      <c r="C2290" t="s">
        <v>151</v>
      </c>
      <c r="D2290">
        <v>44</v>
      </c>
      <c r="E2290" t="s">
        <v>157</v>
      </c>
    </row>
    <row r="2291" spans="1:5" x14ac:dyDescent="0.3">
      <c r="A2291">
        <v>2290</v>
      </c>
      <c r="B2291" s="1" t="s">
        <v>102</v>
      </c>
      <c r="C2291" t="s">
        <v>151</v>
      </c>
      <c r="D2291">
        <v>88</v>
      </c>
      <c r="E2291" t="s">
        <v>157</v>
      </c>
    </row>
    <row r="2292" spans="1:5" x14ac:dyDescent="0.3">
      <c r="A2292">
        <v>2291</v>
      </c>
      <c r="B2292" s="1" t="s">
        <v>100</v>
      </c>
      <c r="C2292" t="s">
        <v>151</v>
      </c>
      <c r="D2292">
        <v>84</v>
      </c>
      <c r="E2292" t="s">
        <v>157</v>
      </c>
    </row>
    <row r="2293" spans="1:5" x14ac:dyDescent="0.3">
      <c r="A2293">
        <v>2292</v>
      </c>
      <c r="B2293" s="1" t="s">
        <v>98</v>
      </c>
      <c r="C2293" t="s">
        <v>151</v>
      </c>
      <c r="D2293">
        <v>66</v>
      </c>
      <c r="E2293" t="s">
        <v>157</v>
      </c>
    </row>
    <row r="2294" spans="1:5" x14ac:dyDescent="0.3">
      <c r="A2294">
        <v>2293</v>
      </c>
      <c r="B2294" s="1" t="s">
        <v>105</v>
      </c>
      <c r="C2294" t="s">
        <v>151</v>
      </c>
      <c r="D2294">
        <v>70</v>
      </c>
      <c r="E2294" t="s">
        <v>157</v>
      </c>
    </row>
    <row r="2295" spans="1:5" x14ac:dyDescent="0.3">
      <c r="A2295">
        <v>2294</v>
      </c>
      <c r="B2295" s="1" t="s">
        <v>99</v>
      </c>
      <c r="C2295" t="s">
        <v>150</v>
      </c>
      <c r="D2295">
        <v>32</v>
      </c>
      <c r="E2295" t="s">
        <v>157</v>
      </c>
    </row>
    <row r="2296" spans="1:5" x14ac:dyDescent="0.3">
      <c r="A2296">
        <v>2295</v>
      </c>
      <c r="B2296" s="1" t="s">
        <v>98</v>
      </c>
      <c r="C2296" t="s">
        <v>151</v>
      </c>
      <c r="D2296">
        <v>33</v>
      </c>
      <c r="E2296" t="s">
        <v>157</v>
      </c>
    </row>
    <row r="2297" spans="1:5" x14ac:dyDescent="0.3">
      <c r="A2297">
        <v>2296</v>
      </c>
      <c r="B2297" s="1" t="s">
        <v>99</v>
      </c>
      <c r="C2297" t="s">
        <v>151</v>
      </c>
      <c r="D2297">
        <v>28</v>
      </c>
      <c r="E2297" t="s">
        <v>157</v>
      </c>
    </row>
    <row r="2298" spans="1:5" x14ac:dyDescent="0.3">
      <c r="A2298">
        <v>2297</v>
      </c>
      <c r="B2298" s="1" t="s">
        <v>105</v>
      </c>
      <c r="C2298" t="s">
        <v>150</v>
      </c>
      <c r="D2298">
        <v>50</v>
      </c>
      <c r="E2298" t="s">
        <v>157</v>
      </c>
    </row>
    <row r="2299" spans="1:5" x14ac:dyDescent="0.3">
      <c r="A2299">
        <v>2298</v>
      </c>
      <c r="B2299" s="1" t="s">
        <v>98</v>
      </c>
      <c r="C2299" t="s">
        <v>151</v>
      </c>
      <c r="D2299">
        <v>40</v>
      </c>
      <c r="E2299" t="s">
        <v>157</v>
      </c>
    </row>
    <row r="2300" spans="1:5" x14ac:dyDescent="0.3">
      <c r="A2300">
        <v>2299</v>
      </c>
      <c r="B2300" s="1" t="s">
        <v>98</v>
      </c>
      <c r="C2300" t="s">
        <v>151</v>
      </c>
      <c r="D2300">
        <v>58</v>
      </c>
      <c r="E2300" t="s">
        <v>157</v>
      </c>
    </row>
    <row r="2301" spans="1:5" x14ac:dyDescent="0.3">
      <c r="A2301">
        <v>2300</v>
      </c>
      <c r="B2301" s="1" t="s">
        <v>98</v>
      </c>
      <c r="C2301" t="s">
        <v>150</v>
      </c>
      <c r="D2301">
        <v>61</v>
      </c>
      <c r="E2301" t="s">
        <v>157</v>
      </c>
    </row>
    <row r="2302" spans="1:5" x14ac:dyDescent="0.3">
      <c r="A2302">
        <v>2301</v>
      </c>
      <c r="B2302" s="1" t="s">
        <v>107</v>
      </c>
      <c r="C2302" t="s">
        <v>151</v>
      </c>
      <c r="D2302">
        <v>38</v>
      </c>
      <c r="E2302" t="s">
        <v>157</v>
      </c>
    </row>
    <row r="2303" spans="1:5" x14ac:dyDescent="0.3">
      <c r="A2303">
        <v>2302</v>
      </c>
      <c r="B2303" s="1" t="s">
        <v>104</v>
      </c>
      <c r="C2303" t="s">
        <v>150</v>
      </c>
      <c r="D2303">
        <v>70</v>
      </c>
      <c r="E2303" t="s">
        <v>157</v>
      </c>
    </row>
    <row r="2304" spans="1:5" x14ac:dyDescent="0.3">
      <c r="A2304">
        <v>2303</v>
      </c>
      <c r="B2304" s="1" t="s">
        <v>103</v>
      </c>
      <c r="C2304" t="s">
        <v>151</v>
      </c>
      <c r="D2304">
        <v>55</v>
      </c>
      <c r="E2304" t="s">
        <v>157</v>
      </c>
    </row>
    <row r="2305" spans="1:5" x14ac:dyDescent="0.3">
      <c r="A2305">
        <v>2304</v>
      </c>
      <c r="B2305" s="1" t="s">
        <v>98</v>
      </c>
      <c r="C2305" t="s">
        <v>151</v>
      </c>
      <c r="D2305">
        <v>86</v>
      </c>
      <c r="E2305" t="s">
        <v>157</v>
      </c>
    </row>
    <row r="2306" spans="1:5" x14ac:dyDescent="0.3">
      <c r="A2306">
        <v>2305</v>
      </c>
      <c r="B2306" s="1" t="s">
        <v>98</v>
      </c>
      <c r="C2306" t="s">
        <v>150</v>
      </c>
      <c r="D2306">
        <v>18</v>
      </c>
      <c r="E2306" t="s">
        <v>157</v>
      </c>
    </row>
    <row r="2307" spans="1:5" x14ac:dyDescent="0.3">
      <c r="A2307">
        <v>2306</v>
      </c>
      <c r="B2307" s="1" t="s">
        <v>104</v>
      </c>
      <c r="C2307" t="s">
        <v>150</v>
      </c>
      <c r="D2307">
        <v>44</v>
      </c>
      <c r="E2307" t="s">
        <v>157</v>
      </c>
    </row>
    <row r="2308" spans="1:5" x14ac:dyDescent="0.3">
      <c r="A2308">
        <v>2307</v>
      </c>
      <c r="B2308" s="1" t="s">
        <v>98</v>
      </c>
      <c r="C2308" t="s">
        <v>150</v>
      </c>
      <c r="D2308">
        <v>66</v>
      </c>
      <c r="E2308" t="s">
        <v>157</v>
      </c>
    </row>
    <row r="2309" spans="1:5" x14ac:dyDescent="0.3">
      <c r="A2309">
        <v>2308</v>
      </c>
      <c r="B2309" s="1" t="s">
        <v>102</v>
      </c>
      <c r="C2309" t="s">
        <v>151</v>
      </c>
      <c r="D2309">
        <v>32</v>
      </c>
      <c r="E2309" t="s">
        <v>157</v>
      </c>
    </row>
    <row r="2310" spans="1:5" x14ac:dyDescent="0.3">
      <c r="A2310">
        <v>2309</v>
      </c>
      <c r="B2310" s="1" t="s">
        <v>106</v>
      </c>
      <c r="C2310" t="s">
        <v>151</v>
      </c>
      <c r="D2310">
        <v>25</v>
      </c>
      <c r="E2310" t="s">
        <v>157</v>
      </c>
    </row>
    <row r="2311" spans="1:5" x14ac:dyDescent="0.3">
      <c r="A2311">
        <v>2310</v>
      </c>
      <c r="B2311" s="1" t="s">
        <v>99</v>
      </c>
      <c r="C2311" t="s">
        <v>151</v>
      </c>
      <c r="D2311">
        <v>38</v>
      </c>
      <c r="E2311" t="s">
        <v>157</v>
      </c>
    </row>
    <row r="2312" spans="1:5" x14ac:dyDescent="0.3">
      <c r="A2312">
        <v>2311</v>
      </c>
      <c r="B2312" s="1" t="s">
        <v>104</v>
      </c>
      <c r="C2312" t="s">
        <v>150</v>
      </c>
      <c r="D2312">
        <v>36</v>
      </c>
      <c r="E2312" t="s">
        <v>157</v>
      </c>
    </row>
    <row r="2313" spans="1:5" x14ac:dyDescent="0.3">
      <c r="A2313">
        <v>2312</v>
      </c>
      <c r="B2313" s="1" t="s">
        <v>98</v>
      </c>
      <c r="C2313" t="s">
        <v>150</v>
      </c>
      <c r="D2313">
        <v>56</v>
      </c>
      <c r="E2313" t="s">
        <v>157</v>
      </c>
    </row>
    <row r="2314" spans="1:5" x14ac:dyDescent="0.3">
      <c r="A2314">
        <v>2313</v>
      </c>
      <c r="B2314" s="1" t="s">
        <v>103</v>
      </c>
      <c r="C2314" t="s">
        <v>151</v>
      </c>
      <c r="D2314">
        <v>31</v>
      </c>
      <c r="E2314" t="s">
        <v>157</v>
      </c>
    </row>
    <row r="2315" spans="1:5" x14ac:dyDescent="0.3">
      <c r="A2315">
        <v>2314</v>
      </c>
      <c r="B2315" s="1" t="s">
        <v>98</v>
      </c>
      <c r="C2315" t="s">
        <v>151</v>
      </c>
      <c r="D2315">
        <v>18</v>
      </c>
      <c r="E2315" t="s">
        <v>157</v>
      </c>
    </row>
    <row r="2316" spans="1:5" x14ac:dyDescent="0.3">
      <c r="A2316">
        <v>2315</v>
      </c>
      <c r="B2316" s="1" t="s">
        <v>98</v>
      </c>
      <c r="C2316" t="s">
        <v>151</v>
      </c>
      <c r="D2316">
        <v>60</v>
      </c>
      <c r="E2316" t="s">
        <v>157</v>
      </c>
    </row>
    <row r="2317" spans="1:5" x14ac:dyDescent="0.3">
      <c r="A2317">
        <v>2316</v>
      </c>
      <c r="B2317" s="1" t="s">
        <v>99</v>
      </c>
      <c r="C2317" t="s">
        <v>150</v>
      </c>
      <c r="D2317">
        <v>33</v>
      </c>
      <c r="E2317" t="s">
        <v>157</v>
      </c>
    </row>
    <row r="2318" spans="1:5" x14ac:dyDescent="0.3">
      <c r="A2318">
        <v>2317</v>
      </c>
      <c r="B2318" s="1" t="s">
        <v>98</v>
      </c>
      <c r="C2318" t="s">
        <v>150</v>
      </c>
      <c r="D2318">
        <v>86</v>
      </c>
      <c r="E2318" t="s">
        <v>157</v>
      </c>
    </row>
    <row r="2319" spans="1:5" x14ac:dyDescent="0.3">
      <c r="A2319">
        <v>2318</v>
      </c>
      <c r="B2319" s="1" t="s">
        <v>99</v>
      </c>
      <c r="C2319" t="s">
        <v>151</v>
      </c>
      <c r="D2319">
        <v>59</v>
      </c>
      <c r="E2319" t="s">
        <v>157</v>
      </c>
    </row>
    <row r="2320" spans="1:5" x14ac:dyDescent="0.3">
      <c r="A2320">
        <v>2319</v>
      </c>
      <c r="B2320" s="1" t="s">
        <v>99</v>
      </c>
      <c r="C2320" t="s">
        <v>150</v>
      </c>
      <c r="D2320">
        <v>72</v>
      </c>
      <c r="E2320" t="s">
        <v>157</v>
      </c>
    </row>
    <row r="2321" spans="1:5" x14ac:dyDescent="0.3">
      <c r="A2321">
        <v>2320</v>
      </c>
      <c r="B2321" s="1" t="s">
        <v>103</v>
      </c>
      <c r="C2321" t="s">
        <v>150</v>
      </c>
      <c r="D2321">
        <v>88</v>
      </c>
      <c r="E2321" t="s">
        <v>157</v>
      </c>
    </row>
    <row r="2322" spans="1:5" x14ac:dyDescent="0.3">
      <c r="A2322">
        <v>2321</v>
      </c>
      <c r="B2322" s="1" t="s">
        <v>108</v>
      </c>
      <c r="C2322" t="s">
        <v>151</v>
      </c>
      <c r="D2322">
        <v>39</v>
      </c>
      <c r="E2322" t="s">
        <v>157</v>
      </c>
    </row>
    <row r="2323" spans="1:5" x14ac:dyDescent="0.3">
      <c r="A2323">
        <v>2322</v>
      </c>
      <c r="B2323" s="1" t="s">
        <v>98</v>
      </c>
      <c r="C2323" t="s">
        <v>151</v>
      </c>
      <c r="D2323">
        <v>54</v>
      </c>
      <c r="E2323" t="s">
        <v>157</v>
      </c>
    </row>
    <row r="2324" spans="1:5" x14ac:dyDescent="0.3">
      <c r="A2324">
        <v>2323</v>
      </c>
      <c r="B2324" s="1" t="s">
        <v>106</v>
      </c>
      <c r="C2324" t="s">
        <v>151</v>
      </c>
      <c r="D2324">
        <v>58</v>
      </c>
      <c r="E2324" t="s">
        <v>157</v>
      </c>
    </row>
    <row r="2325" spans="1:5" x14ac:dyDescent="0.3">
      <c r="A2325">
        <v>2324</v>
      </c>
      <c r="B2325" s="1" t="s">
        <v>99</v>
      </c>
      <c r="C2325" t="s">
        <v>150</v>
      </c>
      <c r="D2325">
        <v>29</v>
      </c>
      <c r="E2325" t="s">
        <v>157</v>
      </c>
    </row>
    <row r="2326" spans="1:5" x14ac:dyDescent="0.3">
      <c r="A2326">
        <v>2325</v>
      </c>
      <c r="B2326" s="1" t="s">
        <v>100</v>
      </c>
      <c r="C2326" t="s">
        <v>150</v>
      </c>
      <c r="D2326">
        <v>36</v>
      </c>
      <c r="E2326" t="s">
        <v>157</v>
      </c>
    </row>
    <row r="2327" spans="1:5" x14ac:dyDescent="0.3">
      <c r="A2327">
        <v>2326</v>
      </c>
      <c r="B2327" s="1" t="s">
        <v>106</v>
      </c>
      <c r="C2327" t="s">
        <v>150</v>
      </c>
      <c r="D2327">
        <v>38</v>
      </c>
      <c r="E2327" t="s">
        <v>157</v>
      </c>
    </row>
    <row r="2328" spans="1:5" x14ac:dyDescent="0.3">
      <c r="A2328">
        <v>2327</v>
      </c>
      <c r="B2328" s="1" t="s">
        <v>98</v>
      </c>
      <c r="C2328" t="s">
        <v>150</v>
      </c>
      <c r="D2328">
        <v>53</v>
      </c>
      <c r="E2328" t="s">
        <v>157</v>
      </c>
    </row>
    <row r="2329" spans="1:5" x14ac:dyDescent="0.3">
      <c r="A2329">
        <v>2328</v>
      </c>
      <c r="B2329" s="1" t="s">
        <v>98</v>
      </c>
      <c r="C2329" t="s">
        <v>150</v>
      </c>
      <c r="D2329">
        <v>18</v>
      </c>
      <c r="E2329" t="s">
        <v>157</v>
      </c>
    </row>
    <row r="2330" spans="1:5" x14ac:dyDescent="0.3">
      <c r="A2330">
        <v>2329</v>
      </c>
      <c r="B2330" s="1" t="s">
        <v>99</v>
      </c>
      <c r="C2330" t="s">
        <v>150</v>
      </c>
      <c r="D2330">
        <v>39</v>
      </c>
      <c r="E2330" t="s">
        <v>157</v>
      </c>
    </row>
    <row r="2331" spans="1:5" x14ac:dyDescent="0.3">
      <c r="A2331">
        <v>2330</v>
      </c>
      <c r="B2331" s="1" t="s">
        <v>98</v>
      </c>
      <c r="C2331" t="s">
        <v>151</v>
      </c>
      <c r="D2331">
        <v>23</v>
      </c>
      <c r="E2331" t="s">
        <v>157</v>
      </c>
    </row>
    <row r="2332" spans="1:5" x14ac:dyDescent="0.3">
      <c r="A2332">
        <v>2331</v>
      </c>
      <c r="B2332" s="1" t="s">
        <v>98</v>
      </c>
      <c r="C2332" t="s">
        <v>150</v>
      </c>
      <c r="D2332">
        <v>73</v>
      </c>
      <c r="E2332" t="s">
        <v>157</v>
      </c>
    </row>
    <row r="2333" spans="1:5" x14ac:dyDescent="0.3">
      <c r="A2333">
        <v>2332</v>
      </c>
      <c r="B2333" s="1" t="s">
        <v>104</v>
      </c>
      <c r="C2333" t="s">
        <v>150</v>
      </c>
      <c r="D2333">
        <v>62</v>
      </c>
      <c r="E2333" t="s">
        <v>157</v>
      </c>
    </row>
    <row r="2334" spans="1:5" x14ac:dyDescent="0.3">
      <c r="A2334">
        <v>2333</v>
      </c>
      <c r="B2334" s="1" t="s">
        <v>99</v>
      </c>
      <c r="C2334" t="s">
        <v>150</v>
      </c>
      <c r="D2334">
        <v>34</v>
      </c>
      <c r="E2334" t="s">
        <v>157</v>
      </c>
    </row>
    <row r="2335" spans="1:5" x14ac:dyDescent="0.3">
      <c r="A2335">
        <v>2334</v>
      </c>
      <c r="B2335" s="1" t="s">
        <v>99</v>
      </c>
      <c r="C2335" t="s">
        <v>150</v>
      </c>
      <c r="D2335">
        <v>77</v>
      </c>
      <c r="E2335" t="s">
        <v>157</v>
      </c>
    </row>
    <row r="2336" spans="1:5" x14ac:dyDescent="0.3">
      <c r="A2336">
        <v>2335</v>
      </c>
      <c r="B2336" s="1" t="s">
        <v>101</v>
      </c>
      <c r="C2336" t="s">
        <v>151</v>
      </c>
      <c r="D2336">
        <v>65</v>
      </c>
      <c r="E2336" t="s">
        <v>157</v>
      </c>
    </row>
    <row r="2337" spans="1:5" x14ac:dyDescent="0.3">
      <c r="A2337">
        <v>2336</v>
      </c>
      <c r="B2337" s="1" t="s">
        <v>101</v>
      </c>
      <c r="C2337" t="s">
        <v>151</v>
      </c>
      <c r="D2337">
        <v>43</v>
      </c>
      <c r="E2337" t="s">
        <v>157</v>
      </c>
    </row>
    <row r="2338" spans="1:5" x14ac:dyDescent="0.3">
      <c r="A2338">
        <v>2337</v>
      </c>
      <c r="B2338" s="1" t="s">
        <v>104</v>
      </c>
      <c r="C2338" t="s">
        <v>150</v>
      </c>
      <c r="D2338">
        <v>85</v>
      </c>
      <c r="E2338" t="s">
        <v>157</v>
      </c>
    </row>
    <row r="2339" spans="1:5" x14ac:dyDescent="0.3">
      <c r="A2339">
        <v>2338</v>
      </c>
      <c r="B2339" s="1" t="s">
        <v>98</v>
      </c>
      <c r="C2339" t="s">
        <v>151</v>
      </c>
      <c r="D2339">
        <v>90</v>
      </c>
      <c r="E2339" t="s">
        <v>157</v>
      </c>
    </row>
    <row r="2340" spans="1:5" x14ac:dyDescent="0.3">
      <c r="A2340">
        <v>2339</v>
      </c>
      <c r="B2340" s="1" t="s">
        <v>104</v>
      </c>
      <c r="C2340" t="s">
        <v>151</v>
      </c>
      <c r="D2340">
        <v>32</v>
      </c>
      <c r="E2340" t="s">
        <v>157</v>
      </c>
    </row>
    <row r="2341" spans="1:5" x14ac:dyDescent="0.3">
      <c r="A2341">
        <v>2340</v>
      </c>
      <c r="B2341" s="1" t="s">
        <v>98</v>
      </c>
      <c r="C2341" t="s">
        <v>151</v>
      </c>
      <c r="D2341">
        <v>35</v>
      </c>
      <c r="E2341" t="s">
        <v>157</v>
      </c>
    </row>
    <row r="2342" spans="1:5" x14ac:dyDescent="0.3">
      <c r="A2342">
        <v>2341</v>
      </c>
      <c r="B2342" s="1" t="s">
        <v>103</v>
      </c>
      <c r="C2342" t="s">
        <v>150</v>
      </c>
      <c r="D2342">
        <v>48</v>
      </c>
      <c r="E2342" t="s">
        <v>157</v>
      </c>
    </row>
    <row r="2343" spans="1:5" x14ac:dyDescent="0.3">
      <c r="A2343">
        <v>2342</v>
      </c>
      <c r="B2343" s="1" t="s">
        <v>99</v>
      </c>
      <c r="C2343" t="s">
        <v>151</v>
      </c>
      <c r="D2343">
        <v>46</v>
      </c>
      <c r="E2343" t="s">
        <v>157</v>
      </c>
    </row>
    <row r="2344" spans="1:5" x14ac:dyDescent="0.3">
      <c r="A2344">
        <v>2343</v>
      </c>
      <c r="B2344" s="1" t="s">
        <v>104</v>
      </c>
      <c r="C2344" t="s">
        <v>151</v>
      </c>
      <c r="D2344">
        <v>33</v>
      </c>
      <c r="E2344" t="s">
        <v>157</v>
      </c>
    </row>
    <row r="2345" spans="1:5" x14ac:dyDescent="0.3">
      <c r="A2345">
        <v>2344</v>
      </c>
      <c r="B2345" s="1" t="s">
        <v>98</v>
      </c>
      <c r="C2345" t="s">
        <v>151</v>
      </c>
      <c r="D2345">
        <v>55</v>
      </c>
      <c r="E2345" t="s">
        <v>157</v>
      </c>
    </row>
    <row r="2346" spans="1:5" x14ac:dyDescent="0.3">
      <c r="A2346">
        <v>2345</v>
      </c>
      <c r="B2346" s="1" t="s">
        <v>105</v>
      </c>
      <c r="C2346" t="s">
        <v>150</v>
      </c>
      <c r="D2346">
        <v>59</v>
      </c>
      <c r="E2346" t="s">
        <v>157</v>
      </c>
    </row>
    <row r="2347" spans="1:5" x14ac:dyDescent="0.3">
      <c r="A2347">
        <v>2346</v>
      </c>
      <c r="B2347" s="1" t="s">
        <v>106</v>
      </c>
      <c r="C2347" t="s">
        <v>150</v>
      </c>
      <c r="D2347">
        <v>29</v>
      </c>
      <c r="E2347" t="s">
        <v>157</v>
      </c>
    </row>
    <row r="2348" spans="1:5" x14ac:dyDescent="0.3">
      <c r="A2348">
        <v>2347</v>
      </c>
      <c r="B2348" s="1" t="s">
        <v>99</v>
      </c>
      <c r="C2348" t="s">
        <v>151</v>
      </c>
      <c r="D2348">
        <v>61</v>
      </c>
      <c r="E2348" t="s">
        <v>157</v>
      </c>
    </row>
    <row r="2349" spans="1:5" x14ac:dyDescent="0.3">
      <c r="A2349">
        <v>2348</v>
      </c>
      <c r="B2349" s="1" t="s">
        <v>104</v>
      </c>
      <c r="C2349" t="s">
        <v>151</v>
      </c>
      <c r="D2349">
        <v>88</v>
      </c>
      <c r="E2349" t="s">
        <v>157</v>
      </c>
    </row>
    <row r="2350" spans="1:5" x14ac:dyDescent="0.3">
      <c r="A2350">
        <v>2349</v>
      </c>
      <c r="B2350" s="1" t="s">
        <v>100</v>
      </c>
      <c r="C2350" t="s">
        <v>150</v>
      </c>
      <c r="D2350">
        <v>37</v>
      </c>
      <c r="E2350" t="s">
        <v>157</v>
      </c>
    </row>
    <row r="2351" spans="1:5" x14ac:dyDescent="0.3">
      <c r="A2351">
        <v>2350</v>
      </c>
      <c r="B2351" s="1" t="s">
        <v>104</v>
      </c>
      <c r="C2351" t="s">
        <v>151</v>
      </c>
      <c r="D2351">
        <v>82</v>
      </c>
      <c r="E2351" t="s">
        <v>157</v>
      </c>
    </row>
    <row r="2352" spans="1:5" x14ac:dyDescent="0.3">
      <c r="A2352">
        <v>2351</v>
      </c>
      <c r="B2352" s="1" t="s">
        <v>98</v>
      </c>
      <c r="C2352" t="s">
        <v>150</v>
      </c>
      <c r="D2352">
        <v>43</v>
      </c>
      <c r="E2352" t="s">
        <v>157</v>
      </c>
    </row>
    <row r="2353" spans="1:5" x14ac:dyDescent="0.3">
      <c r="A2353">
        <v>2352</v>
      </c>
      <c r="B2353" s="1" t="s">
        <v>98</v>
      </c>
      <c r="C2353" t="s">
        <v>151</v>
      </c>
      <c r="D2353">
        <v>35</v>
      </c>
      <c r="E2353" t="s">
        <v>157</v>
      </c>
    </row>
    <row r="2354" spans="1:5" x14ac:dyDescent="0.3">
      <c r="A2354">
        <v>2353</v>
      </c>
      <c r="B2354" s="1" t="s">
        <v>98</v>
      </c>
      <c r="C2354" t="s">
        <v>150</v>
      </c>
      <c r="D2354">
        <v>27</v>
      </c>
      <c r="E2354" t="s">
        <v>157</v>
      </c>
    </row>
    <row r="2355" spans="1:5" x14ac:dyDescent="0.3">
      <c r="A2355">
        <v>2354</v>
      </c>
      <c r="B2355" s="1" t="s">
        <v>98</v>
      </c>
      <c r="C2355" t="s">
        <v>151</v>
      </c>
      <c r="D2355">
        <v>36</v>
      </c>
      <c r="E2355" t="s">
        <v>157</v>
      </c>
    </row>
    <row r="2356" spans="1:5" x14ac:dyDescent="0.3">
      <c r="A2356">
        <v>2355</v>
      </c>
      <c r="B2356" s="1" t="s">
        <v>98</v>
      </c>
      <c r="C2356" t="s">
        <v>151</v>
      </c>
      <c r="D2356">
        <v>24</v>
      </c>
      <c r="E2356" t="s">
        <v>157</v>
      </c>
    </row>
    <row r="2357" spans="1:5" x14ac:dyDescent="0.3">
      <c r="A2357">
        <v>2356</v>
      </c>
      <c r="B2357" s="1" t="s">
        <v>99</v>
      </c>
      <c r="C2357" t="s">
        <v>151</v>
      </c>
      <c r="D2357">
        <v>68</v>
      </c>
      <c r="E2357" t="s">
        <v>157</v>
      </c>
    </row>
    <row r="2358" spans="1:5" x14ac:dyDescent="0.3">
      <c r="A2358">
        <v>2357</v>
      </c>
      <c r="B2358" s="1" t="s">
        <v>104</v>
      </c>
      <c r="C2358" t="s">
        <v>150</v>
      </c>
      <c r="D2358">
        <v>89</v>
      </c>
      <c r="E2358" t="s">
        <v>157</v>
      </c>
    </row>
    <row r="2359" spans="1:5" x14ac:dyDescent="0.3">
      <c r="A2359">
        <v>2358</v>
      </c>
      <c r="B2359" s="1" t="s">
        <v>104</v>
      </c>
      <c r="C2359" t="s">
        <v>150</v>
      </c>
      <c r="D2359">
        <v>31</v>
      </c>
      <c r="E2359" t="s">
        <v>157</v>
      </c>
    </row>
    <row r="2360" spans="1:5" x14ac:dyDescent="0.3">
      <c r="A2360">
        <v>2359</v>
      </c>
      <c r="B2360" s="1" t="s">
        <v>98</v>
      </c>
      <c r="C2360" t="s">
        <v>150</v>
      </c>
      <c r="D2360">
        <v>37</v>
      </c>
      <c r="E2360" t="s">
        <v>157</v>
      </c>
    </row>
    <row r="2361" spans="1:5" x14ac:dyDescent="0.3">
      <c r="A2361">
        <v>2360</v>
      </c>
      <c r="B2361" s="1" t="s">
        <v>108</v>
      </c>
      <c r="C2361" t="s">
        <v>150</v>
      </c>
      <c r="D2361">
        <v>50</v>
      </c>
      <c r="E2361" t="s">
        <v>157</v>
      </c>
    </row>
    <row r="2362" spans="1:5" x14ac:dyDescent="0.3">
      <c r="A2362">
        <v>2361</v>
      </c>
      <c r="B2362" s="1" t="s">
        <v>104</v>
      </c>
      <c r="C2362" t="s">
        <v>151</v>
      </c>
      <c r="D2362">
        <v>86</v>
      </c>
      <c r="E2362" t="s">
        <v>157</v>
      </c>
    </row>
    <row r="2363" spans="1:5" x14ac:dyDescent="0.3">
      <c r="A2363">
        <v>2362</v>
      </c>
      <c r="B2363" s="1" t="s">
        <v>104</v>
      </c>
      <c r="C2363" t="s">
        <v>151</v>
      </c>
      <c r="D2363">
        <v>87</v>
      </c>
      <c r="E2363" t="s">
        <v>157</v>
      </c>
    </row>
    <row r="2364" spans="1:5" x14ac:dyDescent="0.3">
      <c r="A2364">
        <v>2363</v>
      </c>
      <c r="B2364" s="1" t="s">
        <v>106</v>
      </c>
      <c r="C2364" t="s">
        <v>151</v>
      </c>
      <c r="D2364">
        <v>87</v>
      </c>
      <c r="E2364" t="s">
        <v>157</v>
      </c>
    </row>
    <row r="2365" spans="1:5" x14ac:dyDescent="0.3">
      <c r="A2365">
        <v>2364</v>
      </c>
      <c r="B2365" s="1" t="s">
        <v>106</v>
      </c>
      <c r="C2365" t="s">
        <v>151</v>
      </c>
      <c r="D2365">
        <v>63</v>
      </c>
      <c r="E2365" t="s">
        <v>157</v>
      </c>
    </row>
    <row r="2366" spans="1:5" x14ac:dyDescent="0.3">
      <c r="A2366">
        <v>2365</v>
      </c>
      <c r="B2366" s="1" t="s">
        <v>107</v>
      </c>
      <c r="C2366" t="s">
        <v>150</v>
      </c>
      <c r="D2366">
        <v>33</v>
      </c>
      <c r="E2366" t="s">
        <v>157</v>
      </c>
    </row>
    <row r="2367" spans="1:5" x14ac:dyDescent="0.3">
      <c r="A2367">
        <v>2366</v>
      </c>
      <c r="B2367" s="1" t="s">
        <v>105</v>
      </c>
      <c r="C2367" t="s">
        <v>150</v>
      </c>
      <c r="D2367">
        <v>90</v>
      </c>
      <c r="E2367" t="s">
        <v>157</v>
      </c>
    </row>
    <row r="2368" spans="1:5" x14ac:dyDescent="0.3">
      <c r="A2368">
        <v>2367</v>
      </c>
      <c r="B2368" s="1" t="s">
        <v>98</v>
      </c>
      <c r="C2368" t="s">
        <v>151</v>
      </c>
      <c r="D2368">
        <v>68</v>
      </c>
      <c r="E2368" t="s">
        <v>157</v>
      </c>
    </row>
    <row r="2369" spans="1:5" x14ac:dyDescent="0.3">
      <c r="A2369">
        <v>2368</v>
      </c>
      <c r="B2369" s="1" t="s">
        <v>109</v>
      </c>
      <c r="C2369" t="s">
        <v>151</v>
      </c>
      <c r="D2369">
        <v>81</v>
      </c>
      <c r="E2369" t="s">
        <v>157</v>
      </c>
    </row>
    <row r="2370" spans="1:5" x14ac:dyDescent="0.3">
      <c r="A2370">
        <v>2369</v>
      </c>
      <c r="B2370" s="1" t="s">
        <v>106</v>
      </c>
      <c r="C2370" t="s">
        <v>151</v>
      </c>
      <c r="D2370">
        <v>90</v>
      </c>
      <c r="E2370" t="s">
        <v>157</v>
      </c>
    </row>
    <row r="2371" spans="1:5" x14ac:dyDescent="0.3">
      <c r="A2371">
        <v>2370</v>
      </c>
      <c r="B2371" s="1" t="s">
        <v>98</v>
      </c>
      <c r="C2371" t="s">
        <v>150</v>
      </c>
      <c r="D2371">
        <v>26</v>
      </c>
      <c r="E2371" t="s">
        <v>157</v>
      </c>
    </row>
    <row r="2372" spans="1:5" x14ac:dyDescent="0.3">
      <c r="A2372">
        <v>2371</v>
      </c>
      <c r="B2372" s="1" t="s">
        <v>103</v>
      </c>
      <c r="C2372" t="s">
        <v>151</v>
      </c>
      <c r="D2372">
        <v>88</v>
      </c>
      <c r="E2372" t="s">
        <v>157</v>
      </c>
    </row>
    <row r="2373" spans="1:5" x14ac:dyDescent="0.3">
      <c r="A2373">
        <v>2372</v>
      </c>
      <c r="B2373" s="1" t="s">
        <v>98</v>
      </c>
      <c r="C2373" t="s">
        <v>150</v>
      </c>
      <c r="D2373">
        <v>58</v>
      </c>
      <c r="E2373" t="s">
        <v>157</v>
      </c>
    </row>
    <row r="2374" spans="1:5" x14ac:dyDescent="0.3">
      <c r="A2374">
        <v>2373</v>
      </c>
      <c r="B2374" s="1" t="s">
        <v>101</v>
      </c>
      <c r="C2374" t="s">
        <v>150</v>
      </c>
      <c r="D2374">
        <v>61</v>
      </c>
      <c r="E2374" t="s">
        <v>157</v>
      </c>
    </row>
    <row r="2375" spans="1:5" x14ac:dyDescent="0.3">
      <c r="A2375">
        <v>2374</v>
      </c>
      <c r="B2375" s="1" t="s">
        <v>98</v>
      </c>
      <c r="C2375" t="s">
        <v>151</v>
      </c>
      <c r="D2375">
        <v>77</v>
      </c>
      <c r="E2375" t="s">
        <v>157</v>
      </c>
    </row>
    <row r="2376" spans="1:5" x14ac:dyDescent="0.3">
      <c r="A2376">
        <v>2375</v>
      </c>
      <c r="B2376" s="1" t="s">
        <v>99</v>
      </c>
      <c r="C2376" t="s">
        <v>151</v>
      </c>
      <c r="D2376">
        <v>72</v>
      </c>
      <c r="E2376" t="s">
        <v>157</v>
      </c>
    </row>
    <row r="2377" spans="1:5" x14ac:dyDescent="0.3">
      <c r="A2377">
        <v>2376</v>
      </c>
      <c r="B2377" s="1" t="s">
        <v>98</v>
      </c>
      <c r="C2377" t="s">
        <v>151</v>
      </c>
      <c r="D2377">
        <v>30</v>
      </c>
      <c r="E2377" t="s">
        <v>157</v>
      </c>
    </row>
    <row r="2378" spans="1:5" x14ac:dyDescent="0.3">
      <c r="A2378">
        <v>2377</v>
      </c>
      <c r="B2378" s="1" t="s">
        <v>104</v>
      </c>
      <c r="C2378" t="s">
        <v>151</v>
      </c>
      <c r="D2378">
        <v>78</v>
      </c>
      <c r="E2378" t="s">
        <v>157</v>
      </c>
    </row>
    <row r="2379" spans="1:5" x14ac:dyDescent="0.3">
      <c r="A2379">
        <v>2378</v>
      </c>
      <c r="B2379" s="1" t="s">
        <v>100</v>
      </c>
      <c r="C2379" t="s">
        <v>150</v>
      </c>
      <c r="D2379">
        <v>72</v>
      </c>
      <c r="E2379" t="s">
        <v>157</v>
      </c>
    </row>
    <row r="2380" spans="1:5" x14ac:dyDescent="0.3">
      <c r="A2380">
        <v>2379</v>
      </c>
      <c r="B2380" s="1" t="s">
        <v>98</v>
      </c>
      <c r="C2380" t="s">
        <v>150</v>
      </c>
      <c r="D2380">
        <v>78</v>
      </c>
      <c r="E2380" t="s">
        <v>157</v>
      </c>
    </row>
    <row r="2381" spans="1:5" x14ac:dyDescent="0.3">
      <c r="A2381">
        <v>2380</v>
      </c>
      <c r="B2381" s="1" t="s">
        <v>100</v>
      </c>
      <c r="C2381" t="s">
        <v>151</v>
      </c>
      <c r="D2381">
        <v>33</v>
      </c>
      <c r="E2381" t="s">
        <v>157</v>
      </c>
    </row>
    <row r="2382" spans="1:5" x14ac:dyDescent="0.3">
      <c r="A2382">
        <v>2381</v>
      </c>
      <c r="B2382" s="1" t="s">
        <v>98</v>
      </c>
      <c r="C2382" t="s">
        <v>151</v>
      </c>
      <c r="D2382">
        <v>59</v>
      </c>
      <c r="E2382" t="s">
        <v>157</v>
      </c>
    </row>
    <row r="2383" spans="1:5" x14ac:dyDescent="0.3">
      <c r="A2383">
        <v>2382</v>
      </c>
      <c r="B2383" s="1" t="s">
        <v>99</v>
      </c>
      <c r="C2383" t="s">
        <v>150</v>
      </c>
      <c r="D2383">
        <v>53</v>
      </c>
      <c r="E2383" t="s">
        <v>157</v>
      </c>
    </row>
    <row r="2384" spans="1:5" x14ac:dyDescent="0.3">
      <c r="A2384">
        <v>2383</v>
      </c>
      <c r="B2384" s="1" t="s">
        <v>98</v>
      </c>
      <c r="C2384" t="s">
        <v>151</v>
      </c>
      <c r="D2384">
        <v>37</v>
      </c>
      <c r="E2384" t="s">
        <v>157</v>
      </c>
    </row>
    <row r="2385" spans="1:5" x14ac:dyDescent="0.3">
      <c r="A2385">
        <v>2384</v>
      </c>
      <c r="B2385" s="1" t="s">
        <v>98</v>
      </c>
      <c r="C2385" t="s">
        <v>150</v>
      </c>
      <c r="D2385">
        <v>36</v>
      </c>
      <c r="E2385" t="s">
        <v>157</v>
      </c>
    </row>
    <row r="2386" spans="1:5" x14ac:dyDescent="0.3">
      <c r="A2386">
        <v>2385</v>
      </c>
      <c r="B2386" s="1" t="s">
        <v>98</v>
      </c>
      <c r="C2386" t="s">
        <v>150</v>
      </c>
      <c r="D2386">
        <v>53</v>
      </c>
      <c r="E2386" t="s">
        <v>157</v>
      </c>
    </row>
    <row r="2387" spans="1:5" x14ac:dyDescent="0.3">
      <c r="A2387">
        <v>2386</v>
      </c>
      <c r="B2387" s="1" t="s">
        <v>104</v>
      </c>
      <c r="C2387" t="s">
        <v>151</v>
      </c>
      <c r="D2387">
        <v>41</v>
      </c>
      <c r="E2387" t="s">
        <v>157</v>
      </c>
    </row>
    <row r="2388" spans="1:5" x14ac:dyDescent="0.3">
      <c r="A2388">
        <v>2387</v>
      </c>
      <c r="B2388" s="1" t="s">
        <v>104</v>
      </c>
      <c r="C2388" t="s">
        <v>151</v>
      </c>
      <c r="D2388">
        <v>30</v>
      </c>
      <c r="E2388" t="s">
        <v>157</v>
      </c>
    </row>
    <row r="2389" spans="1:5" x14ac:dyDescent="0.3">
      <c r="A2389">
        <v>2388</v>
      </c>
      <c r="B2389" s="1" t="s">
        <v>98</v>
      </c>
      <c r="C2389" t="s">
        <v>151</v>
      </c>
      <c r="D2389">
        <v>61</v>
      </c>
      <c r="E2389" t="s">
        <v>157</v>
      </c>
    </row>
    <row r="2390" spans="1:5" x14ac:dyDescent="0.3">
      <c r="A2390">
        <v>2389</v>
      </c>
      <c r="B2390" s="1" t="s">
        <v>98</v>
      </c>
      <c r="C2390" t="s">
        <v>150</v>
      </c>
      <c r="D2390">
        <v>69</v>
      </c>
      <c r="E2390" t="s">
        <v>157</v>
      </c>
    </row>
    <row r="2391" spans="1:5" x14ac:dyDescent="0.3">
      <c r="A2391">
        <v>2390</v>
      </c>
      <c r="B2391" s="1" t="s">
        <v>99</v>
      </c>
      <c r="C2391" t="s">
        <v>151</v>
      </c>
      <c r="D2391">
        <v>82</v>
      </c>
      <c r="E2391" t="s">
        <v>157</v>
      </c>
    </row>
    <row r="2392" spans="1:5" x14ac:dyDescent="0.3">
      <c r="A2392">
        <v>2391</v>
      </c>
      <c r="B2392" s="1" t="s">
        <v>98</v>
      </c>
      <c r="C2392" t="s">
        <v>151</v>
      </c>
      <c r="D2392">
        <v>19</v>
      </c>
      <c r="E2392" t="s">
        <v>157</v>
      </c>
    </row>
    <row r="2393" spans="1:5" x14ac:dyDescent="0.3">
      <c r="A2393">
        <v>2392</v>
      </c>
      <c r="B2393" s="1" t="s">
        <v>100</v>
      </c>
      <c r="C2393" t="s">
        <v>150</v>
      </c>
      <c r="D2393">
        <v>42</v>
      </c>
      <c r="E2393" t="s">
        <v>157</v>
      </c>
    </row>
    <row r="2394" spans="1:5" x14ac:dyDescent="0.3">
      <c r="A2394">
        <v>2393</v>
      </c>
      <c r="B2394" s="1" t="s">
        <v>106</v>
      </c>
      <c r="C2394" t="s">
        <v>150</v>
      </c>
      <c r="D2394">
        <v>43</v>
      </c>
      <c r="E2394" t="s">
        <v>157</v>
      </c>
    </row>
    <row r="2395" spans="1:5" x14ac:dyDescent="0.3">
      <c r="A2395">
        <v>2394</v>
      </c>
      <c r="B2395" s="1" t="s">
        <v>104</v>
      </c>
      <c r="C2395" t="s">
        <v>151</v>
      </c>
      <c r="D2395">
        <v>74</v>
      </c>
      <c r="E2395" t="s">
        <v>157</v>
      </c>
    </row>
    <row r="2396" spans="1:5" x14ac:dyDescent="0.3">
      <c r="A2396">
        <v>2395</v>
      </c>
      <c r="B2396" s="1" t="s">
        <v>98</v>
      </c>
      <c r="C2396" t="s">
        <v>151</v>
      </c>
      <c r="D2396">
        <v>35</v>
      </c>
      <c r="E2396" t="s">
        <v>157</v>
      </c>
    </row>
    <row r="2397" spans="1:5" x14ac:dyDescent="0.3">
      <c r="A2397">
        <v>2396</v>
      </c>
      <c r="B2397" s="1" t="s">
        <v>98</v>
      </c>
      <c r="C2397" t="s">
        <v>151</v>
      </c>
      <c r="D2397">
        <v>19</v>
      </c>
      <c r="E2397" t="s">
        <v>157</v>
      </c>
    </row>
    <row r="2398" spans="1:5" x14ac:dyDescent="0.3">
      <c r="A2398">
        <v>2397</v>
      </c>
      <c r="B2398" s="1" t="s">
        <v>98</v>
      </c>
      <c r="C2398" t="s">
        <v>151</v>
      </c>
      <c r="D2398">
        <v>77</v>
      </c>
      <c r="E2398" t="s">
        <v>157</v>
      </c>
    </row>
    <row r="2399" spans="1:5" x14ac:dyDescent="0.3">
      <c r="A2399">
        <v>2398</v>
      </c>
      <c r="B2399" s="1" t="s">
        <v>99</v>
      </c>
      <c r="C2399" t="s">
        <v>151</v>
      </c>
      <c r="D2399">
        <v>46</v>
      </c>
      <c r="E2399" t="s">
        <v>157</v>
      </c>
    </row>
    <row r="2400" spans="1:5" x14ac:dyDescent="0.3">
      <c r="A2400">
        <v>2399</v>
      </c>
      <c r="B2400" s="1" t="s">
        <v>98</v>
      </c>
      <c r="C2400" t="s">
        <v>150</v>
      </c>
      <c r="D2400">
        <v>32</v>
      </c>
      <c r="E2400" t="s">
        <v>157</v>
      </c>
    </row>
    <row r="2401" spans="1:5" x14ac:dyDescent="0.3">
      <c r="A2401">
        <v>2400</v>
      </c>
      <c r="B2401" s="1" t="s">
        <v>98</v>
      </c>
      <c r="C2401" t="s">
        <v>150</v>
      </c>
      <c r="D2401">
        <v>64</v>
      </c>
      <c r="E2401" t="s">
        <v>157</v>
      </c>
    </row>
    <row r="2402" spans="1:5" x14ac:dyDescent="0.3">
      <c r="A2402">
        <v>2401</v>
      </c>
      <c r="B2402" s="1" t="s">
        <v>98</v>
      </c>
      <c r="C2402" t="s">
        <v>150</v>
      </c>
      <c r="D2402">
        <v>34</v>
      </c>
      <c r="E2402" t="s">
        <v>157</v>
      </c>
    </row>
    <row r="2403" spans="1:5" x14ac:dyDescent="0.3">
      <c r="A2403">
        <v>2402</v>
      </c>
      <c r="B2403" s="1" t="s">
        <v>99</v>
      </c>
      <c r="C2403" t="s">
        <v>150</v>
      </c>
      <c r="D2403">
        <v>61</v>
      </c>
      <c r="E2403" t="s">
        <v>157</v>
      </c>
    </row>
    <row r="2404" spans="1:5" x14ac:dyDescent="0.3">
      <c r="A2404">
        <v>2403</v>
      </c>
      <c r="B2404" s="1" t="s">
        <v>105</v>
      </c>
      <c r="C2404" t="s">
        <v>151</v>
      </c>
      <c r="D2404">
        <v>87</v>
      </c>
      <c r="E2404" t="s">
        <v>157</v>
      </c>
    </row>
    <row r="2405" spans="1:5" x14ac:dyDescent="0.3">
      <c r="A2405">
        <v>2404</v>
      </c>
      <c r="B2405" s="1" t="s">
        <v>100</v>
      </c>
      <c r="C2405" t="s">
        <v>150</v>
      </c>
      <c r="D2405">
        <v>39</v>
      </c>
      <c r="E2405" t="s">
        <v>157</v>
      </c>
    </row>
    <row r="2406" spans="1:5" x14ac:dyDescent="0.3">
      <c r="A2406">
        <v>2405</v>
      </c>
      <c r="B2406" s="1" t="s">
        <v>98</v>
      </c>
      <c r="C2406" t="s">
        <v>151</v>
      </c>
      <c r="D2406">
        <v>63</v>
      </c>
      <c r="E2406" t="s">
        <v>157</v>
      </c>
    </row>
    <row r="2407" spans="1:5" x14ac:dyDescent="0.3">
      <c r="A2407">
        <v>2406</v>
      </c>
      <c r="B2407" s="1" t="s">
        <v>98</v>
      </c>
      <c r="C2407" t="s">
        <v>150</v>
      </c>
      <c r="D2407">
        <v>76</v>
      </c>
      <c r="E2407" t="s">
        <v>157</v>
      </c>
    </row>
    <row r="2408" spans="1:5" x14ac:dyDescent="0.3">
      <c r="A2408">
        <v>2407</v>
      </c>
      <c r="B2408" s="1" t="s">
        <v>98</v>
      </c>
      <c r="C2408" t="s">
        <v>150</v>
      </c>
      <c r="D2408">
        <v>78</v>
      </c>
      <c r="E2408" t="s">
        <v>157</v>
      </c>
    </row>
    <row r="2409" spans="1:5" x14ac:dyDescent="0.3">
      <c r="A2409">
        <v>2408</v>
      </c>
      <c r="B2409" s="1" t="s">
        <v>98</v>
      </c>
      <c r="C2409" t="s">
        <v>151</v>
      </c>
      <c r="D2409">
        <v>27</v>
      </c>
      <c r="E2409" t="s">
        <v>157</v>
      </c>
    </row>
    <row r="2410" spans="1:5" x14ac:dyDescent="0.3">
      <c r="A2410">
        <v>2409</v>
      </c>
      <c r="B2410" s="1" t="s">
        <v>100</v>
      </c>
      <c r="C2410" t="s">
        <v>151</v>
      </c>
      <c r="D2410">
        <v>30</v>
      </c>
      <c r="E2410" t="s">
        <v>157</v>
      </c>
    </row>
    <row r="2411" spans="1:5" x14ac:dyDescent="0.3">
      <c r="A2411">
        <v>2410</v>
      </c>
      <c r="B2411" s="1" t="s">
        <v>99</v>
      </c>
      <c r="C2411" t="s">
        <v>150</v>
      </c>
      <c r="D2411">
        <v>89</v>
      </c>
      <c r="E2411" t="s">
        <v>157</v>
      </c>
    </row>
    <row r="2412" spans="1:5" x14ac:dyDescent="0.3">
      <c r="A2412">
        <v>2411</v>
      </c>
      <c r="B2412" s="1" t="s">
        <v>103</v>
      </c>
      <c r="C2412" t="s">
        <v>150</v>
      </c>
      <c r="D2412">
        <v>88</v>
      </c>
      <c r="E2412" t="s">
        <v>157</v>
      </c>
    </row>
    <row r="2413" spans="1:5" x14ac:dyDescent="0.3">
      <c r="A2413">
        <v>2412</v>
      </c>
      <c r="B2413" s="1" t="s">
        <v>98</v>
      </c>
      <c r="C2413" t="s">
        <v>150</v>
      </c>
      <c r="D2413">
        <v>19</v>
      </c>
      <c r="E2413" t="s">
        <v>157</v>
      </c>
    </row>
    <row r="2414" spans="1:5" x14ac:dyDescent="0.3">
      <c r="A2414">
        <v>2413</v>
      </c>
      <c r="B2414" s="1" t="s">
        <v>105</v>
      </c>
      <c r="C2414" t="s">
        <v>150</v>
      </c>
      <c r="D2414">
        <v>31</v>
      </c>
      <c r="E2414" t="s">
        <v>157</v>
      </c>
    </row>
    <row r="2415" spans="1:5" x14ac:dyDescent="0.3">
      <c r="A2415">
        <v>2414</v>
      </c>
      <c r="B2415" s="1" t="s">
        <v>104</v>
      </c>
      <c r="C2415" t="s">
        <v>151</v>
      </c>
      <c r="D2415">
        <v>34</v>
      </c>
      <c r="E2415" t="s">
        <v>157</v>
      </c>
    </row>
    <row r="2416" spans="1:5" x14ac:dyDescent="0.3">
      <c r="A2416">
        <v>2415</v>
      </c>
      <c r="B2416" s="1" t="s">
        <v>102</v>
      </c>
      <c r="C2416" t="s">
        <v>151</v>
      </c>
      <c r="D2416">
        <v>54</v>
      </c>
      <c r="E2416" t="s">
        <v>157</v>
      </c>
    </row>
    <row r="2417" spans="1:5" x14ac:dyDescent="0.3">
      <c r="A2417">
        <v>2416</v>
      </c>
      <c r="B2417" s="1" t="s">
        <v>104</v>
      </c>
      <c r="C2417" t="s">
        <v>151</v>
      </c>
      <c r="D2417">
        <v>26</v>
      </c>
      <c r="E2417" t="s">
        <v>157</v>
      </c>
    </row>
    <row r="2418" spans="1:5" x14ac:dyDescent="0.3">
      <c r="A2418">
        <v>2417</v>
      </c>
      <c r="B2418" s="1" t="s">
        <v>98</v>
      </c>
      <c r="C2418" t="s">
        <v>150</v>
      </c>
      <c r="D2418">
        <v>52</v>
      </c>
      <c r="E2418" t="s">
        <v>157</v>
      </c>
    </row>
    <row r="2419" spans="1:5" x14ac:dyDescent="0.3">
      <c r="A2419">
        <v>2418</v>
      </c>
      <c r="B2419" s="1" t="s">
        <v>98</v>
      </c>
      <c r="C2419" t="s">
        <v>150</v>
      </c>
      <c r="D2419">
        <v>65</v>
      </c>
      <c r="E2419" t="s">
        <v>157</v>
      </c>
    </row>
    <row r="2420" spans="1:5" x14ac:dyDescent="0.3">
      <c r="A2420">
        <v>2419</v>
      </c>
      <c r="B2420" s="1" t="s">
        <v>106</v>
      </c>
      <c r="C2420" t="s">
        <v>150</v>
      </c>
      <c r="D2420">
        <v>83</v>
      </c>
      <c r="E2420" t="s">
        <v>157</v>
      </c>
    </row>
    <row r="2421" spans="1:5" x14ac:dyDescent="0.3">
      <c r="A2421">
        <v>2420</v>
      </c>
      <c r="B2421" s="1" t="s">
        <v>99</v>
      </c>
      <c r="C2421" t="s">
        <v>150</v>
      </c>
      <c r="D2421">
        <v>65</v>
      </c>
      <c r="E2421" t="s">
        <v>157</v>
      </c>
    </row>
    <row r="2422" spans="1:5" x14ac:dyDescent="0.3">
      <c r="A2422">
        <v>2421</v>
      </c>
      <c r="B2422" s="1" t="s">
        <v>106</v>
      </c>
      <c r="C2422" t="s">
        <v>151</v>
      </c>
      <c r="D2422">
        <v>78</v>
      </c>
      <c r="E2422" t="s">
        <v>157</v>
      </c>
    </row>
    <row r="2423" spans="1:5" x14ac:dyDescent="0.3">
      <c r="A2423">
        <v>2422</v>
      </c>
      <c r="B2423" s="1" t="s">
        <v>98</v>
      </c>
      <c r="C2423" t="s">
        <v>150</v>
      </c>
      <c r="D2423">
        <v>31</v>
      </c>
      <c r="E2423" t="s">
        <v>157</v>
      </c>
    </row>
    <row r="2424" spans="1:5" x14ac:dyDescent="0.3">
      <c r="A2424">
        <v>2423</v>
      </c>
      <c r="B2424" s="1" t="s">
        <v>100</v>
      </c>
      <c r="C2424" t="s">
        <v>151</v>
      </c>
      <c r="D2424">
        <v>88</v>
      </c>
      <c r="E2424" t="s">
        <v>157</v>
      </c>
    </row>
    <row r="2425" spans="1:5" x14ac:dyDescent="0.3">
      <c r="A2425">
        <v>2424</v>
      </c>
      <c r="B2425" s="1" t="s">
        <v>98</v>
      </c>
      <c r="C2425" t="s">
        <v>151</v>
      </c>
      <c r="D2425">
        <v>73</v>
      </c>
      <c r="E2425" t="s">
        <v>157</v>
      </c>
    </row>
    <row r="2426" spans="1:5" x14ac:dyDescent="0.3">
      <c r="A2426">
        <v>2425</v>
      </c>
      <c r="B2426" s="1" t="s">
        <v>100</v>
      </c>
      <c r="C2426" t="s">
        <v>150</v>
      </c>
      <c r="D2426">
        <v>76</v>
      </c>
      <c r="E2426" t="s">
        <v>157</v>
      </c>
    </row>
    <row r="2427" spans="1:5" x14ac:dyDescent="0.3">
      <c r="A2427">
        <v>2426</v>
      </c>
      <c r="B2427" s="1" t="s">
        <v>98</v>
      </c>
      <c r="C2427" t="s">
        <v>150</v>
      </c>
      <c r="D2427">
        <v>57</v>
      </c>
      <c r="E2427" t="s">
        <v>157</v>
      </c>
    </row>
    <row r="2428" spans="1:5" x14ac:dyDescent="0.3">
      <c r="A2428">
        <v>2427</v>
      </c>
      <c r="B2428" s="1" t="s">
        <v>104</v>
      </c>
      <c r="C2428" t="s">
        <v>151</v>
      </c>
      <c r="D2428">
        <v>30</v>
      </c>
      <c r="E2428" t="s">
        <v>157</v>
      </c>
    </row>
    <row r="2429" spans="1:5" x14ac:dyDescent="0.3">
      <c r="A2429">
        <v>2428</v>
      </c>
      <c r="B2429" s="1" t="s">
        <v>99</v>
      </c>
      <c r="C2429" t="s">
        <v>151</v>
      </c>
      <c r="D2429">
        <v>74</v>
      </c>
      <c r="E2429" t="s">
        <v>157</v>
      </c>
    </row>
    <row r="2430" spans="1:5" x14ac:dyDescent="0.3">
      <c r="A2430">
        <v>2429</v>
      </c>
      <c r="B2430" s="1" t="s">
        <v>98</v>
      </c>
      <c r="C2430" t="s">
        <v>150</v>
      </c>
      <c r="D2430">
        <v>38</v>
      </c>
      <c r="E2430" t="s">
        <v>157</v>
      </c>
    </row>
    <row r="2431" spans="1:5" x14ac:dyDescent="0.3">
      <c r="A2431">
        <v>2430</v>
      </c>
      <c r="B2431" s="1" t="s">
        <v>98</v>
      </c>
      <c r="C2431" t="s">
        <v>151</v>
      </c>
      <c r="D2431">
        <v>76</v>
      </c>
      <c r="E2431" t="s">
        <v>157</v>
      </c>
    </row>
    <row r="2432" spans="1:5" x14ac:dyDescent="0.3">
      <c r="A2432">
        <v>2431</v>
      </c>
      <c r="B2432" s="1" t="s">
        <v>99</v>
      </c>
      <c r="C2432" t="s">
        <v>151</v>
      </c>
      <c r="D2432">
        <v>46</v>
      </c>
      <c r="E2432" t="s">
        <v>157</v>
      </c>
    </row>
    <row r="2433" spans="1:5" x14ac:dyDescent="0.3">
      <c r="A2433">
        <v>2432</v>
      </c>
      <c r="B2433" s="1" t="s">
        <v>108</v>
      </c>
      <c r="C2433" t="s">
        <v>150</v>
      </c>
      <c r="D2433">
        <v>70</v>
      </c>
      <c r="E2433" t="s">
        <v>157</v>
      </c>
    </row>
    <row r="2434" spans="1:5" x14ac:dyDescent="0.3">
      <c r="A2434">
        <v>2433</v>
      </c>
      <c r="B2434" s="1" t="s">
        <v>104</v>
      </c>
      <c r="C2434" t="s">
        <v>151</v>
      </c>
      <c r="D2434">
        <v>58</v>
      </c>
      <c r="E2434" t="s">
        <v>157</v>
      </c>
    </row>
    <row r="2435" spans="1:5" x14ac:dyDescent="0.3">
      <c r="A2435">
        <v>2434</v>
      </c>
      <c r="B2435" s="1" t="s">
        <v>100</v>
      </c>
      <c r="C2435" t="s">
        <v>150</v>
      </c>
      <c r="D2435">
        <v>29</v>
      </c>
      <c r="E2435" t="s">
        <v>157</v>
      </c>
    </row>
    <row r="2436" spans="1:5" x14ac:dyDescent="0.3">
      <c r="A2436">
        <v>2435</v>
      </c>
      <c r="B2436" s="1" t="s">
        <v>104</v>
      </c>
      <c r="C2436" t="s">
        <v>151</v>
      </c>
      <c r="D2436">
        <v>82</v>
      </c>
      <c r="E2436" t="s">
        <v>157</v>
      </c>
    </row>
    <row r="2437" spans="1:5" x14ac:dyDescent="0.3">
      <c r="A2437">
        <v>2436</v>
      </c>
      <c r="B2437" s="1" t="s">
        <v>98</v>
      </c>
      <c r="C2437" t="s">
        <v>150</v>
      </c>
      <c r="D2437">
        <v>42</v>
      </c>
      <c r="E2437" t="s">
        <v>157</v>
      </c>
    </row>
    <row r="2438" spans="1:5" x14ac:dyDescent="0.3">
      <c r="A2438">
        <v>2437</v>
      </c>
      <c r="B2438" s="1" t="s">
        <v>107</v>
      </c>
      <c r="C2438" t="s">
        <v>150</v>
      </c>
      <c r="D2438">
        <v>65</v>
      </c>
      <c r="E2438" t="s">
        <v>157</v>
      </c>
    </row>
    <row r="2439" spans="1:5" x14ac:dyDescent="0.3">
      <c r="A2439">
        <v>2438</v>
      </c>
      <c r="B2439" s="1" t="s">
        <v>104</v>
      </c>
      <c r="C2439" t="s">
        <v>150</v>
      </c>
      <c r="D2439">
        <v>25</v>
      </c>
      <c r="E2439" t="s">
        <v>157</v>
      </c>
    </row>
    <row r="2440" spans="1:5" x14ac:dyDescent="0.3">
      <c r="A2440">
        <v>2439</v>
      </c>
      <c r="B2440" s="1" t="s">
        <v>98</v>
      </c>
      <c r="C2440" t="s">
        <v>150</v>
      </c>
      <c r="D2440">
        <v>84</v>
      </c>
      <c r="E2440" t="s">
        <v>157</v>
      </c>
    </row>
    <row r="2441" spans="1:5" x14ac:dyDescent="0.3">
      <c r="A2441">
        <v>2440</v>
      </c>
      <c r="B2441" s="1" t="s">
        <v>106</v>
      </c>
      <c r="C2441" t="s">
        <v>150</v>
      </c>
      <c r="D2441">
        <v>61</v>
      </c>
      <c r="E2441" t="s">
        <v>157</v>
      </c>
    </row>
    <row r="2442" spans="1:5" x14ac:dyDescent="0.3">
      <c r="A2442">
        <v>2441</v>
      </c>
      <c r="B2442" s="1" t="s">
        <v>98</v>
      </c>
      <c r="C2442" t="s">
        <v>151</v>
      </c>
      <c r="D2442">
        <v>68</v>
      </c>
      <c r="E2442" t="s">
        <v>157</v>
      </c>
    </row>
    <row r="2443" spans="1:5" x14ac:dyDescent="0.3">
      <c r="A2443">
        <v>2442</v>
      </c>
      <c r="B2443" s="1" t="s">
        <v>98</v>
      </c>
      <c r="C2443" t="s">
        <v>150</v>
      </c>
      <c r="D2443">
        <v>70</v>
      </c>
      <c r="E2443" t="s">
        <v>157</v>
      </c>
    </row>
    <row r="2444" spans="1:5" x14ac:dyDescent="0.3">
      <c r="A2444">
        <v>2443</v>
      </c>
      <c r="B2444" s="1" t="s">
        <v>104</v>
      </c>
      <c r="C2444" t="s">
        <v>150</v>
      </c>
      <c r="D2444">
        <v>23</v>
      </c>
      <c r="E2444" t="s">
        <v>157</v>
      </c>
    </row>
    <row r="2445" spans="1:5" x14ac:dyDescent="0.3">
      <c r="A2445">
        <v>2444</v>
      </c>
      <c r="B2445" s="1" t="s">
        <v>104</v>
      </c>
      <c r="C2445" t="s">
        <v>151</v>
      </c>
      <c r="D2445">
        <v>89</v>
      </c>
      <c r="E2445" t="s">
        <v>157</v>
      </c>
    </row>
    <row r="2446" spans="1:5" x14ac:dyDescent="0.3">
      <c r="A2446">
        <v>2445</v>
      </c>
      <c r="B2446" s="1" t="s">
        <v>98</v>
      </c>
      <c r="C2446" t="s">
        <v>150</v>
      </c>
      <c r="D2446">
        <v>46</v>
      </c>
      <c r="E2446" t="s">
        <v>157</v>
      </c>
    </row>
    <row r="2447" spans="1:5" x14ac:dyDescent="0.3">
      <c r="A2447">
        <v>2446</v>
      </c>
      <c r="B2447" s="1" t="s">
        <v>99</v>
      </c>
      <c r="C2447" t="s">
        <v>150</v>
      </c>
      <c r="D2447">
        <v>47</v>
      </c>
      <c r="E2447" t="s">
        <v>157</v>
      </c>
    </row>
    <row r="2448" spans="1:5" x14ac:dyDescent="0.3">
      <c r="A2448">
        <v>2447</v>
      </c>
      <c r="B2448" s="1" t="s">
        <v>109</v>
      </c>
      <c r="C2448" t="s">
        <v>151</v>
      </c>
      <c r="D2448">
        <v>25</v>
      </c>
      <c r="E2448" t="s">
        <v>157</v>
      </c>
    </row>
    <row r="2449" spans="1:5" x14ac:dyDescent="0.3">
      <c r="A2449">
        <v>2448</v>
      </c>
      <c r="B2449" s="1" t="s">
        <v>104</v>
      </c>
      <c r="C2449" t="s">
        <v>151</v>
      </c>
      <c r="D2449">
        <v>55</v>
      </c>
      <c r="E2449" t="s">
        <v>157</v>
      </c>
    </row>
    <row r="2450" spans="1:5" x14ac:dyDescent="0.3">
      <c r="A2450">
        <v>2449</v>
      </c>
      <c r="B2450" s="1" t="s">
        <v>104</v>
      </c>
      <c r="C2450" t="s">
        <v>150</v>
      </c>
      <c r="D2450">
        <v>57</v>
      </c>
      <c r="E2450" t="s">
        <v>157</v>
      </c>
    </row>
    <row r="2451" spans="1:5" x14ac:dyDescent="0.3">
      <c r="A2451">
        <v>2450</v>
      </c>
      <c r="B2451" s="1" t="s">
        <v>104</v>
      </c>
      <c r="C2451" t="s">
        <v>150</v>
      </c>
      <c r="D2451">
        <v>21</v>
      </c>
      <c r="E2451" t="s">
        <v>157</v>
      </c>
    </row>
    <row r="2452" spans="1:5" x14ac:dyDescent="0.3">
      <c r="A2452">
        <v>2451</v>
      </c>
      <c r="B2452" s="1" t="s">
        <v>98</v>
      </c>
      <c r="C2452" t="s">
        <v>151</v>
      </c>
      <c r="D2452">
        <v>89</v>
      </c>
      <c r="E2452" t="s">
        <v>157</v>
      </c>
    </row>
    <row r="2453" spans="1:5" x14ac:dyDescent="0.3">
      <c r="A2453">
        <v>2452</v>
      </c>
      <c r="B2453" s="1" t="s">
        <v>105</v>
      </c>
      <c r="C2453" t="s">
        <v>151</v>
      </c>
      <c r="D2453">
        <v>48</v>
      </c>
      <c r="E2453" t="s">
        <v>157</v>
      </c>
    </row>
    <row r="2454" spans="1:5" x14ac:dyDescent="0.3">
      <c r="A2454">
        <v>2453</v>
      </c>
      <c r="B2454" s="1" t="s">
        <v>98</v>
      </c>
      <c r="C2454" t="s">
        <v>150</v>
      </c>
      <c r="D2454">
        <v>37</v>
      </c>
      <c r="E2454" t="s">
        <v>157</v>
      </c>
    </row>
    <row r="2455" spans="1:5" x14ac:dyDescent="0.3">
      <c r="A2455">
        <v>2454</v>
      </c>
      <c r="B2455" s="1" t="s">
        <v>104</v>
      </c>
      <c r="C2455" t="s">
        <v>150</v>
      </c>
      <c r="D2455">
        <v>21</v>
      </c>
      <c r="E2455" t="s">
        <v>157</v>
      </c>
    </row>
    <row r="2456" spans="1:5" x14ac:dyDescent="0.3">
      <c r="A2456">
        <v>2455</v>
      </c>
      <c r="B2456" s="1" t="s">
        <v>98</v>
      </c>
      <c r="C2456" t="s">
        <v>150</v>
      </c>
      <c r="D2456">
        <v>68</v>
      </c>
      <c r="E2456" t="s">
        <v>157</v>
      </c>
    </row>
    <row r="2457" spans="1:5" x14ac:dyDescent="0.3">
      <c r="A2457">
        <v>2456</v>
      </c>
      <c r="B2457" s="1" t="s">
        <v>99</v>
      </c>
      <c r="C2457" t="s">
        <v>150</v>
      </c>
      <c r="D2457">
        <v>77</v>
      </c>
      <c r="E2457" t="s">
        <v>157</v>
      </c>
    </row>
    <row r="2458" spans="1:5" x14ac:dyDescent="0.3">
      <c r="A2458">
        <v>2457</v>
      </c>
      <c r="B2458" s="1" t="s">
        <v>98</v>
      </c>
      <c r="C2458" t="s">
        <v>150</v>
      </c>
      <c r="D2458">
        <v>50</v>
      </c>
      <c r="E2458" t="s">
        <v>157</v>
      </c>
    </row>
    <row r="2459" spans="1:5" x14ac:dyDescent="0.3">
      <c r="A2459">
        <v>2458</v>
      </c>
      <c r="B2459" s="1" t="s">
        <v>98</v>
      </c>
      <c r="C2459" t="s">
        <v>150</v>
      </c>
      <c r="D2459">
        <v>72</v>
      </c>
      <c r="E2459" t="s">
        <v>157</v>
      </c>
    </row>
    <row r="2460" spans="1:5" x14ac:dyDescent="0.3">
      <c r="A2460">
        <v>2459</v>
      </c>
      <c r="B2460" s="1" t="s">
        <v>98</v>
      </c>
      <c r="C2460" t="s">
        <v>150</v>
      </c>
      <c r="D2460">
        <v>72</v>
      </c>
      <c r="E2460" t="s">
        <v>157</v>
      </c>
    </row>
    <row r="2461" spans="1:5" x14ac:dyDescent="0.3">
      <c r="A2461">
        <v>2460</v>
      </c>
      <c r="B2461" s="1" t="s">
        <v>102</v>
      </c>
      <c r="C2461" t="s">
        <v>151</v>
      </c>
      <c r="D2461">
        <v>67</v>
      </c>
      <c r="E2461" t="s">
        <v>157</v>
      </c>
    </row>
    <row r="2462" spans="1:5" x14ac:dyDescent="0.3">
      <c r="A2462">
        <v>2461</v>
      </c>
      <c r="B2462" s="1" t="s">
        <v>98</v>
      </c>
      <c r="C2462" t="s">
        <v>150</v>
      </c>
      <c r="D2462">
        <v>40</v>
      </c>
      <c r="E2462" t="s">
        <v>157</v>
      </c>
    </row>
    <row r="2463" spans="1:5" x14ac:dyDescent="0.3">
      <c r="A2463">
        <v>2462</v>
      </c>
      <c r="B2463" s="1" t="s">
        <v>98</v>
      </c>
      <c r="C2463" t="s">
        <v>150</v>
      </c>
      <c r="D2463">
        <v>50</v>
      </c>
      <c r="E2463" t="s">
        <v>157</v>
      </c>
    </row>
    <row r="2464" spans="1:5" x14ac:dyDescent="0.3">
      <c r="A2464">
        <v>2463</v>
      </c>
      <c r="B2464" s="1" t="s">
        <v>98</v>
      </c>
      <c r="C2464" t="s">
        <v>150</v>
      </c>
      <c r="D2464">
        <v>58</v>
      </c>
      <c r="E2464" t="s">
        <v>157</v>
      </c>
    </row>
    <row r="2465" spans="1:5" x14ac:dyDescent="0.3">
      <c r="A2465">
        <v>2464</v>
      </c>
      <c r="B2465" s="1" t="s">
        <v>99</v>
      </c>
      <c r="C2465" t="s">
        <v>151</v>
      </c>
      <c r="D2465">
        <v>57</v>
      </c>
      <c r="E2465" t="s">
        <v>157</v>
      </c>
    </row>
    <row r="2466" spans="1:5" x14ac:dyDescent="0.3">
      <c r="A2466">
        <v>2465</v>
      </c>
      <c r="B2466" s="1" t="s">
        <v>100</v>
      </c>
      <c r="C2466" t="s">
        <v>151</v>
      </c>
      <c r="D2466">
        <v>38</v>
      </c>
      <c r="E2466" t="s">
        <v>157</v>
      </c>
    </row>
    <row r="2467" spans="1:5" x14ac:dyDescent="0.3">
      <c r="A2467">
        <v>2466</v>
      </c>
      <c r="B2467" s="1" t="s">
        <v>98</v>
      </c>
      <c r="C2467" t="s">
        <v>151</v>
      </c>
      <c r="D2467">
        <v>39</v>
      </c>
      <c r="E2467" t="s">
        <v>157</v>
      </c>
    </row>
    <row r="2468" spans="1:5" x14ac:dyDescent="0.3">
      <c r="A2468">
        <v>2467</v>
      </c>
      <c r="B2468" s="1" t="s">
        <v>99</v>
      </c>
      <c r="C2468" t="s">
        <v>150</v>
      </c>
      <c r="D2468">
        <v>37</v>
      </c>
      <c r="E2468" t="s">
        <v>157</v>
      </c>
    </row>
    <row r="2469" spans="1:5" x14ac:dyDescent="0.3">
      <c r="A2469">
        <v>2468</v>
      </c>
      <c r="B2469" s="1" t="s">
        <v>98</v>
      </c>
      <c r="C2469" t="s">
        <v>151</v>
      </c>
      <c r="D2469">
        <v>64</v>
      </c>
      <c r="E2469" t="s">
        <v>157</v>
      </c>
    </row>
    <row r="2470" spans="1:5" x14ac:dyDescent="0.3">
      <c r="A2470">
        <v>2469</v>
      </c>
      <c r="B2470" s="1" t="s">
        <v>100</v>
      </c>
      <c r="C2470" t="s">
        <v>151</v>
      </c>
      <c r="D2470">
        <v>41</v>
      </c>
      <c r="E2470" t="s">
        <v>157</v>
      </c>
    </row>
    <row r="2471" spans="1:5" x14ac:dyDescent="0.3">
      <c r="A2471">
        <v>2470</v>
      </c>
      <c r="B2471" s="1" t="s">
        <v>98</v>
      </c>
      <c r="C2471" t="s">
        <v>151</v>
      </c>
      <c r="D2471">
        <v>49</v>
      </c>
      <c r="E2471" t="s">
        <v>157</v>
      </c>
    </row>
    <row r="2472" spans="1:5" x14ac:dyDescent="0.3">
      <c r="A2472">
        <v>2471</v>
      </c>
      <c r="B2472" s="1" t="s">
        <v>98</v>
      </c>
      <c r="C2472" t="s">
        <v>150</v>
      </c>
      <c r="D2472">
        <v>57</v>
      </c>
      <c r="E2472" t="s">
        <v>157</v>
      </c>
    </row>
    <row r="2473" spans="1:5" x14ac:dyDescent="0.3">
      <c r="A2473">
        <v>2472</v>
      </c>
      <c r="B2473" s="1" t="s">
        <v>106</v>
      </c>
      <c r="C2473" t="s">
        <v>151</v>
      </c>
      <c r="D2473">
        <v>44</v>
      </c>
      <c r="E2473" t="s">
        <v>157</v>
      </c>
    </row>
    <row r="2474" spans="1:5" x14ac:dyDescent="0.3">
      <c r="A2474">
        <v>2473</v>
      </c>
      <c r="B2474" s="1" t="s">
        <v>107</v>
      </c>
      <c r="C2474" t="s">
        <v>150</v>
      </c>
      <c r="D2474">
        <v>42</v>
      </c>
      <c r="E2474" t="s">
        <v>157</v>
      </c>
    </row>
    <row r="2475" spans="1:5" x14ac:dyDescent="0.3">
      <c r="A2475">
        <v>2474</v>
      </c>
      <c r="B2475" s="1" t="s">
        <v>108</v>
      </c>
      <c r="C2475" t="s">
        <v>150</v>
      </c>
      <c r="D2475">
        <v>63</v>
      </c>
      <c r="E2475" t="s">
        <v>157</v>
      </c>
    </row>
    <row r="2476" spans="1:5" x14ac:dyDescent="0.3">
      <c r="A2476">
        <v>2475</v>
      </c>
      <c r="B2476" s="1" t="s">
        <v>98</v>
      </c>
      <c r="C2476" t="s">
        <v>151</v>
      </c>
      <c r="D2476">
        <v>78</v>
      </c>
      <c r="E2476" t="s">
        <v>157</v>
      </c>
    </row>
    <row r="2477" spans="1:5" x14ac:dyDescent="0.3">
      <c r="A2477">
        <v>2476</v>
      </c>
      <c r="B2477" s="1" t="s">
        <v>104</v>
      </c>
      <c r="C2477" t="s">
        <v>151</v>
      </c>
      <c r="D2477">
        <v>86</v>
      </c>
      <c r="E2477" t="s">
        <v>157</v>
      </c>
    </row>
    <row r="2478" spans="1:5" x14ac:dyDescent="0.3">
      <c r="A2478">
        <v>2477</v>
      </c>
      <c r="B2478" s="1" t="s">
        <v>98</v>
      </c>
      <c r="C2478" t="s">
        <v>150</v>
      </c>
      <c r="D2478">
        <v>69</v>
      </c>
      <c r="E2478" t="s">
        <v>157</v>
      </c>
    </row>
    <row r="2479" spans="1:5" x14ac:dyDescent="0.3">
      <c r="A2479">
        <v>2478</v>
      </c>
      <c r="B2479" s="1" t="s">
        <v>100</v>
      </c>
      <c r="C2479" t="s">
        <v>150</v>
      </c>
      <c r="D2479">
        <v>83</v>
      </c>
      <c r="E2479" t="s">
        <v>157</v>
      </c>
    </row>
    <row r="2480" spans="1:5" x14ac:dyDescent="0.3">
      <c r="A2480">
        <v>2479</v>
      </c>
      <c r="B2480" s="1" t="s">
        <v>98</v>
      </c>
      <c r="C2480" t="s">
        <v>151</v>
      </c>
      <c r="D2480">
        <v>89</v>
      </c>
      <c r="E2480" t="s">
        <v>157</v>
      </c>
    </row>
    <row r="2481" spans="1:5" x14ac:dyDescent="0.3">
      <c r="A2481">
        <v>2480</v>
      </c>
      <c r="B2481" s="1" t="s">
        <v>107</v>
      </c>
      <c r="C2481" t="s">
        <v>150</v>
      </c>
      <c r="D2481">
        <v>47</v>
      </c>
      <c r="E2481" t="s">
        <v>157</v>
      </c>
    </row>
    <row r="2482" spans="1:5" x14ac:dyDescent="0.3">
      <c r="A2482">
        <v>2481</v>
      </c>
      <c r="B2482" s="1" t="s">
        <v>104</v>
      </c>
      <c r="C2482" t="s">
        <v>150</v>
      </c>
      <c r="D2482">
        <v>56</v>
      </c>
      <c r="E2482" t="s">
        <v>157</v>
      </c>
    </row>
    <row r="2483" spans="1:5" x14ac:dyDescent="0.3">
      <c r="A2483">
        <v>2482</v>
      </c>
      <c r="B2483" s="1" t="s">
        <v>108</v>
      </c>
      <c r="C2483" t="s">
        <v>150</v>
      </c>
      <c r="D2483">
        <v>61</v>
      </c>
      <c r="E2483" t="s">
        <v>157</v>
      </c>
    </row>
    <row r="2484" spans="1:5" x14ac:dyDescent="0.3">
      <c r="A2484">
        <v>2483</v>
      </c>
      <c r="B2484" s="1" t="s">
        <v>101</v>
      </c>
      <c r="C2484" t="s">
        <v>151</v>
      </c>
      <c r="D2484">
        <v>90</v>
      </c>
      <c r="E2484" t="s">
        <v>157</v>
      </c>
    </row>
    <row r="2485" spans="1:5" x14ac:dyDescent="0.3">
      <c r="A2485">
        <v>2484</v>
      </c>
      <c r="B2485" s="1" t="s">
        <v>98</v>
      </c>
      <c r="C2485" t="s">
        <v>150</v>
      </c>
      <c r="D2485">
        <v>55</v>
      </c>
      <c r="E2485" t="s">
        <v>157</v>
      </c>
    </row>
    <row r="2486" spans="1:5" x14ac:dyDescent="0.3">
      <c r="A2486">
        <v>2485</v>
      </c>
      <c r="B2486" s="1" t="s">
        <v>100</v>
      </c>
      <c r="C2486" t="s">
        <v>151</v>
      </c>
      <c r="D2486">
        <v>64</v>
      </c>
      <c r="E2486" t="s">
        <v>157</v>
      </c>
    </row>
    <row r="2487" spans="1:5" x14ac:dyDescent="0.3">
      <c r="A2487">
        <v>2486</v>
      </c>
      <c r="B2487" s="1" t="s">
        <v>107</v>
      </c>
      <c r="C2487" t="s">
        <v>151</v>
      </c>
      <c r="D2487">
        <v>60</v>
      </c>
      <c r="E2487" t="s">
        <v>157</v>
      </c>
    </row>
    <row r="2488" spans="1:5" x14ac:dyDescent="0.3">
      <c r="A2488">
        <v>2487</v>
      </c>
      <c r="B2488" s="1" t="s">
        <v>98</v>
      </c>
      <c r="C2488" t="s">
        <v>151</v>
      </c>
      <c r="D2488">
        <v>89</v>
      </c>
      <c r="E2488" t="s">
        <v>157</v>
      </c>
    </row>
    <row r="2489" spans="1:5" x14ac:dyDescent="0.3">
      <c r="A2489">
        <v>2488</v>
      </c>
      <c r="B2489" s="1" t="s">
        <v>100</v>
      </c>
      <c r="C2489" t="s">
        <v>151</v>
      </c>
      <c r="D2489">
        <v>67</v>
      </c>
      <c r="E2489" t="s">
        <v>157</v>
      </c>
    </row>
    <row r="2490" spans="1:5" x14ac:dyDescent="0.3">
      <c r="A2490">
        <v>2489</v>
      </c>
      <c r="B2490" s="1" t="s">
        <v>98</v>
      </c>
      <c r="C2490" t="s">
        <v>150</v>
      </c>
      <c r="D2490">
        <v>68</v>
      </c>
      <c r="E2490" t="s">
        <v>157</v>
      </c>
    </row>
    <row r="2491" spans="1:5" x14ac:dyDescent="0.3">
      <c r="A2491">
        <v>2490</v>
      </c>
      <c r="B2491" s="1" t="s">
        <v>98</v>
      </c>
      <c r="C2491" t="s">
        <v>151</v>
      </c>
      <c r="D2491">
        <v>31</v>
      </c>
      <c r="E2491" t="s">
        <v>157</v>
      </c>
    </row>
    <row r="2492" spans="1:5" x14ac:dyDescent="0.3">
      <c r="A2492">
        <v>2491</v>
      </c>
      <c r="B2492" s="1" t="s">
        <v>101</v>
      </c>
      <c r="C2492" t="s">
        <v>150</v>
      </c>
      <c r="D2492">
        <v>69</v>
      </c>
      <c r="E2492" t="s">
        <v>157</v>
      </c>
    </row>
    <row r="2493" spans="1:5" x14ac:dyDescent="0.3">
      <c r="A2493">
        <v>2492</v>
      </c>
      <c r="B2493" s="1" t="s">
        <v>99</v>
      </c>
      <c r="C2493" t="s">
        <v>150</v>
      </c>
      <c r="D2493">
        <v>82</v>
      </c>
      <c r="E2493" t="s">
        <v>157</v>
      </c>
    </row>
    <row r="2494" spans="1:5" x14ac:dyDescent="0.3">
      <c r="A2494">
        <v>2493</v>
      </c>
      <c r="B2494" s="1" t="s">
        <v>98</v>
      </c>
      <c r="C2494" t="s">
        <v>151</v>
      </c>
      <c r="D2494">
        <v>65</v>
      </c>
      <c r="E2494" t="s">
        <v>157</v>
      </c>
    </row>
    <row r="2495" spans="1:5" x14ac:dyDescent="0.3">
      <c r="A2495">
        <v>2494</v>
      </c>
      <c r="B2495" s="1" t="s">
        <v>103</v>
      </c>
      <c r="C2495" t="s">
        <v>150</v>
      </c>
      <c r="D2495">
        <v>29</v>
      </c>
      <c r="E2495" t="s">
        <v>157</v>
      </c>
    </row>
    <row r="2496" spans="1:5" x14ac:dyDescent="0.3">
      <c r="A2496">
        <v>2495</v>
      </c>
      <c r="B2496" s="1" t="s">
        <v>100</v>
      </c>
      <c r="C2496" t="s">
        <v>150</v>
      </c>
      <c r="D2496" s="15">
        <v>58.666666666666664</v>
      </c>
      <c r="E2496" t="s">
        <v>157</v>
      </c>
    </row>
    <row r="2497" spans="1:5" x14ac:dyDescent="0.3">
      <c r="A2497">
        <v>2496</v>
      </c>
      <c r="B2497" s="1" t="s">
        <v>99</v>
      </c>
      <c r="C2497" t="s">
        <v>151</v>
      </c>
      <c r="D2497">
        <v>89</v>
      </c>
      <c r="E2497" t="s">
        <v>157</v>
      </c>
    </row>
    <row r="2498" spans="1:5" x14ac:dyDescent="0.3">
      <c r="A2498">
        <v>2497</v>
      </c>
      <c r="B2498" s="1" t="s">
        <v>104</v>
      </c>
      <c r="C2498" t="s">
        <v>150</v>
      </c>
      <c r="D2498">
        <v>74</v>
      </c>
      <c r="E2498" t="s">
        <v>157</v>
      </c>
    </row>
    <row r="2499" spans="1:5" x14ac:dyDescent="0.3">
      <c r="A2499">
        <v>2498</v>
      </c>
      <c r="B2499" s="1" t="s">
        <v>100</v>
      </c>
      <c r="C2499" t="s">
        <v>150</v>
      </c>
      <c r="D2499">
        <v>35</v>
      </c>
      <c r="E2499" t="s">
        <v>157</v>
      </c>
    </row>
    <row r="2500" spans="1:5" x14ac:dyDescent="0.3">
      <c r="A2500">
        <v>2499</v>
      </c>
      <c r="B2500" s="1" t="s">
        <v>98</v>
      </c>
      <c r="C2500" t="s">
        <v>151</v>
      </c>
      <c r="D2500">
        <v>86</v>
      </c>
      <c r="E2500" t="s">
        <v>157</v>
      </c>
    </row>
    <row r="2501" spans="1:5" x14ac:dyDescent="0.3">
      <c r="A2501">
        <v>2500</v>
      </c>
      <c r="B2501" s="1" t="s">
        <v>107</v>
      </c>
      <c r="C2501" t="s">
        <v>151</v>
      </c>
      <c r="D2501">
        <v>46</v>
      </c>
      <c r="E2501" t="s">
        <v>157</v>
      </c>
    </row>
  </sheetData>
  <autoFilter ref="A1:E2501" xr:uid="{3948097F-60C5-4D3D-86B3-23A725C3CF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J93"/>
  <sheetViews>
    <sheetView workbookViewId="0">
      <selection activeCell="B10" sqref="B10"/>
    </sheetView>
  </sheetViews>
  <sheetFormatPr defaultRowHeight="14.4" x14ac:dyDescent="0.3"/>
  <cols>
    <col min="1" max="1" width="19.21875" bestFit="1" customWidth="1"/>
    <col min="2" max="2" width="22.88671875" bestFit="1" customWidth="1"/>
    <col min="3" max="3" width="22.77734375" bestFit="1" customWidth="1"/>
    <col min="4" max="4" width="16.33203125" bestFit="1" customWidth="1"/>
    <col min="5" max="5" width="10.33203125" bestFit="1" customWidth="1"/>
    <col min="6" max="6" width="15.5546875" bestFit="1" customWidth="1"/>
    <col min="7" max="7" width="12.33203125" style="31" bestFit="1" customWidth="1"/>
    <col min="8" max="8" width="24.6640625" bestFit="1" customWidth="1"/>
    <col min="9" max="9" width="12.77734375" bestFit="1" customWidth="1"/>
    <col min="10" max="10" width="16" style="43" bestFit="1" customWidth="1"/>
  </cols>
  <sheetData>
    <row r="1" spans="1:10" x14ac:dyDescent="0.3">
      <c r="A1" s="4" t="s">
        <v>2</v>
      </c>
      <c r="B1" s="4" t="s">
        <v>158</v>
      </c>
      <c r="C1" s="4" t="s">
        <v>159</v>
      </c>
      <c r="D1" s="4" t="s">
        <v>220</v>
      </c>
      <c r="E1" s="4" t="s">
        <v>140</v>
      </c>
      <c r="F1" s="4" t="s">
        <v>146</v>
      </c>
      <c r="G1" s="30" t="s">
        <v>263</v>
      </c>
      <c r="H1" s="4" t="s">
        <v>264</v>
      </c>
      <c r="I1" s="4" t="s">
        <v>308</v>
      </c>
      <c r="J1" s="42" t="s">
        <v>309</v>
      </c>
    </row>
    <row r="2" spans="1:10" x14ac:dyDescent="0.3">
      <c r="A2" t="s">
        <v>76</v>
      </c>
      <c r="B2" t="s">
        <v>114</v>
      </c>
      <c r="C2" t="s">
        <v>160</v>
      </c>
      <c r="D2" t="str">
        <f>_xlfn.CONCAT(B2," ",C2)</f>
        <v>Amelia Johnson</v>
      </c>
      <c r="E2" t="s">
        <v>145</v>
      </c>
      <c r="F2">
        <v>100000</v>
      </c>
      <c r="G2" s="32">
        <f>SUMIF(Orders!$J$1:$J$2501,'Sales Targets'!A2,Orders!$K$1:$K$2501)</f>
        <v>135017</v>
      </c>
      <c r="H2" t="str" cm="1">
        <f t="array" ref="H2">_xlfn.IFS(G2&lt;F2,"Target Not Met",G2=F2,"Target Met",G2&gt;F2,"Target Exceeded")</f>
        <v>Target Exceeded</v>
      </c>
      <c r="I2">
        <f>IF(G2&lt;F2,F2-G2,0)</f>
        <v>0</v>
      </c>
      <c r="J2" s="43">
        <f>G2/F2</f>
        <v>1.3501700000000001</v>
      </c>
    </row>
    <row r="3" spans="1:10" x14ac:dyDescent="0.3">
      <c r="A3" t="s">
        <v>7</v>
      </c>
      <c r="B3" t="s">
        <v>115</v>
      </c>
      <c r="C3" t="s">
        <v>161</v>
      </c>
      <c r="D3" t="str">
        <f t="shared" ref="D3:D66" si="0">_xlfn.CONCAT(B3," ",C3)</f>
        <v>Lukas Schmidt</v>
      </c>
      <c r="E3" t="s">
        <v>141</v>
      </c>
      <c r="F3">
        <v>200000</v>
      </c>
      <c r="G3" s="32">
        <f>SUMIF(Orders!$J$1:$J$2501,'Sales Targets'!A3,Orders!$K$1:$K$2501)</f>
        <v>192740</v>
      </c>
      <c r="H3" t="str" cm="1">
        <f t="array" ref="H3">_xlfn.IFS(G3&lt;F3,"Target Not Met",G3=F3,"Target Met",G3&gt;F3,"Target Exceeded")</f>
        <v>Target Not Met</v>
      </c>
      <c r="I3">
        <f t="shared" ref="I3:I66" si="1">IF(G3&lt;F3,F3-G3,0)</f>
        <v>7260</v>
      </c>
      <c r="J3" s="43">
        <f t="shared" ref="J3:J66" si="2">G3/F3</f>
        <v>0.9637</v>
      </c>
    </row>
    <row r="4" spans="1:10" x14ac:dyDescent="0.3">
      <c r="A4" t="s">
        <v>77</v>
      </c>
      <c r="B4" t="s">
        <v>116</v>
      </c>
      <c r="C4" t="s">
        <v>162</v>
      </c>
      <c r="D4" t="str">
        <f t="shared" si="0"/>
        <v>Olivia Jensen</v>
      </c>
      <c r="E4" t="s">
        <v>142</v>
      </c>
      <c r="F4">
        <v>200000</v>
      </c>
      <c r="G4" s="32">
        <f>SUMIF(Orders!$J$1:$J$2501,'Sales Targets'!A4,Orders!$K$1:$K$2501)</f>
        <v>227134</v>
      </c>
      <c r="H4" t="str" cm="1">
        <f t="array" ref="H4">_xlfn.IFS(G4&lt;F4,"Target Not Met",G4=F4,"Target Met",G4&gt;F4,"Target Exceeded")</f>
        <v>Target Exceeded</v>
      </c>
      <c r="I4">
        <f t="shared" si="1"/>
        <v>0</v>
      </c>
      <c r="J4" s="43">
        <f t="shared" si="2"/>
        <v>1.13567</v>
      </c>
    </row>
    <row r="5" spans="1:10" x14ac:dyDescent="0.3">
      <c r="A5" t="s">
        <v>21</v>
      </c>
      <c r="B5" t="s">
        <v>117</v>
      </c>
      <c r="C5" t="s">
        <v>163</v>
      </c>
      <c r="D5" t="str">
        <f t="shared" si="0"/>
        <v>Sofia Laine</v>
      </c>
      <c r="E5" t="s">
        <v>143</v>
      </c>
      <c r="F5">
        <v>100000</v>
      </c>
      <c r="G5" s="32">
        <f>SUMIF(Orders!$J$1:$J$2501,'Sales Targets'!A5,Orders!$K$1:$K$2501)</f>
        <v>130274</v>
      </c>
      <c r="H5" t="str" cm="1">
        <f t="array" ref="H5">_xlfn.IFS(G5&lt;F5,"Target Not Met",G5=F5,"Target Met",G5&gt;F5,"Target Exceeded")</f>
        <v>Target Exceeded</v>
      </c>
      <c r="I5">
        <f t="shared" si="1"/>
        <v>0</v>
      </c>
      <c r="J5" s="43">
        <f t="shared" si="2"/>
        <v>1.30274</v>
      </c>
    </row>
    <row r="6" spans="1:10" x14ac:dyDescent="0.3">
      <c r="A6" t="s">
        <v>23</v>
      </c>
      <c r="B6" t="s">
        <v>118</v>
      </c>
      <c r="C6" t="s">
        <v>164</v>
      </c>
      <c r="D6" t="str">
        <f t="shared" si="0"/>
        <v>Chloe Dupont</v>
      </c>
      <c r="E6" t="s">
        <v>142</v>
      </c>
      <c r="F6">
        <v>200000</v>
      </c>
      <c r="G6" s="32">
        <f>SUMIF(Orders!$J$1:$J$2501,'Sales Targets'!A6,Orders!$K$1:$K$2501)</f>
        <v>182094</v>
      </c>
      <c r="H6" t="str" cm="1">
        <f t="array" ref="H6">_xlfn.IFS(G6&lt;F6,"Target Not Met",G6=F6,"Target Met",G6&gt;F6,"Target Exceeded")</f>
        <v>Target Not Met</v>
      </c>
      <c r="I6">
        <f t="shared" si="1"/>
        <v>17906</v>
      </c>
      <c r="J6" s="43">
        <f t="shared" si="2"/>
        <v>0.91047</v>
      </c>
    </row>
    <row r="7" spans="1:10" x14ac:dyDescent="0.3">
      <c r="A7" t="s">
        <v>3</v>
      </c>
      <c r="B7" t="s">
        <v>119</v>
      </c>
      <c r="C7" t="s">
        <v>165</v>
      </c>
      <c r="D7" t="str">
        <f t="shared" si="0"/>
        <v>Alexander Müller</v>
      </c>
      <c r="E7" t="s">
        <v>141</v>
      </c>
      <c r="F7">
        <v>200000</v>
      </c>
      <c r="G7" s="32">
        <f>SUMIF(Orders!$J$1:$J$2501,'Sales Targets'!A7,Orders!$K$1:$K$2501)</f>
        <v>219735</v>
      </c>
      <c r="H7" t="str" cm="1">
        <f t="array" ref="H7">_xlfn.IFS(G7&lt;F7,"Target Not Met",G7=F7,"Target Met",G7&gt;F7,"Target Exceeded")</f>
        <v>Target Exceeded</v>
      </c>
      <c r="I7">
        <f t="shared" si="1"/>
        <v>0</v>
      </c>
      <c r="J7" s="43">
        <f t="shared" si="2"/>
        <v>1.0986750000000001</v>
      </c>
    </row>
    <row r="8" spans="1:10" x14ac:dyDescent="0.3">
      <c r="A8" t="s">
        <v>51</v>
      </c>
      <c r="B8" t="s">
        <v>120</v>
      </c>
      <c r="C8" t="s">
        <v>166</v>
      </c>
      <c r="D8" t="str">
        <f t="shared" si="0"/>
        <v>Liam O'Sullivan</v>
      </c>
      <c r="E8" t="s">
        <v>142</v>
      </c>
      <c r="F8">
        <v>100000</v>
      </c>
      <c r="G8" s="32">
        <f>SUMIF(Orders!$J$1:$J$2501,'Sales Targets'!A8,Orders!$K$1:$K$2501)</f>
        <v>145221</v>
      </c>
      <c r="H8" t="str" cm="1">
        <f t="array" ref="H8">_xlfn.IFS(G8&lt;F8,"Target Not Met",G8=F8,"Target Met",G8&gt;F8,"Target Exceeded")</f>
        <v>Target Exceeded</v>
      </c>
      <c r="I8">
        <f t="shared" si="1"/>
        <v>0</v>
      </c>
      <c r="J8" s="43">
        <f t="shared" si="2"/>
        <v>1.45221</v>
      </c>
    </row>
    <row r="9" spans="1:10" x14ac:dyDescent="0.3">
      <c r="A9" t="s">
        <v>4</v>
      </c>
      <c r="B9" t="s">
        <v>121</v>
      </c>
      <c r="C9" t="s">
        <v>167</v>
      </c>
      <c r="D9" t="str">
        <f t="shared" si="0"/>
        <v>Sophia Rossi</v>
      </c>
      <c r="E9" t="s">
        <v>142</v>
      </c>
      <c r="F9">
        <v>200000</v>
      </c>
      <c r="G9" s="32">
        <f>SUMIF(Orders!$J$1:$J$2501,'Sales Targets'!A9,Orders!$K$1:$K$2501)</f>
        <v>195983</v>
      </c>
      <c r="H9" t="str" cm="1">
        <f t="array" ref="H9">_xlfn.IFS(G9&lt;F9,"Target Not Met",G9=F9,"Target Met",G9&gt;F9,"Target Exceeded")</f>
        <v>Target Not Met</v>
      </c>
      <c r="I9">
        <f t="shared" si="1"/>
        <v>4017</v>
      </c>
      <c r="J9" s="43">
        <f t="shared" si="2"/>
        <v>0.97991499999999998</v>
      </c>
    </row>
    <row r="10" spans="1:10" x14ac:dyDescent="0.3">
      <c r="A10" t="s">
        <v>87</v>
      </c>
      <c r="B10" t="s">
        <v>122</v>
      </c>
      <c r="C10" t="s">
        <v>168</v>
      </c>
      <c r="D10" t="str">
        <f t="shared" si="0"/>
        <v>Emma Hansen</v>
      </c>
      <c r="E10" t="s">
        <v>143</v>
      </c>
      <c r="F10">
        <v>100000</v>
      </c>
      <c r="G10" s="32">
        <f>SUMIF(Orders!$J$1:$J$2501,'Sales Targets'!A10,Orders!$K$1:$K$2501)</f>
        <v>107896</v>
      </c>
      <c r="H10" t="str" cm="1">
        <f t="array" ref="H10">_xlfn.IFS(G10&lt;F10,"Target Not Met",G10=F10,"Target Met",G10&gt;F10,"Target Exceeded")</f>
        <v>Target Exceeded</v>
      </c>
      <c r="I10">
        <f t="shared" si="1"/>
        <v>0</v>
      </c>
      <c r="J10" s="43">
        <f t="shared" si="2"/>
        <v>1.0789599999999999</v>
      </c>
    </row>
    <row r="11" spans="1:10" x14ac:dyDescent="0.3">
      <c r="A11" t="s">
        <v>80</v>
      </c>
      <c r="B11" t="s">
        <v>123</v>
      </c>
      <c r="C11" t="s">
        <v>169</v>
      </c>
      <c r="D11" t="str">
        <f t="shared" si="0"/>
        <v>Ethan Lee</v>
      </c>
      <c r="E11" t="s">
        <v>142</v>
      </c>
      <c r="F11">
        <v>250000</v>
      </c>
      <c r="G11" s="32">
        <f>SUMIF(Orders!$J$1:$J$2501,'Sales Targets'!A11,Orders!$K$1:$K$2501)</f>
        <v>261093</v>
      </c>
      <c r="H11" t="str" cm="1">
        <f t="array" ref="H11">_xlfn.IFS(G11&lt;F11,"Target Not Met",G11=F11,"Target Met",G11&gt;F11,"Target Exceeded")</f>
        <v>Target Exceeded</v>
      </c>
      <c r="I11">
        <f t="shared" si="1"/>
        <v>0</v>
      </c>
      <c r="J11" s="43">
        <f t="shared" si="2"/>
        <v>1.0443720000000001</v>
      </c>
    </row>
    <row r="12" spans="1:10" x14ac:dyDescent="0.3">
      <c r="A12" t="s">
        <v>45</v>
      </c>
      <c r="B12" t="s">
        <v>124</v>
      </c>
      <c r="C12" t="s">
        <v>170</v>
      </c>
      <c r="D12" t="str">
        <f t="shared" si="0"/>
        <v>Isabella Garcia</v>
      </c>
      <c r="E12" t="s">
        <v>141</v>
      </c>
      <c r="F12">
        <v>200000</v>
      </c>
      <c r="G12" s="32">
        <f>SUMIF(Orders!$J$1:$J$2501,'Sales Targets'!A12,Orders!$K$1:$K$2501)</f>
        <v>242439</v>
      </c>
      <c r="H12" t="str" cm="1">
        <f t="array" ref="H12">_xlfn.IFS(G12&lt;F12,"Target Not Met",G12=F12,"Target Met",G12&gt;F12,"Target Exceeded")</f>
        <v>Target Exceeded</v>
      </c>
      <c r="I12">
        <f t="shared" si="1"/>
        <v>0</v>
      </c>
      <c r="J12" s="43">
        <f t="shared" si="2"/>
        <v>1.2121949999999999</v>
      </c>
    </row>
    <row r="13" spans="1:10" x14ac:dyDescent="0.3">
      <c r="A13" t="s">
        <v>26</v>
      </c>
      <c r="B13" t="s">
        <v>125</v>
      </c>
      <c r="C13" t="s">
        <v>171</v>
      </c>
      <c r="D13" t="str">
        <f t="shared" si="0"/>
        <v>Noah Meier</v>
      </c>
      <c r="E13" t="s">
        <v>141</v>
      </c>
      <c r="F13">
        <v>1000000</v>
      </c>
      <c r="G13" s="32">
        <f>SUMIF(Orders!$J$1:$J$2501,'Sales Targets'!A13,Orders!$K$1:$K$2501)</f>
        <v>1089868</v>
      </c>
      <c r="H13" t="str" cm="1">
        <f t="array" ref="H13">_xlfn.IFS(G13&lt;F13,"Target Not Met",G13=F13,"Target Met",G13&gt;F13,"Target Exceeded")</f>
        <v>Target Exceeded</v>
      </c>
      <c r="I13">
        <f t="shared" si="1"/>
        <v>0</v>
      </c>
      <c r="J13" s="43">
        <f t="shared" si="2"/>
        <v>1.0898680000000001</v>
      </c>
    </row>
    <row r="14" spans="1:10" x14ac:dyDescent="0.3">
      <c r="A14" t="s">
        <v>38</v>
      </c>
      <c r="B14" t="s">
        <v>126</v>
      </c>
      <c r="C14" t="s">
        <v>172</v>
      </c>
      <c r="D14" t="str">
        <f t="shared" si="0"/>
        <v>Ava Williams</v>
      </c>
      <c r="E14" t="s">
        <v>145</v>
      </c>
      <c r="F14">
        <v>100000</v>
      </c>
      <c r="G14" s="32">
        <f>SUMIF(Orders!$J$1:$J$2501,'Sales Targets'!A14,Orders!$K$1:$K$2501)</f>
        <v>88953</v>
      </c>
      <c r="H14" t="str" cm="1">
        <f t="array" ref="H14">_xlfn.IFS(G14&lt;F14,"Target Not Met",G14=F14,"Target Met",G14&gt;F14,"Target Exceeded")</f>
        <v>Target Not Met</v>
      </c>
      <c r="I14">
        <f t="shared" si="1"/>
        <v>11047</v>
      </c>
      <c r="J14" s="43">
        <f t="shared" si="2"/>
        <v>0.88953000000000004</v>
      </c>
    </row>
    <row r="15" spans="1:10" x14ac:dyDescent="0.3">
      <c r="A15" t="s">
        <v>17</v>
      </c>
      <c r="B15" t="s">
        <v>127</v>
      </c>
      <c r="C15" t="s">
        <v>173</v>
      </c>
      <c r="D15" t="str">
        <f t="shared" si="0"/>
        <v>Dev Patel</v>
      </c>
      <c r="E15" t="s">
        <v>144</v>
      </c>
      <c r="F15">
        <v>200000</v>
      </c>
      <c r="G15" s="32">
        <f>SUMIF(Orders!$J$1:$J$2501,'Sales Targets'!A15,Orders!$K$1:$K$2501)</f>
        <v>203887</v>
      </c>
      <c r="H15" t="str" cm="1">
        <f t="array" ref="H15">_xlfn.IFS(G15&lt;F15,"Target Not Met",G15=F15,"Target Met",G15&gt;F15,"Target Exceeded")</f>
        <v>Target Exceeded</v>
      </c>
      <c r="I15">
        <f t="shared" si="1"/>
        <v>0</v>
      </c>
      <c r="J15" s="43">
        <f t="shared" si="2"/>
        <v>1.0194350000000001</v>
      </c>
    </row>
    <row r="16" spans="1:10" x14ac:dyDescent="0.3">
      <c r="A16" t="s">
        <v>55</v>
      </c>
      <c r="B16" t="s">
        <v>128</v>
      </c>
      <c r="C16" t="s">
        <v>174</v>
      </c>
      <c r="D16" t="str">
        <f t="shared" si="0"/>
        <v>Mia Khan</v>
      </c>
      <c r="E16" t="s">
        <v>145</v>
      </c>
      <c r="F16">
        <v>50000</v>
      </c>
      <c r="G16" s="32">
        <f>SUMIF(Orders!$J$1:$J$2501,'Sales Targets'!A16,Orders!$K$1:$K$2501)</f>
        <v>49487</v>
      </c>
      <c r="H16" t="str" cm="1">
        <f t="array" ref="H16">_xlfn.IFS(G16&lt;F16,"Target Not Met",G16=F16,"Target Met",G16&gt;F16,"Target Exceeded")</f>
        <v>Target Not Met</v>
      </c>
      <c r="I16">
        <f t="shared" si="1"/>
        <v>513</v>
      </c>
      <c r="J16" s="43">
        <f t="shared" si="2"/>
        <v>0.98973999999999995</v>
      </c>
    </row>
    <row r="17" spans="1:10" x14ac:dyDescent="0.3">
      <c r="A17" t="s">
        <v>54</v>
      </c>
      <c r="B17" t="s">
        <v>129</v>
      </c>
      <c r="C17" t="s">
        <v>175</v>
      </c>
      <c r="D17" t="str">
        <f t="shared" si="0"/>
        <v>William Brown</v>
      </c>
      <c r="E17" t="s">
        <v>143</v>
      </c>
      <c r="F17">
        <v>100000</v>
      </c>
      <c r="G17" s="32">
        <f>SUMIF(Orders!$J$1:$J$2501,'Sales Targets'!A17,Orders!$K$1:$K$2501)</f>
        <v>84119</v>
      </c>
      <c r="H17" t="str" cm="1">
        <f t="array" ref="H17">_xlfn.IFS(G17&lt;F17,"Target Not Met",G17=F17,"Target Met",G17&gt;F17,"Target Exceeded")</f>
        <v>Target Not Met</v>
      </c>
      <c r="I17">
        <f t="shared" si="1"/>
        <v>15881</v>
      </c>
      <c r="J17" s="43">
        <f t="shared" si="2"/>
        <v>0.84118999999999999</v>
      </c>
    </row>
    <row r="18" spans="1:10" x14ac:dyDescent="0.3">
      <c r="A18" t="s">
        <v>50</v>
      </c>
      <c r="B18" t="s">
        <v>130</v>
      </c>
      <c r="C18" t="s">
        <v>176</v>
      </c>
      <c r="D18" t="str">
        <f t="shared" si="0"/>
        <v>Sophie Gruber</v>
      </c>
      <c r="E18" t="s">
        <v>144</v>
      </c>
      <c r="F18">
        <v>100000</v>
      </c>
      <c r="G18" s="32">
        <f>SUMIF(Orders!$J$1:$J$2501,'Sales Targets'!A18,Orders!$K$1:$K$2501)</f>
        <v>98119</v>
      </c>
      <c r="H18" t="str" cm="1">
        <f t="array" ref="H18">_xlfn.IFS(G18&lt;F18,"Target Not Met",G18=F18,"Target Met",G18&gt;F18,"Target Exceeded")</f>
        <v>Target Not Met</v>
      </c>
      <c r="I18">
        <f t="shared" si="1"/>
        <v>1881</v>
      </c>
      <c r="J18" s="43">
        <f t="shared" si="2"/>
        <v>0.98119000000000001</v>
      </c>
    </row>
    <row r="19" spans="1:10" x14ac:dyDescent="0.3">
      <c r="A19" t="s">
        <v>33</v>
      </c>
      <c r="B19" t="s">
        <v>131</v>
      </c>
      <c r="C19" t="s">
        <v>177</v>
      </c>
      <c r="D19" t="str">
        <f t="shared" si="0"/>
        <v>Lucas Nielsen</v>
      </c>
      <c r="E19" t="s">
        <v>143</v>
      </c>
      <c r="F19">
        <v>150000</v>
      </c>
      <c r="G19" s="32">
        <f>SUMIF(Orders!$J$1:$J$2501,'Sales Targets'!A19,Orders!$K$1:$K$2501)</f>
        <v>173391</v>
      </c>
      <c r="H19" t="str" cm="1">
        <f t="array" ref="H19">_xlfn.IFS(G19&lt;F19,"Target Not Met",G19=F19,"Target Met",G19&gt;F19,"Target Exceeded")</f>
        <v>Target Exceeded</v>
      </c>
      <c r="I19">
        <f t="shared" si="1"/>
        <v>0</v>
      </c>
      <c r="J19" s="43">
        <f t="shared" si="2"/>
        <v>1.15594</v>
      </c>
    </row>
    <row r="20" spans="1:10" x14ac:dyDescent="0.3">
      <c r="A20" t="s">
        <v>71</v>
      </c>
      <c r="B20" t="s">
        <v>132</v>
      </c>
      <c r="C20" t="s">
        <v>178</v>
      </c>
      <c r="D20" t="str">
        <f t="shared" si="0"/>
        <v>Aino Virtanen</v>
      </c>
      <c r="E20" t="s">
        <v>142</v>
      </c>
      <c r="F20">
        <v>150000</v>
      </c>
      <c r="G20" s="32">
        <f>SUMIF(Orders!$J$1:$J$2501,'Sales Targets'!A20,Orders!$K$1:$K$2501)</f>
        <v>145237</v>
      </c>
      <c r="H20" t="str" cm="1">
        <f t="array" ref="H20">_xlfn.IFS(G20&lt;F20,"Target Not Met",G20=F20,"Target Met",G20&gt;F20,"Target Exceeded")</f>
        <v>Target Not Met</v>
      </c>
      <c r="I20">
        <f t="shared" si="1"/>
        <v>4763</v>
      </c>
      <c r="J20" s="43">
        <f t="shared" si="2"/>
        <v>0.9682466666666667</v>
      </c>
    </row>
    <row r="21" spans="1:10" x14ac:dyDescent="0.3">
      <c r="A21" t="s">
        <v>70</v>
      </c>
      <c r="B21" t="s">
        <v>133</v>
      </c>
      <c r="C21" t="s">
        <v>179</v>
      </c>
      <c r="D21" t="str">
        <f t="shared" si="0"/>
        <v>Emily Dubois</v>
      </c>
      <c r="E21" t="s">
        <v>144</v>
      </c>
      <c r="F21">
        <v>150000</v>
      </c>
      <c r="G21" s="32">
        <f>SUMIF(Orders!$J$1:$J$2501,'Sales Targets'!A21,Orders!$K$1:$K$2501)</f>
        <v>115291</v>
      </c>
      <c r="H21" t="str" cm="1">
        <f t="array" ref="H21">_xlfn.IFS(G21&lt;F21,"Target Not Met",G21=F21,"Target Met",G21&gt;F21,"Target Exceeded")</f>
        <v>Target Not Met</v>
      </c>
      <c r="I21">
        <f t="shared" si="1"/>
        <v>34709</v>
      </c>
      <c r="J21" s="43">
        <f t="shared" si="2"/>
        <v>0.76860666666666666</v>
      </c>
    </row>
    <row r="22" spans="1:10" x14ac:dyDescent="0.3">
      <c r="A22" t="s">
        <v>59</v>
      </c>
      <c r="B22" t="s">
        <v>134</v>
      </c>
      <c r="C22" t="s">
        <v>180</v>
      </c>
      <c r="D22" t="str">
        <f t="shared" si="0"/>
        <v>Benjamin Weber</v>
      </c>
      <c r="E22" t="s">
        <v>145</v>
      </c>
      <c r="F22">
        <v>100000</v>
      </c>
      <c r="G22" s="32">
        <f>SUMIF(Orders!$J$1:$J$2501,'Sales Targets'!A22,Orders!$K$1:$K$2501)</f>
        <v>98950</v>
      </c>
      <c r="H22" t="str" cm="1">
        <f t="array" ref="H22">_xlfn.IFS(G22&lt;F22,"Target Not Met",G22=F22,"Target Met",G22&gt;F22,"Target Exceeded")</f>
        <v>Target Not Met</v>
      </c>
      <c r="I22">
        <f t="shared" si="1"/>
        <v>1050</v>
      </c>
      <c r="J22" s="43">
        <f t="shared" si="2"/>
        <v>0.98950000000000005</v>
      </c>
    </row>
    <row r="23" spans="1:10" x14ac:dyDescent="0.3">
      <c r="A23" t="s">
        <v>89</v>
      </c>
      <c r="B23" t="s">
        <v>133</v>
      </c>
      <c r="C23" t="s">
        <v>181</v>
      </c>
      <c r="D23" t="str">
        <f t="shared" si="0"/>
        <v>Emily Murphy</v>
      </c>
      <c r="E23" t="s">
        <v>141</v>
      </c>
      <c r="F23">
        <v>150000</v>
      </c>
      <c r="G23" s="32">
        <f>SUMIF(Orders!$J$1:$J$2501,'Sales Targets'!A23,Orders!$K$1:$K$2501)</f>
        <v>175816</v>
      </c>
      <c r="H23" t="str" cm="1">
        <f t="array" ref="H23">_xlfn.IFS(G23&lt;F23,"Target Not Met",G23=F23,"Target Met",G23&gt;F23,"Target Exceeded")</f>
        <v>Target Exceeded</v>
      </c>
      <c r="I23">
        <f t="shared" si="1"/>
        <v>0</v>
      </c>
      <c r="J23" s="43">
        <f t="shared" si="2"/>
        <v>1.1721066666666666</v>
      </c>
    </row>
    <row r="24" spans="1:10" x14ac:dyDescent="0.3">
      <c r="A24" t="s">
        <v>39</v>
      </c>
      <c r="B24" t="s">
        <v>135</v>
      </c>
      <c r="C24" t="s">
        <v>182</v>
      </c>
      <c r="D24" t="str">
        <f t="shared" si="0"/>
        <v>Marco Bianchi</v>
      </c>
      <c r="E24" t="s">
        <v>141</v>
      </c>
      <c r="F24">
        <v>150000</v>
      </c>
      <c r="G24" s="32">
        <f>SUMIF(Orders!$J$1:$J$2501,'Sales Targets'!A24,Orders!$K$1:$K$2501)</f>
        <v>137504</v>
      </c>
      <c r="H24" t="str" cm="1">
        <f t="array" ref="H24">_xlfn.IFS(G24&lt;F24,"Target Not Met",G24=F24,"Target Met",G24&gt;F24,"Target Exceeded")</f>
        <v>Target Not Met</v>
      </c>
      <c r="I24">
        <f t="shared" si="1"/>
        <v>12496</v>
      </c>
      <c r="J24" s="43">
        <f t="shared" si="2"/>
        <v>0.91669333333333336</v>
      </c>
    </row>
    <row r="25" spans="1:10" x14ac:dyDescent="0.3">
      <c r="A25" t="s">
        <v>5</v>
      </c>
      <c r="B25" t="s">
        <v>131</v>
      </c>
      <c r="C25" t="s">
        <v>183</v>
      </c>
      <c r="D25" t="str">
        <f t="shared" si="0"/>
        <v>Lucas Olsen</v>
      </c>
      <c r="E25" t="s">
        <v>143</v>
      </c>
      <c r="F25">
        <v>100000</v>
      </c>
      <c r="G25" s="32">
        <f>SUMIF(Orders!$J$1:$J$2501,'Sales Targets'!A25,Orders!$K$1:$K$2501)</f>
        <v>108833</v>
      </c>
      <c r="H25" t="str" cm="1">
        <f t="array" ref="H25">_xlfn.IFS(G25&lt;F25,"Target Not Met",G25=F25,"Target Met",G25&gt;F25,"Target Exceeded")</f>
        <v>Target Exceeded</v>
      </c>
      <c r="I25">
        <f t="shared" si="1"/>
        <v>0</v>
      </c>
      <c r="J25" s="43">
        <f t="shared" si="2"/>
        <v>1.08833</v>
      </c>
    </row>
    <row r="26" spans="1:10" x14ac:dyDescent="0.3">
      <c r="A26" t="s">
        <v>42</v>
      </c>
      <c r="B26" t="s">
        <v>134</v>
      </c>
      <c r="C26" t="s">
        <v>184</v>
      </c>
      <c r="D26" t="str">
        <f t="shared" si="0"/>
        <v>Benjamin Chen</v>
      </c>
      <c r="E26" t="s">
        <v>144</v>
      </c>
      <c r="F26">
        <v>1000000</v>
      </c>
      <c r="G26" s="32">
        <f>SUMIF(Orders!$J$1:$J$2501,'Sales Targets'!A26,Orders!$K$1:$K$2501)</f>
        <v>776835</v>
      </c>
      <c r="H26" t="str" cm="1">
        <f t="array" ref="H26">_xlfn.IFS(G26&lt;F26,"Target Not Met",G26=F26,"Target Met",G26&gt;F26,"Target Exceeded")</f>
        <v>Target Not Met</v>
      </c>
      <c r="I26">
        <f t="shared" si="1"/>
        <v>223165</v>
      </c>
      <c r="J26" s="43">
        <f t="shared" si="2"/>
        <v>0.77683500000000005</v>
      </c>
    </row>
    <row r="27" spans="1:10" x14ac:dyDescent="0.3">
      <c r="A27" t="s">
        <v>86</v>
      </c>
      <c r="B27" t="s">
        <v>136</v>
      </c>
      <c r="C27" t="s">
        <v>185</v>
      </c>
      <c r="D27" t="str">
        <f t="shared" si="0"/>
        <v>Daniela Hernandez</v>
      </c>
      <c r="E27" t="s">
        <v>143</v>
      </c>
      <c r="F27">
        <v>100000</v>
      </c>
      <c r="G27" s="32">
        <f>SUMIF(Orders!$J$1:$J$2501,'Sales Targets'!A27,Orders!$K$1:$K$2501)</f>
        <v>94689</v>
      </c>
      <c r="H27" t="str" cm="1">
        <f t="array" ref="H27">_xlfn.IFS(G27&lt;F27,"Target Not Met",G27=F27,"Target Met",G27&gt;F27,"Target Exceeded")</f>
        <v>Target Not Met</v>
      </c>
      <c r="I27">
        <f t="shared" si="1"/>
        <v>5311</v>
      </c>
      <c r="J27" s="43">
        <f t="shared" si="2"/>
        <v>0.94689000000000001</v>
      </c>
    </row>
    <row r="28" spans="1:10" x14ac:dyDescent="0.3">
      <c r="A28" t="s">
        <v>69</v>
      </c>
      <c r="B28" t="s">
        <v>120</v>
      </c>
      <c r="C28" t="s">
        <v>186</v>
      </c>
      <c r="D28" t="str">
        <f t="shared" si="0"/>
        <v>Liam Baumann</v>
      </c>
      <c r="E28" t="s">
        <v>142</v>
      </c>
      <c r="F28">
        <v>100000</v>
      </c>
      <c r="G28" s="32">
        <f>SUMIF(Orders!$J$1:$J$2501,'Sales Targets'!A28,Orders!$K$1:$K$2501)</f>
        <v>132192</v>
      </c>
      <c r="H28" t="str" cm="1">
        <f t="array" ref="H28">_xlfn.IFS(G28&lt;F28,"Target Not Met",G28=F28,"Target Met",G28&gt;F28,"Target Exceeded")</f>
        <v>Target Exceeded</v>
      </c>
      <c r="I28">
        <f t="shared" si="1"/>
        <v>0</v>
      </c>
      <c r="J28" s="43">
        <f t="shared" si="2"/>
        <v>1.32192</v>
      </c>
    </row>
    <row r="29" spans="1:10" x14ac:dyDescent="0.3">
      <c r="A29" t="s">
        <v>65</v>
      </c>
      <c r="B29" t="s">
        <v>137</v>
      </c>
      <c r="C29" t="s">
        <v>187</v>
      </c>
      <c r="D29" t="str">
        <f t="shared" si="0"/>
        <v>Charlotte Miller</v>
      </c>
      <c r="E29" t="s">
        <v>143</v>
      </c>
      <c r="F29">
        <v>150000</v>
      </c>
      <c r="G29" s="32">
        <f>SUMIF(Orders!$J$1:$J$2501,'Sales Targets'!A29,Orders!$K$1:$K$2501)</f>
        <v>125181</v>
      </c>
      <c r="H29" t="str" cm="1">
        <f t="array" ref="H29">_xlfn.IFS(G29&lt;F29,"Target Not Met",G29=F29,"Target Met",G29&gt;F29,"Target Exceeded")</f>
        <v>Target Not Met</v>
      </c>
      <c r="I29">
        <f t="shared" si="1"/>
        <v>24819</v>
      </c>
      <c r="J29" s="43">
        <f t="shared" si="2"/>
        <v>0.83453999999999995</v>
      </c>
    </row>
    <row r="30" spans="1:10" x14ac:dyDescent="0.3">
      <c r="A30" t="s">
        <v>22</v>
      </c>
      <c r="B30" t="s">
        <v>138</v>
      </c>
      <c r="C30" t="s">
        <v>188</v>
      </c>
      <c r="D30" t="str">
        <f t="shared" si="0"/>
        <v>Priya Kapoor</v>
      </c>
      <c r="E30" t="s">
        <v>141</v>
      </c>
      <c r="F30">
        <v>150000</v>
      </c>
      <c r="G30" s="32">
        <f>SUMIF(Orders!$J$1:$J$2501,'Sales Targets'!A30,Orders!$K$1:$K$2501)</f>
        <v>188709</v>
      </c>
      <c r="H30" t="str" cm="1">
        <f t="array" ref="H30">_xlfn.IFS(G30&lt;F30,"Target Not Met",G30=F30,"Target Met",G30&gt;F30,"Target Exceeded")</f>
        <v>Target Exceeded</v>
      </c>
      <c r="I30">
        <f t="shared" si="1"/>
        <v>0</v>
      </c>
      <c r="J30" s="43">
        <f t="shared" si="2"/>
        <v>1.25806</v>
      </c>
    </row>
    <row r="31" spans="1:10" x14ac:dyDescent="0.3">
      <c r="A31" t="s">
        <v>78</v>
      </c>
      <c r="B31" t="s">
        <v>139</v>
      </c>
      <c r="C31" t="s">
        <v>189</v>
      </c>
      <c r="D31" t="str">
        <f t="shared" si="0"/>
        <v>Oliver Kumar</v>
      </c>
      <c r="E31" t="s">
        <v>142</v>
      </c>
      <c r="F31">
        <v>50000</v>
      </c>
      <c r="G31" s="32">
        <f>SUMIF(Orders!$J$1:$J$2501,'Sales Targets'!A31,Orders!$K$1:$K$2501)</f>
        <v>57084</v>
      </c>
      <c r="H31" t="str" cm="1">
        <f t="array" ref="H31">_xlfn.IFS(G31&lt;F31,"Target Not Met",G31=F31,"Target Met",G31&gt;F31,"Target Exceeded")</f>
        <v>Target Exceeded</v>
      </c>
      <c r="I31">
        <f t="shared" si="1"/>
        <v>0</v>
      </c>
      <c r="J31" s="43">
        <f t="shared" si="2"/>
        <v>1.14168</v>
      </c>
    </row>
    <row r="32" spans="1:10" x14ac:dyDescent="0.3">
      <c r="A32" t="s">
        <v>48</v>
      </c>
      <c r="B32" t="s">
        <v>114</v>
      </c>
      <c r="C32" t="s">
        <v>160</v>
      </c>
      <c r="D32" t="str">
        <f t="shared" si="0"/>
        <v>Amelia Johnson</v>
      </c>
      <c r="E32" t="s">
        <v>145</v>
      </c>
      <c r="F32">
        <v>100000</v>
      </c>
      <c r="G32" s="32">
        <f>SUMIF(Orders!$J$1:$J$2501,'Sales Targets'!A32,Orders!$K$1:$K$2501)</f>
        <v>92100</v>
      </c>
      <c r="H32" t="str" cm="1">
        <f t="array" ref="H32">_xlfn.IFS(G32&lt;F32,"Target Not Met",G32=F32,"Target Met",G32&gt;F32,"Target Exceeded")</f>
        <v>Target Not Met</v>
      </c>
      <c r="I32">
        <f t="shared" si="1"/>
        <v>7900</v>
      </c>
      <c r="J32" s="43">
        <f t="shared" si="2"/>
        <v>0.92100000000000004</v>
      </c>
    </row>
    <row r="33" spans="1:10" x14ac:dyDescent="0.3">
      <c r="A33" t="s">
        <v>24</v>
      </c>
      <c r="B33" t="s">
        <v>115</v>
      </c>
      <c r="C33" t="s">
        <v>161</v>
      </c>
      <c r="D33" t="str">
        <f t="shared" si="0"/>
        <v>Lukas Schmidt</v>
      </c>
      <c r="E33" t="s">
        <v>141</v>
      </c>
      <c r="F33">
        <v>100000</v>
      </c>
      <c r="G33" s="32">
        <f>SUMIF(Orders!$J$1:$J$2501,'Sales Targets'!A33,Orders!$K$1:$K$2501)</f>
        <v>94314</v>
      </c>
      <c r="H33" t="str" cm="1">
        <f t="array" ref="H33">_xlfn.IFS(G33&lt;F33,"Target Not Met",G33=F33,"Target Met",G33&gt;F33,"Target Exceeded")</f>
        <v>Target Not Met</v>
      </c>
      <c r="I33">
        <f t="shared" si="1"/>
        <v>5686</v>
      </c>
      <c r="J33" s="43">
        <f t="shared" si="2"/>
        <v>0.94313999999999998</v>
      </c>
    </row>
    <row r="34" spans="1:10" x14ac:dyDescent="0.3">
      <c r="A34" t="s">
        <v>27</v>
      </c>
      <c r="B34" t="s">
        <v>116</v>
      </c>
      <c r="C34" t="s">
        <v>162</v>
      </c>
      <c r="D34" t="str">
        <f t="shared" si="0"/>
        <v>Olivia Jensen</v>
      </c>
      <c r="E34" t="s">
        <v>142</v>
      </c>
      <c r="F34">
        <v>100000</v>
      </c>
      <c r="G34" s="32">
        <f>SUMIF(Orders!$J$1:$J$2501,'Sales Targets'!A34,Orders!$K$1:$K$2501)</f>
        <v>110015</v>
      </c>
      <c r="H34" t="str" cm="1">
        <f t="array" ref="H34">_xlfn.IFS(G34&lt;F34,"Target Not Met",G34=F34,"Target Met",G34&gt;F34,"Target Exceeded")</f>
        <v>Target Exceeded</v>
      </c>
      <c r="I34">
        <f t="shared" si="1"/>
        <v>0</v>
      </c>
      <c r="J34" s="43">
        <f t="shared" si="2"/>
        <v>1.10015</v>
      </c>
    </row>
    <row r="35" spans="1:10" x14ac:dyDescent="0.3">
      <c r="A35" t="s">
        <v>8</v>
      </c>
      <c r="B35" t="s">
        <v>117</v>
      </c>
      <c r="C35" t="s">
        <v>163</v>
      </c>
      <c r="D35" t="str">
        <f t="shared" si="0"/>
        <v>Sofia Laine</v>
      </c>
      <c r="E35" t="s">
        <v>143</v>
      </c>
      <c r="F35">
        <v>150000</v>
      </c>
      <c r="G35" s="32">
        <f>SUMIF(Orders!$J$1:$J$2501,'Sales Targets'!A35,Orders!$K$1:$K$2501)</f>
        <v>167417</v>
      </c>
      <c r="H35" t="str" cm="1">
        <f t="array" ref="H35">_xlfn.IFS(G35&lt;F35,"Target Not Met",G35=F35,"Target Met",G35&gt;F35,"Target Exceeded")</f>
        <v>Target Exceeded</v>
      </c>
      <c r="I35">
        <f t="shared" si="1"/>
        <v>0</v>
      </c>
      <c r="J35" s="43">
        <f t="shared" si="2"/>
        <v>1.1161133333333333</v>
      </c>
    </row>
    <row r="36" spans="1:10" x14ac:dyDescent="0.3">
      <c r="A36" t="s">
        <v>28</v>
      </c>
      <c r="B36" t="s">
        <v>118</v>
      </c>
      <c r="C36" t="s">
        <v>164</v>
      </c>
      <c r="D36" t="str">
        <f t="shared" si="0"/>
        <v>Chloe Dupont</v>
      </c>
      <c r="E36" t="s">
        <v>142</v>
      </c>
      <c r="F36">
        <v>150000</v>
      </c>
      <c r="G36" s="32">
        <f>SUMIF(Orders!$J$1:$J$2501,'Sales Targets'!A36,Orders!$K$1:$K$2501)</f>
        <v>139565</v>
      </c>
      <c r="H36" t="str" cm="1">
        <f t="array" ref="H36">_xlfn.IFS(G36&lt;F36,"Target Not Met",G36=F36,"Target Met",G36&gt;F36,"Target Exceeded")</f>
        <v>Target Not Met</v>
      </c>
      <c r="I36">
        <f t="shared" si="1"/>
        <v>10435</v>
      </c>
      <c r="J36" s="43">
        <f t="shared" si="2"/>
        <v>0.93043333333333333</v>
      </c>
    </row>
    <row r="37" spans="1:10" x14ac:dyDescent="0.3">
      <c r="A37" t="s">
        <v>60</v>
      </c>
      <c r="B37" t="s">
        <v>119</v>
      </c>
      <c r="C37" t="s">
        <v>165</v>
      </c>
      <c r="D37" t="str">
        <f t="shared" si="0"/>
        <v>Alexander Müller</v>
      </c>
      <c r="E37" t="s">
        <v>141</v>
      </c>
      <c r="F37">
        <v>80000</v>
      </c>
      <c r="G37" s="32">
        <f>SUMIF(Orders!$J$1:$J$2501,'Sales Targets'!A37,Orders!$K$1:$K$2501)</f>
        <v>71209</v>
      </c>
      <c r="H37" t="str" cm="1">
        <f t="array" ref="H37">_xlfn.IFS(G37&lt;F37,"Target Not Met",G37=F37,"Target Met",G37&gt;F37,"Target Exceeded")</f>
        <v>Target Not Met</v>
      </c>
      <c r="I37">
        <f t="shared" si="1"/>
        <v>8791</v>
      </c>
      <c r="J37" s="43">
        <f t="shared" si="2"/>
        <v>0.89011249999999997</v>
      </c>
    </row>
    <row r="38" spans="1:10" x14ac:dyDescent="0.3">
      <c r="A38" t="s">
        <v>12</v>
      </c>
      <c r="B38" t="s">
        <v>120</v>
      </c>
      <c r="C38" t="s">
        <v>166</v>
      </c>
      <c r="D38" t="str">
        <f t="shared" si="0"/>
        <v>Liam O'Sullivan</v>
      </c>
      <c r="E38" t="s">
        <v>142</v>
      </c>
      <c r="F38">
        <v>150000</v>
      </c>
      <c r="G38" s="32">
        <f>SUMIF(Orders!$J$1:$J$2501,'Sales Targets'!A38,Orders!$K$1:$K$2501)</f>
        <v>143869</v>
      </c>
      <c r="H38" t="str" cm="1">
        <f t="array" ref="H38">_xlfn.IFS(G38&lt;F38,"Target Not Met",G38=F38,"Target Met",G38&gt;F38,"Target Exceeded")</f>
        <v>Target Not Met</v>
      </c>
      <c r="I38">
        <f t="shared" si="1"/>
        <v>6131</v>
      </c>
      <c r="J38" s="43">
        <f t="shared" si="2"/>
        <v>0.95912666666666668</v>
      </c>
    </row>
    <row r="39" spans="1:10" x14ac:dyDescent="0.3">
      <c r="A39" t="s">
        <v>14</v>
      </c>
      <c r="B39" t="s">
        <v>121</v>
      </c>
      <c r="C39" t="s">
        <v>167</v>
      </c>
      <c r="D39" t="str">
        <f t="shared" si="0"/>
        <v>Sophia Rossi</v>
      </c>
      <c r="E39" t="s">
        <v>142</v>
      </c>
      <c r="F39">
        <v>150000</v>
      </c>
      <c r="G39" s="32">
        <f>SUMIF(Orders!$J$1:$J$2501,'Sales Targets'!A39,Orders!$K$1:$K$2501)</f>
        <v>123241</v>
      </c>
      <c r="H39" t="str" cm="1">
        <f t="array" ref="H39">_xlfn.IFS(G39&lt;F39,"Target Not Met",G39=F39,"Target Met",G39&gt;F39,"Target Exceeded")</f>
        <v>Target Not Met</v>
      </c>
      <c r="I39">
        <f t="shared" si="1"/>
        <v>26759</v>
      </c>
      <c r="J39" s="43">
        <f t="shared" si="2"/>
        <v>0.82160666666666671</v>
      </c>
    </row>
    <row r="40" spans="1:10" x14ac:dyDescent="0.3">
      <c r="A40" t="s">
        <v>67</v>
      </c>
      <c r="B40" t="s">
        <v>122</v>
      </c>
      <c r="C40" t="s">
        <v>168</v>
      </c>
      <c r="D40" t="str">
        <f t="shared" si="0"/>
        <v>Emma Hansen</v>
      </c>
      <c r="E40" t="s">
        <v>143</v>
      </c>
      <c r="F40">
        <v>100000</v>
      </c>
      <c r="G40" s="32">
        <f>SUMIF(Orders!$J$1:$J$2501,'Sales Targets'!A40,Orders!$K$1:$K$2501)</f>
        <v>92050</v>
      </c>
      <c r="H40" t="str" cm="1">
        <f t="array" ref="H40">_xlfn.IFS(G40&lt;F40,"Target Not Met",G40=F40,"Target Met",G40&gt;F40,"Target Exceeded")</f>
        <v>Target Not Met</v>
      </c>
      <c r="I40">
        <f t="shared" si="1"/>
        <v>7950</v>
      </c>
      <c r="J40" s="43">
        <f t="shared" si="2"/>
        <v>0.92049999999999998</v>
      </c>
    </row>
    <row r="41" spans="1:10" x14ac:dyDescent="0.3">
      <c r="A41" t="s">
        <v>94</v>
      </c>
      <c r="B41" t="s">
        <v>123</v>
      </c>
      <c r="C41" t="s">
        <v>169</v>
      </c>
      <c r="D41" t="str">
        <f t="shared" si="0"/>
        <v>Ethan Lee</v>
      </c>
      <c r="E41" t="s">
        <v>142</v>
      </c>
      <c r="F41">
        <v>30000</v>
      </c>
      <c r="G41" s="32">
        <f>SUMIF(Orders!$J$1:$J$2501,'Sales Targets'!A41,Orders!$K$1:$K$2501)</f>
        <v>25048</v>
      </c>
      <c r="H41" t="str" cm="1">
        <f t="array" ref="H41">_xlfn.IFS(G41&lt;F41,"Target Not Met",G41=F41,"Target Met",G41&gt;F41,"Target Exceeded")</f>
        <v>Target Not Met</v>
      </c>
      <c r="I41">
        <f t="shared" si="1"/>
        <v>4952</v>
      </c>
      <c r="J41" s="43">
        <f t="shared" si="2"/>
        <v>0.83493333333333331</v>
      </c>
    </row>
    <row r="42" spans="1:10" x14ac:dyDescent="0.3">
      <c r="A42" t="s">
        <v>18</v>
      </c>
      <c r="B42" t="s">
        <v>124</v>
      </c>
      <c r="C42" t="s">
        <v>170</v>
      </c>
      <c r="D42" t="str">
        <f t="shared" si="0"/>
        <v>Isabella Garcia</v>
      </c>
      <c r="E42" t="s">
        <v>141</v>
      </c>
      <c r="F42">
        <v>150000</v>
      </c>
      <c r="G42" s="32">
        <f>SUMIF(Orders!$J$1:$J$2501,'Sales Targets'!A42,Orders!$K$1:$K$2501)</f>
        <v>144598</v>
      </c>
      <c r="H42" t="str" cm="1">
        <f t="array" ref="H42">_xlfn.IFS(G42&lt;F42,"Target Not Met",G42=F42,"Target Met",G42&gt;F42,"Target Exceeded")</f>
        <v>Target Not Met</v>
      </c>
      <c r="I42">
        <f t="shared" si="1"/>
        <v>5402</v>
      </c>
      <c r="J42" s="43">
        <f t="shared" si="2"/>
        <v>0.96398666666666666</v>
      </c>
    </row>
    <row r="43" spans="1:10" x14ac:dyDescent="0.3">
      <c r="A43" t="s">
        <v>16</v>
      </c>
      <c r="B43" t="s">
        <v>125</v>
      </c>
      <c r="C43" t="s">
        <v>171</v>
      </c>
      <c r="D43" t="str">
        <f t="shared" si="0"/>
        <v>Noah Meier</v>
      </c>
      <c r="E43" t="s">
        <v>141</v>
      </c>
      <c r="F43">
        <v>100000</v>
      </c>
      <c r="G43" s="32">
        <f>SUMIF(Orders!$J$1:$J$2501,'Sales Targets'!A43,Orders!$K$1:$K$2501)</f>
        <v>130563</v>
      </c>
      <c r="H43" t="str" cm="1">
        <f t="array" ref="H43">_xlfn.IFS(G43&lt;F43,"Target Not Met",G43=F43,"Target Met",G43&gt;F43,"Target Exceeded")</f>
        <v>Target Exceeded</v>
      </c>
      <c r="I43">
        <f t="shared" si="1"/>
        <v>0</v>
      </c>
      <c r="J43" s="43">
        <f t="shared" si="2"/>
        <v>1.3056300000000001</v>
      </c>
    </row>
    <row r="44" spans="1:10" x14ac:dyDescent="0.3">
      <c r="A44" t="s">
        <v>19</v>
      </c>
      <c r="B44" t="s">
        <v>126</v>
      </c>
      <c r="C44" t="s">
        <v>172</v>
      </c>
      <c r="D44" t="str">
        <f t="shared" si="0"/>
        <v>Ava Williams</v>
      </c>
      <c r="E44" t="s">
        <v>145</v>
      </c>
      <c r="F44">
        <v>150000</v>
      </c>
      <c r="G44" s="32">
        <f>SUMIF(Orders!$J$1:$J$2501,'Sales Targets'!A44,Orders!$K$1:$K$2501)</f>
        <v>133448</v>
      </c>
      <c r="H44" t="str" cm="1">
        <f t="array" ref="H44">_xlfn.IFS(G44&lt;F44,"Target Not Met",G44=F44,"Target Met",G44&gt;F44,"Target Exceeded")</f>
        <v>Target Not Met</v>
      </c>
      <c r="I44">
        <f t="shared" si="1"/>
        <v>16552</v>
      </c>
      <c r="J44" s="43">
        <f t="shared" si="2"/>
        <v>0.8896533333333333</v>
      </c>
    </row>
    <row r="45" spans="1:10" x14ac:dyDescent="0.3">
      <c r="A45" t="s">
        <v>32</v>
      </c>
      <c r="B45" t="s">
        <v>127</v>
      </c>
      <c r="C45" t="s">
        <v>173</v>
      </c>
      <c r="D45" t="str">
        <f t="shared" si="0"/>
        <v>Dev Patel</v>
      </c>
      <c r="E45" t="s">
        <v>144</v>
      </c>
      <c r="F45">
        <v>100000</v>
      </c>
      <c r="G45" s="32">
        <f>SUMIF(Orders!$J$1:$J$2501,'Sales Targets'!A45,Orders!$K$1:$K$2501)</f>
        <v>88589</v>
      </c>
      <c r="H45" t="str" cm="1">
        <f t="array" ref="H45">_xlfn.IFS(G45&lt;F45,"Target Not Met",G45=F45,"Target Met",G45&gt;F45,"Target Exceeded")</f>
        <v>Target Not Met</v>
      </c>
      <c r="I45">
        <f t="shared" si="1"/>
        <v>11411</v>
      </c>
      <c r="J45" s="43">
        <f t="shared" si="2"/>
        <v>0.88588999999999996</v>
      </c>
    </row>
    <row r="46" spans="1:10" x14ac:dyDescent="0.3">
      <c r="A46" t="s">
        <v>92</v>
      </c>
      <c r="B46" t="s">
        <v>128</v>
      </c>
      <c r="C46" t="s">
        <v>174</v>
      </c>
      <c r="D46" t="str">
        <f t="shared" si="0"/>
        <v>Mia Khan</v>
      </c>
      <c r="E46" t="s">
        <v>145</v>
      </c>
      <c r="F46">
        <v>30000</v>
      </c>
      <c r="G46" s="32">
        <f>SUMIF(Orders!$J$1:$J$2501,'Sales Targets'!A46,Orders!$K$1:$K$2501)</f>
        <v>31897</v>
      </c>
      <c r="H46" t="str" cm="1">
        <f t="array" ref="H46">_xlfn.IFS(G46&lt;F46,"Target Not Met",G46=F46,"Target Met",G46&gt;F46,"Target Exceeded")</f>
        <v>Target Exceeded</v>
      </c>
      <c r="I46">
        <f t="shared" si="1"/>
        <v>0</v>
      </c>
      <c r="J46" s="43">
        <f t="shared" si="2"/>
        <v>1.0632333333333333</v>
      </c>
    </row>
    <row r="47" spans="1:10" x14ac:dyDescent="0.3">
      <c r="A47" t="s">
        <v>34</v>
      </c>
      <c r="B47" t="s">
        <v>129</v>
      </c>
      <c r="C47" t="s">
        <v>175</v>
      </c>
      <c r="D47" t="str">
        <f t="shared" si="0"/>
        <v>William Brown</v>
      </c>
      <c r="E47" t="s">
        <v>143</v>
      </c>
      <c r="F47">
        <v>100000</v>
      </c>
      <c r="G47" s="32">
        <f>SUMIF(Orders!$J$1:$J$2501,'Sales Targets'!A47,Orders!$K$1:$K$2501)</f>
        <v>93064</v>
      </c>
      <c r="H47" t="str" cm="1">
        <f t="array" ref="H47">_xlfn.IFS(G47&lt;F47,"Target Not Met",G47=F47,"Target Met",G47&gt;F47,"Target Exceeded")</f>
        <v>Target Not Met</v>
      </c>
      <c r="I47">
        <f t="shared" si="1"/>
        <v>6936</v>
      </c>
      <c r="J47" s="43">
        <f t="shared" si="2"/>
        <v>0.93064000000000002</v>
      </c>
    </row>
    <row r="48" spans="1:10" x14ac:dyDescent="0.3">
      <c r="A48" t="s">
        <v>61</v>
      </c>
      <c r="B48" t="s">
        <v>130</v>
      </c>
      <c r="C48" t="s">
        <v>176</v>
      </c>
      <c r="D48" t="str">
        <f t="shared" si="0"/>
        <v>Sophie Gruber</v>
      </c>
      <c r="E48" t="s">
        <v>144</v>
      </c>
      <c r="F48">
        <v>100000</v>
      </c>
      <c r="G48" s="32">
        <f>SUMIF(Orders!$J$1:$J$2501,'Sales Targets'!A48,Orders!$K$1:$K$2501)</f>
        <v>78336</v>
      </c>
      <c r="H48" t="str" cm="1">
        <f t="array" ref="H48">_xlfn.IFS(G48&lt;F48,"Target Not Met",G48=F48,"Target Met",G48&gt;F48,"Target Exceeded")</f>
        <v>Target Not Met</v>
      </c>
      <c r="I48">
        <f t="shared" si="1"/>
        <v>21664</v>
      </c>
      <c r="J48" s="43">
        <f t="shared" si="2"/>
        <v>0.78335999999999995</v>
      </c>
    </row>
    <row r="49" spans="1:10" x14ac:dyDescent="0.3">
      <c r="A49" t="s">
        <v>88</v>
      </c>
      <c r="B49" t="s">
        <v>131</v>
      </c>
      <c r="C49" t="s">
        <v>177</v>
      </c>
      <c r="D49" t="str">
        <f t="shared" si="0"/>
        <v>Lucas Nielsen</v>
      </c>
      <c r="E49" t="s">
        <v>143</v>
      </c>
      <c r="F49">
        <v>150000</v>
      </c>
      <c r="G49" s="32">
        <f>SUMIF(Orders!$J$1:$J$2501,'Sales Targets'!A49,Orders!$K$1:$K$2501)</f>
        <v>107830</v>
      </c>
      <c r="H49" t="str" cm="1">
        <f t="array" ref="H49">_xlfn.IFS(G49&lt;F49,"Target Not Met",G49=F49,"Target Met",G49&gt;F49,"Target Exceeded")</f>
        <v>Target Not Met</v>
      </c>
      <c r="I49">
        <f t="shared" si="1"/>
        <v>42170</v>
      </c>
      <c r="J49" s="43">
        <f t="shared" si="2"/>
        <v>0.71886666666666665</v>
      </c>
    </row>
    <row r="50" spans="1:10" x14ac:dyDescent="0.3">
      <c r="A50" t="s">
        <v>63</v>
      </c>
      <c r="B50" t="s">
        <v>132</v>
      </c>
      <c r="C50" t="s">
        <v>178</v>
      </c>
      <c r="D50" t="str">
        <f t="shared" si="0"/>
        <v>Aino Virtanen</v>
      </c>
      <c r="E50" t="s">
        <v>142</v>
      </c>
      <c r="F50">
        <v>100000</v>
      </c>
      <c r="G50" s="32">
        <f>SUMIF(Orders!$J$1:$J$2501,'Sales Targets'!A50,Orders!$K$1:$K$2501)</f>
        <v>99157</v>
      </c>
      <c r="H50" t="str" cm="1">
        <f t="array" ref="H50">_xlfn.IFS(G50&lt;F50,"Target Not Met",G50=F50,"Target Met",G50&gt;F50,"Target Exceeded")</f>
        <v>Target Not Met</v>
      </c>
      <c r="I50">
        <f t="shared" si="1"/>
        <v>843</v>
      </c>
      <c r="J50" s="43">
        <f t="shared" si="2"/>
        <v>0.99156999999999995</v>
      </c>
    </row>
    <row r="51" spans="1:10" x14ac:dyDescent="0.3">
      <c r="A51" t="s">
        <v>73</v>
      </c>
      <c r="B51" t="s">
        <v>133</v>
      </c>
      <c r="C51" t="s">
        <v>179</v>
      </c>
      <c r="D51" t="str">
        <f t="shared" si="0"/>
        <v>Emily Dubois</v>
      </c>
      <c r="E51" t="s">
        <v>144</v>
      </c>
      <c r="F51">
        <v>150000</v>
      </c>
      <c r="G51" s="32">
        <f>SUMIF(Orders!$J$1:$J$2501,'Sales Targets'!A51,Orders!$K$1:$K$2501)</f>
        <v>164789</v>
      </c>
      <c r="H51" t="str" cm="1">
        <f t="array" ref="H51">_xlfn.IFS(G51&lt;F51,"Target Not Met",G51=F51,"Target Met",G51&gt;F51,"Target Exceeded")</f>
        <v>Target Exceeded</v>
      </c>
      <c r="I51">
        <f t="shared" si="1"/>
        <v>0</v>
      </c>
      <c r="J51" s="43">
        <f t="shared" si="2"/>
        <v>1.0985933333333333</v>
      </c>
    </row>
    <row r="52" spans="1:10" x14ac:dyDescent="0.3">
      <c r="A52" t="s">
        <v>68</v>
      </c>
      <c r="B52" t="s">
        <v>134</v>
      </c>
      <c r="C52" t="s">
        <v>180</v>
      </c>
      <c r="D52" t="str">
        <f t="shared" si="0"/>
        <v>Benjamin Weber</v>
      </c>
      <c r="E52" t="s">
        <v>145</v>
      </c>
      <c r="F52">
        <v>250000</v>
      </c>
      <c r="G52" s="32">
        <f>SUMIF(Orders!$J$1:$J$2501,'Sales Targets'!A52,Orders!$K$1:$K$2501)</f>
        <v>171694</v>
      </c>
      <c r="H52" t="str" cm="1">
        <f t="array" ref="H52">_xlfn.IFS(G52&lt;F52,"Target Not Met",G52=F52,"Target Met",G52&gt;F52,"Target Exceeded")</f>
        <v>Target Not Met</v>
      </c>
      <c r="I52">
        <f t="shared" si="1"/>
        <v>78306</v>
      </c>
      <c r="J52" s="43">
        <f t="shared" si="2"/>
        <v>0.68677600000000005</v>
      </c>
    </row>
    <row r="53" spans="1:10" x14ac:dyDescent="0.3">
      <c r="A53" t="s">
        <v>56</v>
      </c>
      <c r="B53" t="s">
        <v>133</v>
      </c>
      <c r="C53" t="s">
        <v>181</v>
      </c>
      <c r="D53" t="str">
        <f t="shared" si="0"/>
        <v>Emily Murphy</v>
      </c>
      <c r="E53" t="s">
        <v>141</v>
      </c>
      <c r="F53">
        <v>50000</v>
      </c>
      <c r="G53" s="32">
        <f>SUMIF(Orders!$J$1:$J$2501,'Sales Targets'!A53,Orders!$K$1:$K$2501)</f>
        <v>45184</v>
      </c>
      <c r="H53" t="str" cm="1">
        <f t="array" ref="H53">_xlfn.IFS(G53&lt;F53,"Target Not Met",G53=F53,"Target Met",G53&gt;F53,"Target Exceeded")</f>
        <v>Target Not Met</v>
      </c>
      <c r="I53">
        <f t="shared" si="1"/>
        <v>4816</v>
      </c>
      <c r="J53" s="43">
        <f t="shared" si="2"/>
        <v>0.90368000000000004</v>
      </c>
    </row>
    <row r="54" spans="1:10" x14ac:dyDescent="0.3">
      <c r="A54" t="s">
        <v>52</v>
      </c>
      <c r="B54" t="s">
        <v>135</v>
      </c>
      <c r="C54" t="s">
        <v>182</v>
      </c>
      <c r="D54" t="str">
        <f t="shared" si="0"/>
        <v>Marco Bianchi</v>
      </c>
      <c r="E54" t="s">
        <v>141</v>
      </c>
      <c r="F54">
        <v>100000</v>
      </c>
      <c r="G54" s="32">
        <f>SUMIF(Orders!$J$1:$J$2501,'Sales Targets'!A54,Orders!$K$1:$K$2501)</f>
        <v>89991</v>
      </c>
      <c r="H54" t="str" cm="1">
        <f t="array" ref="H54">_xlfn.IFS(G54&lt;F54,"Target Not Met",G54=F54,"Target Met",G54&gt;F54,"Target Exceeded")</f>
        <v>Target Not Met</v>
      </c>
      <c r="I54">
        <f t="shared" si="1"/>
        <v>10009</v>
      </c>
      <c r="J54" s="43">
        <f t="shared" si="2"/>
        <v>0.89990999999999999</v>
      </c>
    </row>
    <row r="55" spans="1:10" x14ac:dyDescent="0.3">
      <c r="A55" t="s">
        <v>43</v>
      </c>
      <c r="B55" t="s">
        <v>131</v>
      </c>
      <c r="C55" t="s">
        <v>183</v>
      </c>
      <c r="D55" t="str">
        <f t="shared" si="0"/>
        <v>Lucas Olsen</v>
      </c>
      <c r="E55" t="s">
        <v>143</v>
      </c>
      <c r="F55">
        <v>150000</v>
      </c>
      <c r="G55" s="32">
        <f>SUMIF(Orders!$J$1:$J$2501,'Sales Targets'!A55,Orders!$K$1:$K$2501)</f>
        <v>166573</v>
      </c>
      <c r="H55" t="str" cm="1">
        <f t="array" ref="H55">_xlfn.IFS(G55&lt;F55,"Target Not Met",G55=F55,"Target Met",G55&gt;F55,"Target Exceeded")</f>
        <v>Target Exceeded</v>
      </c>
      <c r="I55">
        <f t="shared" si="1"/>
        <v>0</v>
      </c>
      <c r="J55" s="43">
        <f t="shared" si="2"/>
        <v>1.1104866666666666</v>
      </c>
    </row>
    <row r="56" spans="1:10" x14ac:dyDescent="0.3">
      <c r="A56" t="s">
        <v>40</v>
      </c>
      <c r="B56" t="s">
        <v>134</v>
      </c>
      <c r="C56" t="s">
        <v>184</v>
      </c>
      <c r="D56" t="str">
        <f t="shared" si="0"/>
        <v>Benjamin Chen</v>
      </c>
      <c r="E56" t="s">
        <v>144</v>
      </c>
      <c r="F56">
        <v>150000</v>
      </c>
      <c r="G56" s="32">
        <f>SUMIF(Orders!$J$1:$J$2501,'Sales Targets'!A56,Orders!$K$1:$K$2501)</f>
        <v>156971</v>
      </c>
      <c r="H56" t="str" cm="1">
        <f t="array" ref="H56">_xlfn.IFS(G56&lt;F56,"Target Not Met",G56=F56,"Target Met",G56&gt;F56,"Target Exceeded")</f>
        <v>Target Exceeded</v>
      </c>
      <c r="I56">
        <f t="shared" si="1"/>
        <v>0</v>
      </c>
      <c r="J56" s="43">
        <f t="shared" si="2"/>
        <v>1.0464733333333334</v>
      </c>
    </row>
    <row r="57" spans="1:10" x14ac:dyDescent="0.3">
      <c r="A57" t="s">
        <v>29</v>
      </c>
      <c r="B57" t="s">
        <v>136</v>
      </c>
      <c r="C57" t="s">
        <v>185</v>
      </c>
      <c r="D57" t="str">
        <f t="shared" si="0"/>
        <v>Daniela Hernandez</v>
      </c>
      <c r="E57" t="s">
        <v>143</v>
      </c>
      <c r="F57">
        <v>200000</v>
      </c>
      <c r="G57" s="32">
        <f>SUMIF(Orders!$J$1:$J$2501,'Sales Targets'!A57,Orders!$K$1:$K$2501)</f>
        <v>201398</v>
      </c>
      <c r="H57" t="str" cm="1">
        <f t="array" ref="H57">_xlfn.IFS(G57&lt;F57,"Target Not Met",G57=F57,"Target Met",G57&gt;F57,"Target Exceeded")</f>
        <v>Target Exceeded</v>
      </c>
      <c r="I57">
        <f t="shared" si="1"/>
        <v>0</v>
      </c>
      <c r="J57" s="43">
        <f t="shared" si="2"/>
        <v>1.0069900000000001</v>
      </c>
    </row>
    <row r="58" spans="1:10" x14ac:dyDescent="0.3">
      <c r="A58" t="s">
        <v>11</v>
      </c>
      <c r="B58" t="s">
        <v>120</v>
      </c>
      <c r="C58" t="s">
        <v>186</v>
      </c>
      <c r="D58" t="str">
        <f t="shared" si="0"/>
        <v>Liam Baumann</v>
      </c>
      <c r="E58" t="s">
        <v>142</v>
      </c>
      <c r="F58">
        <v>150000</v>
      </c>
      <c r="G58" s="32">
        <f>SUMIF(Orders!$J$1:$J$2501,'Sales Targets'!A58,Orders!$K$1:$K$2501)</f>
        <v>88917</v>
      </c>
      <c r="H58" t="str" cm="1">
        <f t="array" ref="H58">_xlfn.IFS(G58&lt;F58,"Target Not Met",G58=F58,"Target Met",G58&gt;F58,"Target Exceeded")</f>
        <v>Target Not Met</v>
      </c>
      <c r="I58">
        <f t="shared" si="1"/>
        <v>61083</v>
      </c>
      <c r="J58" s="43">
        <f t="shared" si="2"/>
        <v>0.59277999999999997</v>
      </c>
    </row>
    <row r="59" spans="1:10" x14ac:dyDescent="0.3">
      <c r="A59" t="s">
        <v>53</v>
      </c>
      <c r="B59" t="s">
        <v>137</v>
      </c>
      <c r="C59" t="s">
        <v>187</v>
      </c>
      <c r="D59" t="str">
        <f t="shared" si="0"/>
        <v>Charlotte Miller</v>
      </c>
      <c r="E59" t="s">
        <v>143</v>
      </c>
      <c r="F59">
        <v>100000</v>
      </c>
      <c r="G59" s="32">
        <f>SUMIF(Orders!$J$1:$J$2501,'Sales Targets'!A59,Orders!$K$1:$K$2501)</f>
        <v>115877</v>
      </c>
      <c r="H59" t="str" cm="1">
        <f t="array" ref="H59">_xlfn.IFS(G59&lt;F59,"Target Not Met",G59=F59,"Target Met",G59&gt;F59,"Target Exceeded")</f>
        <v>Target Exceeded</v>
      </c>
      <c r="I59">
        <f t="shared" si="1"/>
        <v>0</v>
      </c>
      <c r="J59" s="43">
        <f t="shared" si="2"/>
        <v>1.1587700000000001</v>
      </c>
    </row>
    <row r="60" spans="1:10" x14ac:dyDescent="0.3">
      <c r="A60" t="s">
        <v>90</v>
      </c>
      <c r="B60" t="s">
        <v>138</v>
      </c>
      <c r="C60" t="s">
        <v>188</v>
      </c>
      <c r="D60" t="str">
        <f t="shared" si="0"/>
        <v>Priya Kapoor</v>
      </c>
      <c r="E60" t="s">
        <v>141</v>
      </c>
      <c r="F60">
        <v>100000</v>
      </c>
      <c r="G60" s="32">
        <f>SUMIF(Orders!$J$1:$J$2501,'Sales Targets'!A60,Orders!$K$1:$K$2501)</f>
        <v>87374</v>
      </c>
      <c r="H60" t="str" cm="1">
        <f t="array" ref="H60">_xlfn.IFS(G60&lt;F60,"Target Not Met",G60=F60,"Target Met",G60&gt;F60,"Target Exceeded")</f>
        <v>Target Not Met</v>
      </c>
      <c r="I60">
        <f t="shared" si="1"/>
        <v>12626</v>
      </c>
      <c r="J60" s="43">
        <f t="shared" si="2"/>
        <v>0.87373999999999996</v>
      </c>
    </row>
    <row r="61" spans="1:10" x14ac:dyDescent="0.3">
      <c r="A61" t="s">
        <v>10</v>
      </c>
      <c r="B61" t="s">
        <v>139</v>
      </c>
      <c r="C61" t="s">
        <v>189</v>
      </c>
      <c r="D61" t="str">
        <f t="shared" si="0"/>
        <v>Oliver Kumar</v>
      </c>
      <c r="E61" t="s">
        <v>142</v>
      </c>
      <c r="F61">
        <v>150000</v>
      </c>
      <c r="G61" s="32">
        <f>SUMIF(Orders!$J$1:$J$2501,'Sales Targets'!A61,Orders!$K$1:$K$2501)</f>
        <v>155548</v>
      </c>
      <c r="H61" t="str" cm="1">
        <f t="array" ref="H61">_xlfn.IFS(G61&lt;F61,"Target Not Met",G61=F61,"Target Met",G61&gt;F61,"Target Exceeded")</f>
        <v>Target Exceeded</v>
      </c>
      <c r="I61">
        <f t="shared" si="1"/>
        <v>0</v>
      </c>
      <c r="J61" s="43">
        <f t="shared" si="2"/>
        <v>1.0369866666666667</v>
      </c>
    </row>
    <row r="62" spans="1:10" x14ac:dyDescent="0.3">
      <c r="A62" t="s">
        <v>72</v>
      </c>
      <c r="B62" t="s">
        <v>114</v>
      </c>
      <c r="C62" t="s">
        <v>160</v>
      </c>
      <c r="D62" t="str">
        <f t="shared" si="0"/>
        <v>Amelia Johnson</v>
      </c>
      <c r="E62" t="s">
        <v>145</v>
      </c>
      <c r="F62">
        <v>150000</v>
      </c>
      <c r="G62" s="32">
        <f>SUMIF(Orders!$J$1:$J$2501,'Sales Targets'!A62,Orders!$K$1:$K$2501)</f>
        <v>156627</v>
      </c>
      <c r="H62" t="str" cm="1">
        <f t="array" ref="H62">_xlfn.IFS(G62&lt;F62,"Target Not Met",G62=F62,"Target Met",G62&gt;F62,"Target Exceeded")</f>
        <v>Target Exceeded</v>
      </c>
      <c r="I62">
        <f t="shared" si="1"/>
        <v>0</v>
      </c>
      <c r="J62" s="43">
        <f t="shared" si="2"/>
        <v>1.0441800000000001</v>
      </c>
    </row>
    <row r="63" spans="1:10" x14ac:dyDescent="0.3">
      <c r="A63" t="s">
        <v>75</v>
      </c>
      <c r="B63" t="s">
        <v>115</v>
      </c>
      <c r="C63" t="s">
        <v>161</v>
      </c>
      <c r="D63" t="str">
        <f t="shared" si="0"/>
        <v>Lukas Schmidt</v>
      </c>
      <c r="E63" t="s">
        <v>141</v>
      </c>
      <c r="F63">
        <v>80000</v>
      </c>
      <c r="G63" s="32">
        <f>SUMIF(Orders!$J$1:$J$2501,'Sales Targets'!A63,Orders!$K$1:$K$2501)</f>
        <v>87550</v>
      </c>
      <c r="H63" t="str" cm="1">
        <f t="array" ref="H63">_xlfn.IFS(G63&lt;F63,"Target Not Met",G63=F63,"Target Met",G63&gt;F63,"Target Exceeded")</f>
        <v>Target Exceeded</v>
      </c>
      <c r="I63">
        <f t="shared" si="1"/>
        <v>0</v>
      </c>
      <c r="J63" s="43">
        <f t="shared" si="2"/>
        <v>1.0943750000000001</v>
      </c>
    </row>
    <row r="64" spans="1:10" x14ac:dyDescent="0.3">
      <c r="A64" t="s">
        <v>93</v>
      </c>
      <c r="B64" t="s">
        <v>116</v>
      </c>
      <c r="C64" t="s">
        <v>162</v>
      </c>
      <c r="D64" t="str">
        <f t="shared" si="0"/>
        <v>Olivia Jensen</v>
      </c>
      <c r="E64" t="s">
        <v>142</v>
      </c>
      <c r="F64">
        <v>50000</v>
      </c>
      <c r="G64" s="32">
        <f>SUMIF(Orders!$J$1:$J$2501,'Sales Targets'!A64,Orders!$K$1:$K$2501)</f>
        <v>44651</v>
      </c>
      <c r="H64" t="str" cm="1">
        <f t="array" ref="H64">_xlfn.IFS(G64&lt;F64,"Target Not Met",G64=F64,"Target Met",G64&gt;F64,"Target Exceeded")</f>
        <v>Target Not Met</v>
      </c>
      <c r="I64">
        <f t="shared" si="1"/>
        <v>5349</v>
      </c>
      <c r="J64" s="43">
        <f t="shared" si="2"/>
        <v>0.89302000000000004</v>
      </c>
    </row>
    <row r="65" spans="1:10" x14ac:dyDescent="0.3">
      <c r="A65" t="s">
        <v>83</v>
      </c>
      <c r="B65" t="s">
        <v>117</v>
      </c>
      <c r="C65" t="s">
        <v>163</v>
      </c>
      <c r="D65" t="str">
        <f t="shared" si="0"/>
        <v>Sofia Laine</v>
      </c>
      <c r="E65" t="s">
        <v>143</v>
      </c>
      <c r="F65">
        <v>30000</v>
      </c>
      <c r="G65" s="32">
        <f>SUMIF(Orders!$J$1:$J$2501,'Sales Targets'!A65,Orders!$K$1:$K$2501)</f>
        <v>10197</v>
      </c>
      <c r="H65" t="str" cm="1">
        <f t="array" ref="H65">_xlfn.IFS(G65&lt;F65,"Target Not Met",G65=F65,"Target Met",G65&gt;F65,"Target Exceeded")</f>
        <v>Target Not Met</v>
      </c>
      <c r="I65">
        <f t="shared" si="1"/>
        <v>19803</v>
      </c>
      <c r="J65" s="43">
        <f t="shared" si="2"/>
        <v>0.33989999999999998</v>
      </c>
    </row>
    <row r="66" spans="1:10" x14ac:dyDescent="0.3">
      <c r="A66" t="s">
        <v>57</v>
      </c>
      <c r="B66" t="s">
        <v>118</v>
      </c>
      <c r="C66" t="s">
        <v>164</v>
      </c>
      <c r="D66" t="str">
        <f t="shared" si="0"/>
        <v>Chloe Dupont</v>
      </c>
      <c r="E66" t="s">
        <v>142</v>
      </c>
      <c r="F66">
        <v>80000</v>
      </c>
      <c r="G66" s="32">
        <f>SUMIF(Orders!$J$1:$J$2501,'Sales Targets'!A66,Orders!$K$1:$K$2501)</f>
        <v>56034</v>
      </c>
      <c r="H66" t="str" cm="1">
        <f t="array" ref="H66">_xlfn.IFS(G66&lt;F66,"Target Not Met",G66=F66,"Target Met",G66&gt;F66,"Target Exceeded")</f>
        <v>Target Not Met</v>
      </c>
      <c r="I66">
        <f t="shared" si="1"/>
        <v>23966</v>
      </c>
      <c r="J66" s="43">
        <f t="shared" si="2"/>
        <v>0.70042499999999996</v>
      </c>
    </row>
    <row r="67" spans="1:10" x14ac:dyDescent="0.3">
      <c r="A67" t="s">
        <v>44</v>
      </c>
      <c r="B67" t="s">
        <v>119</v>
      </c>
      <c r="C67" t="s">
        <v>165</v>
      </c>
      <c r="D67" t="str">
        <f t="shared" ref="D67:D93" si="3">_xlfn.CONCAT(B67," ",C67)</f>
        <v>Alexander Müller</v>
      </c>
      <c r="E67" t="s">
        <v>141</v>
      </c>
      <c r="F67">
        <v>100000</v>
      </c>
      <c r="G67" s="32">
        <f>SUMIF(Orders!$J$1:$J$2501,'Sales Targets'!A67,Orders!$K$1:$K$2501)</f>
        <v>116145</v>
      </c>
      <c r="H67" t="str" cm="1">
        <f t="array" ref="H67">_xlfn.IFS(G67&lt;F67,"Target Not Met",G67=F67,"Target Met",G67&gt;F67,"Target Exceeded")</f>
        <v>Target Exceeded</v>
      </c>
      <c r="I67">
        <f t="shared" ref="I67:I93" si="4">IF(G67&lt;F67,F67-G67,0)</f>
        <v>0</v>
      </c>
      <c r="J67" s="43">
        <f t="shared" ref="J67:J93" si="5">G67/F67</f>
        <v>1.1614500000000001</v>
      </c>
    </row>
    <row r="68" spans="1:10" x14ac:dyDescent="0.3">
      <c r="A68" t="s">
        <v>82</v>
      </c>
      <c r="B68" t="s">
        <v>120</v>
      </c>
      <c r="C68" t="s">
        <v>166</v>
      </c>
      <c r="D68" t="str">
        <f t="shared" si="3"/>
        <v>Liam O'Sullivan</v>
      </c>
      <c r="E68" t="s">
        <v>142</v>
      </c>
      <c r="F68">
        <v>200000</v>
      </c>
      <c r="G68" s="32">
        <f>SUMIF(Orders!$J$1:$J$2501,'Sales Targets'!A68,Orders!$K$1:$K$2501)</f>
        <v>63116</v>
      </c>
      <c r="H68" t="str" cm="1">
        <f t="array" ref="H68">_xlfn.IFS(G68&lt;F68,"Target Not Met",G68=F68,"Target Met",G68&gt;F68,"Target Exceeded")</f>
        <v>Target Not Met</v>
      </c>
      <c r="I68">
        <f t="shared" si="4"/>
        <v>136884</v>
      </c>
      <c r="J68" s="43">
        <f t="shared" si="5"/>
        <v>0.31558000000000003</v>
      </c>
    </row>
    <row r="69" spans="1:10" x14ac:dyDescent="0.3">
      <c r="A69" t="s">
        <v>62</v>
      </c>
      <c r="B69" t="s">
        <v>121</v>
      </c>
      <c r="C69" t="s">
        <v>167</v>
      </c>
      <c r="D69" t="str">
        <f t="shared" si="3"/>
        <v>Sophia Rossi</v>
      </c>
      <c r="E69" t="s">
        <v>142</v>
      </c>
      <c r="F69">
        <v>100000</v>
      </c>
      <c r="G69" s="32">
        <f>SUMIF(Orders!$J$1:$J$2501,'Sales Targets'!A69,Orders!$K$1:$K$2501)</f>
        <v>87269</v>
      </c>
      <c r="H69" t="str" cm="1">
        <f t="array" ref="H69">_xlfn.IFS(G69&lt;F69,"Target Not Met",G69=F69,"Target Met",G69&gt;F69,"Target Exceeded")</f>
        <v>Target Not Met</v>
      </c>
      <c r="I69">
        <f t="shared" si="4"/>
        <v>12731</v>
      </c>
      <c r="J69" s="43">
        <f t="shared" si="5"/>
        <v>0.87268999999999997</v>
      </c>
    </row>
    <row r="70" spans="1:10" x14ac:dyDescent="0.3">
      <c r="A70" t="s">
        <v>6</v>
      </c>
      <c r="B70" t="s">
        <v>122</v>
      </c>
      <c r="C70" t="s">
        <v>168</v>
      </c>
      <c r="D70" t="str">
        <f t="shared" si="3"/>
        <v>Emma Hansen</v>
      </c>
      <c r="E70" t="s">
        <v>143</v>
      </c>
      <c r="F70">
        <v>150000</v>
      </c>
      <c r="G70" s="32">
        <f>SUMIF(Orders!$J$1:$J$2501,'Sales Targets'!A70,Orders!$K$1:$K$2501)</f>
        <v>158488</v>
      </c>
      <c r="H70" t="str" cm="1">
        <f t="array" ref="H70">_xlfn.IFS(G70&lt;F70,"Target Not Met",G70=F70,"Target Met",G70&gt;F70,"Target Exceeded")</f>
        <v>Target Exceeded</v>
      </c>
      <c r="I70">
        <f t="shared" si="4"/>
        <v>0</v>
      </c>
      <c r="J70" s="43">
        <f t="shared" si="5"/>
        <v>1.0565866666666666</v>
      </c>
    </row>
    <row r="71" spans="1:10" x14ac:dyDescent="0.3">
      <c r="A71" t="s">
        <v>37</v>
      </c>
      <c r="B71" t="s">
        <v>123</v>
      </c>
      <c r="C71" t="s">
        <v>169</v>
      </c>
      <c r="D71" t="str">
        <f t="shared" si="3"/>
        <v>Ethan Lee</v>
      </c>
      <c r="E71" t="s">
        <v>142</v>
      </c>
      <c r="F71">
        <v>100000</v>
      </c>
      <c r="G71" s="32">
        <f>SUMIF(Orders!$J$1:$J$2501,'Sales Targets'!A71,Orders!$K$1:$K$2501)</f>
        <v>74372</v>
      </c>
      <c r="H71" t="str" cm="1">
        <f t="array" ref="H71">_xlfn.IFS(G71&lt;F71,"Target Not Met",G71=F71,"Target Met",G71&gt;F71,"Target Exceeded")</f>
        <v>Target Not Met</v>
      </c>
      <c r="I71">
        <f t="shared" si="4"/>
        <v>25628</v>
      </c>
      <c r="J71" s="43">
        <f t="shared" si="5"/>
        <v>0.74372000000000005</v>
      </c>
    </row>
    <row r="72" spans="1:10" x14ac:dyDescent="0.3">
      <c r="A72" t="s">
        <v>20</v>
      </c>
      <c r="B72" t="s">
        <v>124</v>
      </c>
      <c r="C72" t="s">
        <v>170</v>
      </c>
      <c r="D72" t="str">
        <f t="shared" si="3"/>
        <v>Isabella Garcia</v>
      </c>
      <c r="E72" t="s">
        <v>141</v>
      </c>
      <c r="F72">
        <v>150000</v>
      </c>
      <c r="G72" s="32">
        <f>SUMIF(Orders!$J$1:$J$2501,'Sales Targets'!A72,Orders!$K$1:$K$2501)</f>
        <v>153373</v>
      </c>
      <c r="H72" t="str" cm="1">
        <f t="array" ref="H72">_xlfn.IFS(G72&lt;F72,"Target Not Met",G72=F72,"Target Met",G72&gt;F72,"Target Exceeded")</f>
        <v>Target Exceeded</v>
      </c>
      <c r="I72">
        <f t="shared" si="4"/>
        <v>0</v>
      </c>
      <c r="J72" s="43">
        <f t="shared" si="5"/>
        <v>1.0224866666666668</v>
      </c>
    </row>
    <row r="73" spans="1:10" x14ac:dyDescent="0.3">
      <c r="A73" t="s">
        <v>81</v>
      </c>
      <c r="B73" t="s">
        <v>125</v>
      </c>
      <c r="C73" t="s">
        <v>171</v>
      </c>
      <c r="D73" t="str">
        <f t="shared" si="3"/>
        <v>Noah Meier</v>
      </c>
      <c r="E73" t="s">
        <v>141</v>
      </c>
      <c r="F73">
        <v>100000</v>
      </c>
      <c r="G73" s="32">
        <f>SUMIF(Orders!$J$1:$J$2501,'Sales Targets'!A73,Orders!$K$1:$K$2501)</f>
        <v>86682</v>
      </c>
      <c r="H73" t="str" cm="1">
        <f t="array" ref="H73">_xlfn.IFS(G73&lt;F73,"Target Not Met",G73=F73,"Target Met",G73&gt;F73,"Target Exceeded")</f>
        <v>Target Not Met</v>
      </c>
      <c r="I73">
        <f t="shared" si="4"/>
        <v>13318</v>
      </c>
      <c r="J73" s="43">
        <f t="shared" si="5"/>
        <v>0.86682000000000003</v>
      </c>
    </row>
    <row r="74" spans="1:10" x14ac:dyDescent="0.3">
      <c r="A74" t="s">
        <v>84</v>
      </c>
      <c r="B74" t="s">
        <v>126</v>
      </c>
      <c r="C74" t="s">
        <v>172</v>
      </c>
      <c r="D74" t="str">
        <f t="shared" si="3"/>
        <v>Ava Williams</v>
      </c>
      <c r="E74" t="s">
        <v>145</v>
      </c>
      <c r="F74">
        <v>100000</v>
      </c>
      <c r="G74" s="32">
        <f>SUMIF(Orders!$J$1:$J$2501,'Sales Targets'!A74,Orders!$K$1:$K$2501)</f>
        <v>91534</v>
      </c>
      <c r="H74" t="str" cm="1">
        <f t="array" ref="H74">_xlfn.IFS(G74&lt;F74,"Target Not Met",G74=F74,"Target Met",G74&gt;F74,"Target Exceeded")</f>
        <v>Target Not Met</v>
      </c>
      <c r="I74">
        <f t="shared" si="4"/>
        <v>8466</v>
      </c>
      <c r="J74" s="43">
        <f t="shared" si="5"/>
        <v>0.91534000000000004</v>
      </c>
    </row>
    <row r="75" spans="1:10" x14ac:dyDescent="0.3">
      <c r="A75" t="s">
        <v>25</v>
      </c>
      <c r="B75" t="s">
        <v>127</v>
      </c>
      <c r="C75" t="s">
        <v>173</v>
      </c>
      <c r="D75" t="str">
        <f t="shared" si="3"/>
        <v>Dev Patel</v>
      </c>
      <c r="E75" t="s">
        <v>144</v>
      </c>
      <c r="F75">
        <v>100000</v>
      </c>
      <c r="G75" s="32">
        <f>SUMIF(Orders!$J$1:$J$2501,'Sales Targets'!A75,Orders!$K$1:$K$2501)</f>
        <v>107329</v>
      </c>
      <c r="H75" t="str" cm="1">
        <f t="array" ref="H75">_xlfn.IFS(G75&lt;F75,"Target Not Met",G75=F75,"Target Met",G75&gt;F75,"Target Exceeded")</f>
        <v>Target Exceeded</v>
      </c>
      <c r="I75">
        <f t="shared" si="4"/>
        <v>0</v>
      </c>
      <c r="J75" s="43">
        <f t="shared" si="5"/>
        <v>1.0732900000000001</v>
      </c>
    </row>
    <row r="76" spans="1:10" x14ac:dyDescent="0.3">
      <c r="A76" t="s">
        <v>35</v>
      </c>
      <c r="B76" t="s">
        <v>128</v>
      </c>
      <c r="C76" t="s">
        <v>174</v>
      </c>
      <c r="D76" t="str">
        <f t="shared" si="3"/>
        <v>Mia Khan</v>
      </c>
      <c r="E76" t="s">
        <v>145</v>
      </c>
      <c r="F76">
        <v>100000</v>
      </c>
      <c r="G76" s="32">
        <f>SUMIF(Orders!$J$1:$J$2501,'Sales Targets'!A76,Orders!$K$1:$K$2501)</f>
        <v>73048</v>
      </c>
      <c r="H76" t="str" cm="1">
        <f t="array" ref="H76">_xlfn.IFS(G76&lt;F76,"Target Not Met",G76=F76,"Target Met",G76&gt;F76,"Target Exceeded")</f>
        <v>Target Not Met</v>
      </c>
      <c r="I76">
        <f t="shared" si="4"/>
        <v>26952</v>
      </c>
      <c r="J76" s="43">
        <f t="shared" si="5"/>
        <v>0.73048000000000002</v>
      </c>
    </row>
    <row r="77" spans="1:10" x14ac:dyDescent="0.3">
      <c r="A77" t="s">
        <v>41</v>
      </c>
      <c r="B77" t="s">
        <v>129</v>
      </c>
      <c r="C77" t="s">
        <v>175</v>
      </c>
      <c r="D77" t="str">
        <f t="shared" si="3"/>
        <v>William Brown</v>
      </c>
      <c r="E77" t="s">
        <v>143</v>
      </c>
      <c r="F77">
        <v>100000</v>
      </c>
      <c r="G77" s="32">
        <f>SUMIF(Orders!$J$1:$J$2501,'Sales Targets'!A77,Orders!$K$1:$K$2501)</f>
        <v>86855</v>
      </c>
      <c r="H77" t="str" cm="1">
        <f t="array" ref="H77">_xlfn.IFS(G77&lt;F77,"Target Not Met",G77=F77,"Target Met",G77&gt;F77,"Target Exceeded")</f>
        <v>Target Not Met</v>
      </c>
      <c r="I77">
        <f t="shared" si="4"/>
        <v>13145</v>
      </c>
      <c r="J77" s="43">
        <f t="shared" si="5"/>
        <v>0.86855000000000004</v>
      </c>
    </row>
    <row r="78" spans="1:10" x14ac:dyDescent="0.3">
      <c r="A78" t="s">
        <v>31</v>
      </c>
      <c r="B78" t="s">
        <v>130</v>
      </c>
      <c r="C78" t="s">
        <v>176</v>
      </c>
      <c r="D78" t="str">
        <f t="shared" si="3"/>
        <v>Sophie Gruber</v>
      </c>
      <c r="E78" t="s">
        <v>144</v>
      </c>
      <c r="F78">
        <v>80000</v>
      </c>
      <c r="G78" s="32">
        <f>SUMIF(Orders!$J$1:$J$2501,'Sales Targets'!A78,Orders!$K$1:$K$2501)</f>
        <v>67941</v>
      </c>
      <c r="H78" t="str" cm="1">
        <f t="array" ref="H78">_xlfn.IFS(G78&lt;F78,"Target Not Met",G78=F78,"Target Met",G78&gt;F78,"Target Exceeded")</f>
        <v>Target Not Met</v>
      </c>
      <c r="I78">
        <f t="shared" si="4"/>
        <v>12059</v>
      </c>
      <c r="J78" s="43">
        <f t="shared" si="5"/>
        <v>0.84926250000000003</v>
      </c>
    </row>
    <row r="79" spans="1:10" x14ac:dyDescent="0.3">
      <c r="A79" t="s">
        <v>46</v>
      </c>
      <c r="B79" t="s">
        <v>131</v>
      </c>
      <c r="C79" t="s">
        <v>177</v>
      </c>
      <c r="D79" t="str">
        <f t="shared" si="3"/>
        <v>Lucas Nielsen</v>
      </c>
      <c r="E79" t="s">
        <v>143</v>
      </c>
      <c r="F79">
        <v>100000</v>
      </c>
      <c r="G79" s="32">
        <f>SUMIF(Orders!$J$1:$J$2501,'Sales Targets'!A79,Orders!$K$1:$K$2501)</f>
        <v>85772</v>
      </c>
      <c r="H79" t="str" cm="1">
        <f t="array" ref="H79">_xlfn.IFS(G79&lt;F79,"Target Not Met",G79=F79,"Target Met",G79&gt;F79,"Target Exceeded")</f>
        <v>Target Not Met</v>
      </c>
      <c r="I79">
        <f t="shared" si="4"/>
        <v>14228</v>
      </c>
      <c r="J79" s="43">
        <f t="shared" si="5"/>
        <v>0.85772000000000004</v>
      </c>
    </row>
    <row r="80" spans="1:10" x14ac:dyDescent="0.3">
      <c r="A80" t="s">
        <v>49</v>
      </c>
      <c r="B80" t="s">
        <v>132</v>
      </c>
      <c r="C80" t="s">
        <v>178</v>
      </c>
      <c r="D80" t="str">
        <f t="shared" si="3"/>
        <v>Aino Virtanen</v>
      </c>
      <c r="E80" t="s">
        <v>142</v>
      </c>
      <c r="F80">
        <v>30000</v>
      </c>
      <c r="G80" s="32">
        <f>SUMIF(Orders!$J$1:$J$2501,'Sales Targets'!A80,Orders!$K$1:$K$2501)</f>
        <v>38017</v>
      </c>
      <c r="H80" t="str" cm="1">
        <f t="array" ref="H80">_xlfn.IFS(G80&lt;F80,"Target Not Met",G80=F80,"Target Met",G80&gt;F80,"Target Exceeded")</f>
        <v>Target Exceeded</v>
      </c>
      <c r="I80">
        <f t="shared" si="4"/>
        <v>0</v>
      </c>
      <c r="J80" s="43">
        <f t="shared" si="5"/>
        <v>1.2672333333333334</v>
      </c>
    </row>
    <row r="81" spans="1:10" x14ac:dyDescent="0.3">
      <c r="A81" t="s">
        <v>91</v>
      </c>
      <c r="B81" t="s">
        <v>133</v>
      </c>
      <c r="C81" t="s">
        <v>179</v>
      </c>
      <c r="D81" t="str">
        <f t="shared" si="3"/>
        <v>Emily Dubois</v>
      </c>
      <c r="E81" t="s">
        <v>144</v>
      </c>
      <c r="F81">
        <v>30000</v>
      </c>
      <c r="G81" s="32">
        <f>SUMIF(Orders!$J$1:$J$2501,'Sales Targets'!A81,Orders!$K$1:$K$2501)</f>
        <v>42553</v>
      </c>
      <c r="H81" t="str" cm="1">
        <f t="array" ref="H81">_xlfn.IFS(G81&lt;F81,"Target Not Met",G81=F81,"Target Met",G81&gt;F81,"Target Exceeded")</f>
        <v>Target Exceeded</v>
      </c>
      <c r="I81">
        <f t="shared" si="4"/>
        <v>0</v>
      </c>
      <c r="J81" s="43">
        <f t="shared" si="5"/>
        <v>1.4184333333333334</v>
      </c>
    </row>
    <row r="82" spans="1:10" x14ac:dyDescent="0.3">
      <c r="A82" t="s">
        <v>64</v>
      </c>
      <c r="B82" t="s">
        <v>134</v>
      </c>
      <c r="C82" t="s">
        <v>180</v>
      </c>
      <c r="D82" t="str">
        <f t="shared" si="3"/>
        <v>Benjamin Weber</v>
      </c>
      <c r="E82" t="s">
        <v>145</v>
      </c>
      <c r="F82">
        <v>200000</v>
      </c>
      <c r="G82" s="32">
        <f>SUMIF(Orders!$J$1:$J$2501,'Sales Targets'!A82,Orders!$K$1:$K$2501)</f>
        <v>195359</v>
      </c>
      <c r="H82" t="str" cm="1">
        <f t="array" ref="H82">_xlfn.IFS(G82&lt;F82,"Target Not Met",G82=F82,"Target Met",G82&gt;F82,"Target Exceeded")</f>
        <v>Target Not Met</v>
      </c>
      <c r="I82">
        <f t="shared" si="4"/>
        <v>4641</v>
      </c>
      <c r="J82" s="43">
        <f t="shared" si="5"/>
        <v>0.97679499999999997</v>
      </c>
    </row>
    <row r="83" spans="1:10" x14ac:dyDescent="0.3">
      <c r="A83" t="s">
        <v>15</v>
      </c>
      <c r="B83" t="s">
        <v>133</v>
      </c>
      <c r="C83" t="s">
        <v>181</v>
      </c>
      <c r="D83" t="str">
        <f t="shared" si="3"/>
        <v>Emily Murphy</v>
      </c>
      <c r="E83" t="s">
        <v>141</v>
      </c>
      <c r="F83">
        <v>80000</v>
      </c>
      <c r="G83" s="32">
        <f>SUMIF(Orders!$J$1:$J$2501,'Sales Targets'!A83,Orders!$K$1:$K$2501)</f>
        <v>67627</v>
      </c>
      <c r="H83" t="str" cm="1">
        <f t="array" ref="H83">_xlfn.IFS(G83&lt;F83,"Target Not Met",G83=F83,"Target Met",G83&gt;F83,"Target Exceeded")</f>
        <v>Target Not Met</v>
      </c>
      <c r="I83">
        <f t="shared" si="4"/>
        <v>12373</v>
      </c>
      <c r="J83" s="43">
        <f t="shared" si="5"/>
        <v>0.84533749999999996</v>
      </c>
    </row>
    <row r="84" spans="1:10" x14ac:dyDescent="0.3">
      <c r="A84" t="s">
        <v>13</v>
      </c>
      <c r="B84" t="s">
        <v>135</v>
      </c>
      <c r="C84" t="s">
        <v>182</v>
      </c>
      <c r="D84" t="str">
        <f t="shared" si="3"/>
        <v>Marco Bianchi</v>
      </c>
      <c r="E84" t="s">
        <v>141</v>
      </c>
      <c r="F84">
        <v>250000</v>
      </c>
      <c r="G84" s="32">
        <f>SUMIF(Orders!$J$1:$J$2501,'Sales Targets'!A84,Orders!$K$1:$K$2501)</f>
        <v>261772</v>
      </c>
      <c r="H84" t="str" cm="1">
        <f t="array" ref="H84">_xlfn.IFS(G84&lt;F84,"Target Not Met",G84=F84,"Target Met",G84&gt;F84,"Target Exceeded")</f>
        <v>Target Exceeded</v>
      </c>
      <c r="I84">
        <f t="shared" si="4"/>
        <v>0</v>
      </c>
      <c r="J84" s="43">
        <f t="shared" si="5"/>
        <v>1.047088</v>
      </c>
    </row>
    <row r="85" spans="1:10" x14ac:dyDescent="0.3">
      <c r="A85" t="s">
        <v>36</v>
      </c>
      <c r="B85" t="s">
        <v>131</v>
      </c>
      <c r="C85" t="s">
        <v>183</v>
      </c>
      <c r="D85" t="str">
        <f t="shared" si="3"/>
        <v>Lucas Olsen</v>
      </c>
      <c r="E85" t="s">
        <v>143</v>
      </c>
      <c r="F85">
        <v>100000</v>
      </c>
      <c r="G85" s="32">
        <f>SUMIF(Orders!$J$1:$J$2501,'Sales Targets'!A85,Orders!$K$1:$K$2501)</f>
        <v>44273</v>
      </c>
      <c r="H85" t="str" cm="1">
        <f t="array" ref="H85">_xlfn.IFS(G85&lt;F85,"Target Not Met",G85=F85,"Target Met",G85&gt;F85,"Target Exceeded")</f>
        <v>Target Not Met</v>
      </c>
      <c r="I85">
        <f t="shared" si="4"/>
        <v>55727</v>
      </c>
      <c r="J85" s="43">
        <f t="shared" si="5"/>
        <v>0.44273000000000001</v>
      </c>
    </row>
    <row r="86" spans="1:10" x14ac:dyDescent="0.3">
      <c r="A86" t="s">
        <v>9</v>
      </c>
      <c r="B86" t="s">
        <v>134</v>
      </c>
      <c r="C86" t="s">
        <v>184</v>
      </c>
      <c r="D86" t="str">
        <f t="shared" si="3"/>
        <v>Benjamin Chen</v>
      </c>
      <c r="E86" t="s">
        <v>144</v>
      </c>
      <c r="F86">
        <v>150000</v>
      </c>
      <c r="G86" s="32">
        <f>SUMIF(Orders!$J$1:$J$2501,'Sales Targets'!A86,Orders!$K$1:$K$2501)</f>
        <v>98774</v>
      </c>
      <c r="H86" t="str" cm="1">
        <f t="array" ref="H86">_xlfn.IFS(G86&lt;F86,"Target Not Met",G86=F86,"Target Met",G86&gt;F86,"Target Exceeded")</f>
        <v>Target Not Met</v>
      </c>
      <c r="I86">
        <f t="shared" si="4"/>
        <v>51226</v>
      </c>
      <c r="J86" s="43">
        <f t="shared" si="5"/>
        <v>0.65849333333333337</v>
      </c>
    </row>
    <row r="87" spans="1:10" x14ac:dyDescent="0.3">
      <c r="A87" t="s">
        <v>85</v>
      </c>
      <c r="B87" t="s">
        <v>136</v>
      </c>
      <c r="C87" t="s">
        <v>185</v>
      </c>
      <c r="D87" t="str">
        <f t="shared" si="3"/>
        <v>Daniela Hernandez</v>
      </c>
      <c r="E87" t="s">
        <v>143</v>
      </c>
      <c r="F87">
        <v>100000</v>
      </c>
      <c r="G87" s="32">
        <f>SUMIF(Orders!$J$1:$J$2501,'Sales Targets'!A87,Orders!$K$1:$K$2501)</f>
        <v>94616</v>
      </c>
      <c r="H87" t="str" cm="1">
        <f t="array" ref="H87">_xlfn.IFS(G87&lt;F87,"Target Not Met",G87=F87,"Target Met",G87&gt;F87,"Target Exceeded")</f>
        <v>Target Not Met</v>
      </c>
      <c r="I87">
        <f t="shared" si="4"/>
        <v>5384</v>
      </c>
      <c r="J87" s="43">
        <f t="shared" si="5"/>
        <v>0.94616</v>
      </c>
    </row>
    <row r="88" spans="1:10" x14ac:dyDescent="0.3">
      <c r="A88" t="s">
        <v>74</v>
      </c>
      <c r="B88" t="s">
        <v>120</v>
      </c>
      <c r="C88" t="s">
        <v>186</v>
      </c>
      <c r="D88" t="str">
        <f t="shared" si="3"/>
        <v>Liam Baumann</v>
      </c>
      <c r="E88" t="s">
        <v>142</v>
      </c>
      <c r="F88">
        <v>50000</v>
      </c>
      <c r="G88" s="32">
        <f>SUMIF(Orders!$J$1:$J$2501,'Sales Targets'!A88,Orders!$K$1:$K$2501)</f>
        <v>51911</v>
      </c>
      <c r="H88" t="str" cm="1">
        <f t="array" ref="H88">_xlfn.IFS(G88&lt;F88,"Target Not Met",G88=F88,"Target Met",G88&gt;F88,"Target Exceeded")</f>
        <v>Target Exceeded</v>
      </c>
      <c r="I88">
        <f t="shared" si="4"/>
        <v>0</v>
      </c>
      <c r="J88" s="43">
        <f t="shared" si="5"/>
        <v>1.0382199999999999</v>
      </c>
    </row>
    <row r="89" spans="1:10" x14ac:dyDescent="0.3">
      <c r="A89" t="s">
        <v>58</v>
      </c>
      <c r="B89" t="s">
        <v>137</v>
      </c>
      <c r="C89" t="s">
        <v>187</v>
      </c>
      <c r="D89" t="str">
        <f t="shared" si="3"/>
        <v>Charlotte Miller</v>
      </c>
      <c r="E89" t="s">
        <v>143</v>
      </c>
      <c r="F89">
        <v>80000</v>
      </c>
      <c r="G89" s="32">
        <f>SUMIF(Orders!$J$1:$J$2501,'Sales Targets'!A89,Orders!$K$1:$K$2501)</f>
        <v>86182</v>
      </c>
      <c r="H89" t="str" cm="1">
        <f t="array" ref="H89">_xlfn.IFS(G89&lt;F89,"Target Not Met",G89=F89,"Target Met",G89&gt;F89,"Target Exceeded")</f>
        <v>Target Exceeded</v>
      </c>
      <c r="I89">
        <f t="shared" si="4"/>
        <v>0</v>
      </c>
      <c r="J89" s="43">
        <f t="shared" si="5"/>
        <v>1.077275</v>
      </c>
    </row>
    <row r="90" spans="1:10" x14ac:dyDescent="0.3">
      <c r="A90" t="s">
        <v>66</v>
      </c>
      <c r="B90" t="s">
        <v>138</v>
      </c>
      <c r="C90" t="s">
        <v>188</v>
      </c>
      <c r="D90" t="str">
        <f t="shared" si="3"/>
        <v>Priya Kapoor</v>
      </c>
      <c r="E90" t="s">
        <v>141</v>
      </c>
      <c r="F90">
        <v>100000</v>
      </c>
      <c r="G90" s="32">
        <f>SUMIF(Orders!$J$1:$J$2501,'Sales Targets'!A90,Orders!$K$1:$K$2501)</f>
        <v>85279</v>
      </c>
      <c r="H90" t="str" cm="1">
        <f t="array" ref="H90">_xlfn.IFS(G90&lt;F90,"Target Not Met",G90=F90,"Target Met",G90&gt;F90,"Target Exceeded")</f>
        <v>Target Not Met</v>
      </c>
      <c r="I90">
        <f t="shared" si="4"/>
        <v>14721</v>
      </c>
      <c r="J90" s="43">
        <f t="shared" si="5"/>
        <v>0.85279000000000005</v>
      </c>
    </row>
    <row r="91" spans="1:10" x14ac:dyDescent="0.3">
      <c r="A91" t="s">
        <v>30</v>
      </c>
      <c r="B91" t="s">
        <v>139</v>
      </c>
      <c r="C91" t="s">
        <v>189</v>
      </c>
      <c r="D91" t="str">
        <f t="shared" si="3"/>
        <v>Oliver Kumar</v>
      </c>
      <c r="E91" t="s">
        <v>142</v>
      </c>
      <c r="F91">
        <v>80000</v>
      </c>
      <c r="G91" s="32">
        <f>SUMIF(Orders!$J$1:$J$2501,'Sales Targets'!A91,Orders!$K$1:$K$2501)</f>
        <v>70369</v>
      </c>
      <c r="H91" t="str" cm="1">
        <f t="array" ref="H91">_xlfn.IFS(G91&lt;F91,"Target Not Met",G91=F91,"Target Met",G91&gt;F91,"Target Exceeded")</f>
        <v>Target Not Met</v>
      </c>
      <c r="I91">
        <f t="shared" si="4"/>
        <v>9631</v>
      </c>
      <c r="J91" s="43">
        <f t="shared" si="5"/>
        <v>0.87961250000000002</v>
      </c>
    </row>
    <row r="92" spans="1:10" x14ac:dyDescent="0.3">
      <c r="A92" t="s">
        <v>47</v>
      </c>
      <c r="B92" t="s">
        <v>125</v>
      </c>
      <c r="C92" t="s">
        <v>171</v>
      </c>
      <c r="D92" t="str">
        <f t="shared" si="3"/>
        <v>Noah Meier</v>
      </c>
      <c r="E92" t="s">
        <v>141</v>
      </c>
      <c r="F92">
        <v>100000</v>
      </c>
      <c r="G92" s="32">
        <f>SUMIF(Orders!$J$1:$J$2501,'Sales Targets'!A92,Orders!$K$1:$K$2501)</f>
        <v>95828</v>
      </c>
      <c r="H92" t="str" cm="1">
        <f t="array" ref="H92">_xlfn.IFS(G92&lt;F92,"Target Not Met",G92=F92,"Target Met",G92&gt;F92,"Target Exceeded")</f>
        <v>Target Not Met</v>
      </c>
      <c r="I92">
        <f t="shared" si="4"/>
        <v>4172</v>
      </c>
      <c r="J92" s="43">
        <f t="shared" si="5"/>
        <v>0.95828000000000002</v>
      </c>
    </row>
    <row r="93" spans="1:10" x14ac:dyDescent="0.3">
      <c r="A93" t="s">
        <v>79</v>
      </c>
      <c r="B93" t="s">
        <v>126</v>
      </c>
      <c r="C93" t="s">
        <v>172</v>
      </c>
      <c r="D93" t="str">
        <f t="shared" si="3"/>
        <v>Ava Williams</v>
      </c>
      <c r="E93" t="s">
        <v>145</v>
      </c>
      <c r="F93">
        <v>50000</v>
      </c>
      <c r="G93" s="32">
        <f>SUMIF(Orders!$J$1:$J$2501,'Sales Targets'!A93,Orders!$K$1:$K$2501)</f>
        <v>41950</v>
      </c>
      <c r="H93" t="str" cm="1">
        <f t="array" ref="H93">_xlfn.IFS(G93&lt;F93,"Target Not Met",G93=F93,"Target Met",G93&gt;F93,"Target Exceeded")</f>
        <v>Target Not Met</v>
      </c>
      <c r="I93">
        <f t="shared" si="4"/>
        <v>8050</v>
      </c>
      <c r="J93" s="43">
        <f t="shared" si="5"/>
        <v>0.83899999999999997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516A-937D-4921-B300-352A41488E72}">
  <sheetPr>
    <tabColor theme="7"/>
  </sheetPr>
  <dimension ref="B1:K52"/>
  <sheetViews>
    <sheetView workbookViewId="0">
      <selection activeCell="I46" sqref="I46"/>
    </sheetView>
  </sheetViews>
  <sheetFormatPr defaultRowHeight="14.4" x14ac:dyDescent="0.3"/>
  <cols>
    <col min="1" max="1" width="9.33203125" bestFit="1" customWidth="1"/>
    <col min="2" max="2" width="20.5546875" bestFit="1" customWidth="1"/>
    <col min="3" max="3" width="15.44140625" bestFit="1" customWidth="1"/>
    <col min="4" max="4" width="11.6640625" bestFit="1" customWidth="1"/>
    <col min="6" max="6" width="8.33203125" bestFit="1" customWidth="1"/>
    <col min="7" max="7" width="18.44140625" bestFit="1" customWidth="1"/>
  </cols>
  <sheetData>
    <row r="1" spans="2:4" x14ac:dyDescent="0.3">
      <c r="B1" s="24" t="s">
        <v>262</v>
      </c>
      <c r="C1" s="24"/>
      <c r="D1" s="24"/>
    </row>
    <row r="2" spans="2:4" x14ac:dyDescent="0.3">
      <c r="B2" s="17"/>
      <c r="C2" s="17" t="s">
        <v>199</v>
      </c>
      <c r="D2" s="17" t="s">
        <v>111</v>
      </c>
    </row>
    <row r="3" spans="2:4" x14ac:dyDescent="0.3">
      <c r="B3" s="17" t="s">
        <v>196</v>
      </c>
      <c r="C3" s="17">
        <f>COUNTA(Orders!C2:C2501)</f>
        <v>2500</v>
      </c>
      <c r="D3" s="17">
        <f>COUNTA(Orders!I2:I2501)</f>
        <v>2500</v>
      </c>
    </row>
    <row r="4" spans="2:4" x14ac:dyDescent="0.3">
      <c r="B4" s="17" t="s">
        <v>197</v>
      </c>
      <c r="C4" s="17">
        <f>COUNTBLANK(Orders!C2:C2501)</f>
        <v>0</v>
      </c>
      <c r="D4" s="17">
        <f>COUNTBLANK(Orders!I1:I2501)</f>
        <v>0</v>
      </c>
    </row>
    <row r="5" spans="2:4" x14ac:dyDescent="0.3">
      <c r="B5" s="17" t="s">
        <v>198</v>
      </c>
      <c r="C5" s="17">
        <f>C3-C4</f>
        <v>2500</v>
      </c>
      <c r="D5" s="17">
        <f>D3-D4</f>
        <v>2500</v>
      </c>
    </row>
    <row r="8" spans="2:4" x14ac:dyDescent="0.3">
      <c r="B8" s="25" t="s">
        <v>201</v>
      </c>
      <c r="C8" s="26"/>
      <c r="D8" s="27"/>
    </row>
    <row r="9" spans="2:4" x14ac:dyDescent="0.3">
      <c r="B9" s="17"/>
      <c r="C9" s="17" t="s">
        <v>207</v>
      </c>
      <c r="D9" s="17" t="s">
        <v>149</v>
      </c>
    </row>
    <row r="10" spans="2:4" x14ac:dyDescent="0.3">
      <c r="B10" s="17" t="s">
        <v>202</v>
      </c>
      <c r="C10" s="33">
        <f>QUARTILE(Orders!K1:K2501,0)</f>
        <v>10</v>
      </c>
      <c r="D10" s="17">
        <f>QUARTILE(Customers!D1:D2501,0)</f>
        <v>18</v>
      </c>
    </row>
    <row r="11" spans="2:4" x14ac:dyDescent="0.3">
      <c r="B11" s="17" t="s">
        <v>203</v>
      </c>
      <c r="C11" s="33">
        <f>QUARTILE(Orders!K2:K2502,1)</f>
        <v>2364</v>
      </c>
      <c r="D11" s="17">
        <f>QUARTILE(Customers!D2:D2502,1)</f>
        <v>36</v>
      </c>
    </row>
    <row r="12" spans="2:4" x14ac:dyDescent="0.3">
      <c r="B12" s="17" t="s">
        <v>204</v>
      </c>
      <c r="C12" s="33">
        <f>QUARTILE(Orders!K3:K2503,2)</f>
        <v>4738</v>
      </c>
      <c r="D12" s="17">
        <f>QUARTILE(Customers!D3:D2503,2)</f>
        <v>54</v>
      </c>
    </row>
    <row r="13" spans="2:4" x14ac:dyDescent="0.3">
      <c r="B13" s="17" t="s">
        <v>205</v>
      </c>
      <c r="C13" s="33">
        <f>QUARTILE(Orders!K4:K2504,3)</f>
        <v>7447.75</v>
      </c>
      <c r="D13" s="17">
        <f>QUARTILE(Customers!D4:D2504,3)</f>
        <v>72</v>
      </c>
    </row>
    <row r="14" spans="2:4" x14ac:dyDescent="0.3">
      <c r="B14" s="17" t="s">
        <v>206</v>
      </c>
      <c r="C14" s="33">
        <f>QUARTILE(Orders!K5:K2505,4)</f>
        <v>9994</v>
      </c>
      <c r="D14" s="17">
        <f>QUARTILE(Customers!D5:D2505,4)</f>
        <v>90</v>
      </c>
    </row>
    <row r="15" spans="2:4" x14ac:dyDescent="0.3">
      <c r="B15" s="17" t="s">
        <v>208</v>
      </c>
      <c r="C15" s="33">
        <f>C13-C11</f>
        <v>5083.75</v>
      </c>
      <c r="D15" s="17">
        <f>D13-D11</f>
        <v>36</v>
      </c>
    </row>
    <row r="16" spans="2:4" x14ac:dyDescent="0.3">
      <c r="B16" s="22" t="s">
        <v>209</v>
      </c>
      <c r="C16" s="35">
        <f>C11-1.5*C15</f>
        <v>-5261.625</v>
      </c>
      <c r="D16" s="22">
        <f>D11-1.5*D15</f>
        <v>-18</v>
      </c>
    </row>
    <row r="17" spans="2:11" x14ac:dyDescent="0.3">
      <c r="B17" s="22" t="s">
        <v>210</v>
      </c>
      <c r="C17" s="35">
        <f>C13+1.5*C15</f>
        <v>15073.375</v>
      </c>
      <c r="D17" s="22">
        <f>D13+1.5*D15</f>
        <v>126</v>
      </c>
    </row>
    <row r="20" spans="2:11" x14ac:dyDescent="0.3">
      <c r="B20" s="28" t="s">
        <v>212</v>
      </c>
      <c r="C20" s="29"/>
    </row>
    <row r="21" spans="2:11" x14ac:dyDescent="0.3">
      <c r="B21" s="17" t="s">
        <v>213</v>
      </c>
      <c r="C21" s="17">
        <f>SUMIF(Orders!F1:F2501,"&gt;6",Orders!K1:K2501)</f>
        <v>6095203</v>
      </c>
    </row>
    <row r="22" spans="2:11" x14ac:dyDescent="0.3">
      <c r="B22" s="17" t="s">
        <v>214</v>
      </c>
      <c r="C22" s="17">
        <f>COUNTIF(Orders!F1:F2501,"&gt;6")</f>
        <v>1249</v>
      </c>
    </row>
    <row r="24" spans="2:11" x14ac:dyDescent="0.3">
      <c r="B24" s="28" t="s">
        <v>215</v>
      </c>
      <c r="C24" s="29"/>
      <c r="F24" s="46" t="s">
        <v>152</v>
      </c>
      <c r="G24" s="46" t="s">
        <v>311</v>
      </c>
    </row>
    <row r="25" spans="2:11" ht="14.4" customHeight="1" x14ac:dyDescent="0.3">
      <c r="B25" s="17" t="s">
        <v>213</v>
      </c>
      <c r="C25" s="17">
        <f>SUMIF(Orders!C1:C2501,"India",Orders!K1:K2501)</f>
        <v>1356737</v>
      </c>
      <c r="F25" s="17" t="s">
        <v>153</v>
      </c>
      <c r="G25" s="33">
        <f>AVERAGEIF(Customers!$E$2:$E$2501,Answers!F25,Customers!$D$2:$D$2501)</f>
        <v>53.917333333333332</v>
      </c>
      <c r="H25" s="47" t="s">
        <v>313</v>
      </c>
      <c r="I25" s="48"/>
      <c r="J25" s="48"/>
      <c r="K25" s="48"/>
    </row>
    <row r="26" spans="2:11" x14ac:dyDescent="0.3">
      <c r="B26" s="17" t="s">
        <v>214</v>
      </c>
      <c r="C26" s="17">
        <f>COUNTIF(Orders!C1:C2501,"India")</f>
        <v>281</v>
      </c>
      <c r="F26" s="17" t="s">
        <v>154</v>
      </c>
      <c r="G26" s="33">
        <f>AVERAGEIF(Customers!$E$2:$E$2501,Answers!F26,Customers!$D$2:$D$2501)</f>
        <v>53.868000000000002</v>
      </c>
      <c r="H26" s="47"/>
      <c r="I26" s="48"/>
      <c r="J26" s="48"/>
      <c r="K26" s="48"/>
    </row>
    <row r="27" spans="2:11" x14ac:dyDescent="0.3">
      <c r="F27" s="17" t="s">
        <v>155</v>
      </c>
      <c r="G27" s="33">
        <f>AVERAGEIF(Customers!$E$2:$E$2501,Answers!F27,Customers!$D$2:$D$2501)</f>
        <v>54.329333333333338</v>
      </c>
      <c r="H27" s="47"/>
      <c r="I27" s="48"/>
      <c r="J27" s="48"/>
      <c r="K27" s="48"/>
    </row>
    <row r="28" spans="2:11" x14ac:dyDescent="0.3">
      <c r="F28" s="44" t="s">
        <v>156</v>
      </c>
      <c r="G28" s="45">
        <f>AVERAGEIF(Customers!$E$2:$E$2501,Answers!F28,Customers!$D$2:$D$2501)</f>
        <v>53.02</v>
      </c>
    </row>
    <row r="29" spans="2:11" x14ac:dyDescent="0.3">
      <c r="B29" s="28" t="s">
        <v>216</v>
      </c>
      <c r="C29" s="29"/>
      <c r="F29" s="17" t="s">
        <v>157</v>
      </c>
      <c r="G29" s="33">
        <f>AVERAGEIF(Customers!$E$2:$E$2501,Answers!F29,Customers!$D$2:$D$2501)</f>
        <v>54.670666666666662</v>
      </c>
    </row>
    <row r="30" spans="2:11" x14ac:dyDescent="0.3">
      <c r="B30" s="17" t="s">
        <v>217</v>
      </c>
      <c r="C30" s="33">
        <f>AVERAGEIF(Orders!I1:I2501,"Whatsapp",Orders!K1:K2501)</f>
        <v>4760.8230647709324</v>
      </c>
    </row>
    <row r="31" spans="2:11" x14ac:dyDescent="0.3">
      <c r="F31" s="46" t="s">
        <v>152</v>
      </c>
      <c r="G31" s="46" t="s">
        <v>312</v>
      </c>
    </row>
    <row r="32" spans="2:11" x14ac:dyDescent="0.3">
      <c r="B32" s="36" t="s">
        <v>218</v>
      </c>
      <c r="C32" s="36"/>
      <c r="D32" s="16"/>
      <c r="F32" s="44" t="s">
        <v>153</v>
      </c>
      <c r="G32" s="45">
        <f>COUNTIFS(Customers!$C$1:$C$2501,"M",Customers!$E$1:$E$2501,Answers!F32,Customers!B1:B2501,"India")</f>
        <v>44</v>
      </c>
    </row>
    <row r="33" spans="2:11" x14ac:dyDescent="0.3">
      <c r="B33" s="40" t="s">
        <v>219</v>
      </c>
      <c r="C33" s="41">
        <f>COUNTIFS(Orders!$D$1:$D$2501,"&gt;=15-06-2023",Orders!$M$1:$M$2501,"&gt;30")</f>
        <v>1083</v>
      </c>
      <c r="D33" s="16"/>
      <c r="F33" s="17" t="s">
        <v>154</v>
      </c>
      <c r="G33" s="33">
        <f>COUNTIFS(Customers!$C$1:$C$2501,"M",Customers!$E$1:$E$2501,Answers!F33,Customers!B2:B2502,"India")</f>
        <v>39</v>
      </c>
      <c r="H33" s="47" t="s">
        <v>314</v>
      </c>
      <c r="I33" s="48"/>
      <c r="J33" s="48"/>
      <c r="K33" s="48"/>
    </row>
    <row r="34" spans="2:11" x14ac:dyDescent="0.3">
      <c r="B34" s="40"/>
      <c r="C34" s="41"/>
      <c r="F34" s="17" t="s">
        <v>155</v>
      </c>
      <c r="G34" s="33">
        <f>COUNTIFS(Customers!$C$1:$C$2501,"M",Customers!$E$1:$E$2501,Answers!F34,Customers!B3:B2503,"India")</f>
        <v>25</v>
      </c>
      <c r="H34" s="47"/>
      <c r="I34" s="48"/>
      <c r="J34" s="48"/>
      <c r="K34" s="48"/>
    </row>
    <row r="35" spans="2:11" x14ac:dyDescent="0.3">
      <c r="F35" s="17" t="s">
        <v>156</v>
      </c>
      <c r="G35" s="33">
        <f>COUNTIFS(Customers!$C$1:$C$2501,"M",Customers!$E$1:$E$2501,Answers!F35,Customers!B4:B2504,"India")</f>
        <v>0</v>
      </c>
      <c r="H35" s="47"/>
      <c r="I35" s="48"/>
      <c r="J35" s="48"/>
      <c r="K35" s="48"/>
    </row>
    <row r="36" spans="2:11" x14ac:dyDescent="0.3">
      <c r="B36" s="23" t="s">
        <v>306</v>
      </c>
      <c r="C36" s="23"/>
      <c r="D36" s="22">
        <f>COUNTIF('Sales Targets'!H1:H93,"Target Not Met")</f>
        <v>55</v>
      </c>
      <c r="F36" s="17" t="s">
        <v>157</v>
      </c>
      <c r="G36" s="33">
        <f>COUNTIFS(Customers!$C$1:$C$2501,"M",Customers!$E$1:$E$2501,Answers!F36,Customers!B5:B2505,"India")</f>
        <v>0</v>
      </c>
    </row>
    <row r="37" spans="2:11" x14ac:dyDescent="0.3">
      <c r="B37" s="23" t="s">
        <v>307</v>
      </c>
      <c r="C37" s="23"/>
      <c r="D37" s="34">
        <f>AVERAGEIF('Sales Targets'!H1:H93,"Target Not Met",'Sales Targets'!I1:I93)</f>
        <v>21703.527272727271</v>
      </c>
    </row>
    <row r="40" spans="2:11" x14ac:dyDescent="0.3">
      <c r="B40" s="36" t="s">
        <v>316</v>
      </c>
      <c r="C40" s="36"/>
    </row>
    <row r="41" spans="2:11" x14ac:dyDescent="0.3">
      <c r="B41" s="17" t="s">
        <v>318</v>
      </c>
      <c r="C41" s="49" t="s">
        <v>50</v>
      </c>
    </row>
    <row r="42" spans="2:11" x14ac:dyDescent="0.3">
      <c r="B42" s="17" t="s">
        <v>317</v>
      </c>
      <c r="C42" s="17" t="str">
        <f>INDEX('Sales Targets'!$A$1:$J$93,MATCH(Answers!C41,'Sales Targets'!A1:A93,0),5)</f>
        <v>Delta</v>
      </c>
    </row>
    <row r="43" spans="2:11" x14ac:dyDescent="0.3">
      <c r="B43" s="17" t="s">
        <v>315</v>
      </c>
      <c r="C43" s="37">
        <f>INDEX('Sales Targets'!$A$1:$J$93,MATCH(C41,'Sales Targets'!$A$1:$A$93,0),6)</f>
        <v>100000</v>
      </c>
    </row>
    <row r="44" spans="2:11" x14ac:dyDescent="0.3">
      <c r="B44" s="17" t="s">
        <v>263</v>
      </c>
      <c r="C44" s="37">
        <f>INDEX('Sales Targets'!$A$1:$J$93,MATCH(C41,'Sales Targets'!$A$1:$A$93,0),7)</f>
        <v>98119</v>
      </c>
    </row>
    <row r="45" spans="2:11" x14ac:dyDescent="0.3">
      <c r="B45" s="17" t="s">
        <v>198</v>
      </c>
      <c r="C45" s="37">
        <f>C43-C44</f>
        <v>1881</v>
      </c>
    </row>
    <row r="47" spans="2:11" x14ac:dyDescent="0.3">
      <c r="B47" s="36" t="s">
        <v>316</v>
      </c>
      <c r="C47" s="36"/>
    </row>
    <row r="48" spans="2:11" x14ac:dyDescent="0.3">
      <c r="B48" s="17" t="s">
        <v>318</v>
      </c>
      <c r="C48" s="49" t="s">
        <v>78</v>
      </c>
    </row>
    <row r="49" spans="2:3" x14ac:dyDescent="0.3">
      <c r="B49" s="17" t="s">
        <v>317</v>
      </c>
      <c r="C49" s="17" t="str">
        <f>INDEX('Sales Targets'!$A$1:$J$93,MATCH(Answers!C48,'Sales Targets'!A8:A100,0),5)</f>
        <v>Alpha</v>
      </c>
    </row>
    <row r="50" spans="2:3" x14ac:dyDescent="0.3">
      <c r="B50" s="17" t="s">
        <v>315</v>
      </c>
      <c r="C50" s="37">
        <f>INDEX('Sales Targets'!$A$1:$J$93,MATCH(C48,'Sales Targets'!$A$1:$A$93,0),6)</f>
        <v>50000</v>
      </c>
    </row>
    <row r="51" spans="2:3" x14ac:dyDescent="0.3">
      <c r="B51" s="17" t="s">
        <v>263</v>
      </c>
      <c r="C51" s="37">
        <f>INDEX('Sales Targets'!$A$1:$J$93,MATCH(C48,'Sales Targets'!$A$1:$A$93,0),7)</f>
        <v>57084</v>
      </c>
    </row>
    <row r="52" spans="2:3" x14ac:dyDescent="0.3">
      <c r="B52" s="17" t="s">
        <v>198</v>
      </c>
      <c r="C52" s="37">
        <f>C50-C51</f>
        <v>-7084</v>
      </c>
    </row>
  </sheetData>
  <mergeCells count="14">
    <mergeCell ref="B40:C40"/>
    <mergeCell ref="B47:C47"/>
    <mergeCell ref="B33:B34"/>
    <mergeCell ref="C33:C34"/>
    <mergeCell ref="B36:C36"/>
    <mergeCell ref="B37:C37"/>
    <mergeCell ref="H25:K27"/>
    <mergeCell ref="H33:K35"/>
    <mergeCell ref="B1:D1"/>
    <mergeCell ref="B8:D8"/>
    <mergeCell ref="B20:C20"/>
    <mergeCell ref="B24:C24"/>
    <mergeCell ref="B29:C29"/>
    <mergeCell ref="B32:C32"/>
  </mergeCells>
  <pageMargins left="0.7" right="0.7" top="0.75" bottom="0.75" header="0.3" footer="0.3"/>
  <ignoredErrors>
    <ignoredError sqref="C12:C14 D12:D14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1AE2-8B8C-4C29-A25E-2B612AFACE69}">
  <sheetPr>
    <tabColor rgb="FF00B050"/>
  </sheetPr>
  <dimension ref="A3:C16"/>
  <sheetViews>
    <sheetView zoomScale="85" zoomScaleNormal="85"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20.77734375" bestFit="1" customWidth="1"/>
  </cols>
  <sheetData>
    <row r="3" spans="1:3" x14ac:dyDescent="0.3">
      <c r="A3" s="19" t="s">
        <v>222</v>
      </c>
      <c r="B3" t="s">
        <v>236</v>
      </c>
      <c r="C3" t="s">
        <v>237</v>
      </c>
    </row>
    <row r="4" spans="1:3" x14ac:dyDescent="0.3">
      <c r="A4" s="20" t="s">
        <v>223</v>
      </c>
      <c r="B4" s="18">
        <v>217</v>
      </c>
      <c r="C4" s="14">
        <v>4854.4285714285716</v>
      </c>
    </row>
    <row r="5" spans="1:3" x14ac:dyDescent="0.3">
      <c r="A5" s="20" t="s">
        <v>224</v>
      </c>
      <c r="B5" s="18">
        <v>220</v>
      </c>
      <c r="C5" s="14">
        <v>4979.590909090909</v>
      </c>
    </row>
    <row r="6" spans="1:3" x14ac:dyDescent="0.3">
      <c r="A6" s="20" t="s">
        <v>225</v>
      </c>
      <c r="B6" s="18">
        <v>197</v>
      </c>
      <c r="C6" s="14">
        <v>5166.2233502538074</v>
      </c>
    </row>
    <row r="7" spans="1:3" x14ac:dyDescent="0.3">
      <c r="A7" s="20" t="s">
        <v>226</v>
      </c>
      <c r="B7" s="18">
        <v>197</v>
      </c>
      <c r="C7" s="14">
        <v>4822.2335025380708</v>
      </c>
    </row>
    <row r="8" spans="1:3" x14ac:dyDescent="0.3">
      <c r="A8" s="20" t="s">
        <v>227</v>
      </c>
      <c r="B8" s="18">
        <v>207</v>
      </c>
      <c r="C8" s="14">
        <v>4901.6425120772947</v>
      </c>
    </row>
    <row r="9" spans="1:3" x14ac:dyDescent="0.3">
      <c r="A9" s="20" t="s">
        <v>228</v>
      </c>
      <c r="B9" s="18">
        <v>213</v>
      </c>
      <c r="C9" s="14">
        <v>4926.7605633802814</v>
      </c>
    </row>
    <row r="10" spans="1:3" x14ac:dyDescent="0.3">
      <c r="A10" s="20" t="s">
        <v>229</v>
      </c>
      <c r="B10" s="18">
        <v>209</v>
      </c>
      <c r="C10" s="14">
        <v>4989.196172248804</v>
      </c>
    </row>
    <row r="11" spans="1:3" x14ac:dyDescent="0.3">
      <c r="A11" s="20" t="s">
        <v>230</v>
      </c>
      <c r="B11" s="18">
        <v>207</v>
      </c>
      <c r="C11" s="14">
        <v>5169.579710144928</v>
      </c>
    </row>
    <row r="12" spans="1:3" x14ac:dyDescent="0.3">
      <c r="A12" s="20" t="s">
        <v>231</v>
      </c>
      <c r="B12" s="18">
        <v>195</v>
      </c>
      <c r="C12" s="14">
        <v>4759.041025641026</v>
      </c>
    </row>
    <row r="13" spans="1:3" x14ac:dyDescent="0.3">
      <c r="A13" s="20" t="s">
        <v>232</v>
      </c>
      <c r="B13" s="18">
        <v>201</v>
      </c>
      <c r="C13" s="14">
        <v>4673.4925373134329</v>
      </c>
    </row>
    <row r="14" spans="1:3" x14ac:dyDescent="0.3">
      <c r="A14" s="20" t="s">
        <v>233</v>
      </c>
      <c r="B14" s="18">
        <v>229</v>
      </c>
      <c r="C14" s="14">
        <v>5236.1091703056773</v>
      </c>
    </row>
    <row r="15" spans="1:3" x14ac:dyDescent="0.3">
      <c r="A15" s="20" t="s">
        <v>234</v>
      </c>
      <c r="B15" s="18">
        <v>208</v>
      </c>
      <c r="C15" s="14">
        <v>4403.3846153846152</v>
      </c>
    </row>
    <row r="16" spans="1:3" x14ac:dyDescent="0.3">
      <c r="A16" s="20" t="s">
        <v>235</v>
      </c>
      <c r="B16" s="18">
        <v>2500</v>
      </c>
      <c r="C16" s="14">
        <v>4910.3559999999998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838F-0D8B-46A6-B8EE-2093A63A4485}">
  <sheetPr>
    <tabColor rgb="FF00B050"/>
  </sheetPr>
  <dimension ref="A3:C19"/>
  <sheetViews>
    <sheetView workbookViewId="0">
      <selection activeCell="C4" sqref="C4:C19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17.6640625" bestFit="1" customWidth="1"/>
  </cols>
  <sheetData>
    <row r="3" spans="1:3" x14ac:dyDescent="0.3">
      <c r="A3" s="19" t="s">
        <v>222</v>
      </c>
      <c r="B3" t="s">
        <v>238</v>
      </c>
      <c r="C3" t="s">
        <v>221</v>
      </c>
    </row>
    <row r="4" spans="1:3" x14ac:dyDescent="0.3">
      <c r="A4" s="20" t="s">
        <v>100</v>
      </c>
      <c r="B4" s="18">
        <v>198</v>
      </c>
      <c r="C4" s="15">
        <v>974217</v>
      </c>
    </row>
    <row r="5" spans="1:3" x14ac:dyDescent="0.3">
      <c r="A5" s="20" t="s">
        <v>103</v>
      </c>
      <c r="B5" s="18">
        <v>43</v>
      </c>
      <c r="C5" s="15">
        <v>223916</v>
      </c>
    </row>
    <row r="6" spans="1:3" x14ac:dyDescent="0.3">
      <c r="A6" s="20" t="s">
        <v>107</v>
      </c>
      <c r="B6" s="18">
        <v>66</v>
      </c>
      <c r="C6" s="15">
        <v>307260</v>
      </c>
    </row>
    <row r="7" spans="1:3" x14ac:dyDescent="0.3">
      <c r="A7" s="20" t="s">
        <v>101</v>
      </c>
      <c r="B7" s="18">
        <v>66</v>
      </c>
      <c r="C7" s="15">
        <v>324319</v>
      </c>
    </row>
    <row r="8" spans="1:3" x14ac:dyDescent="0.3">
      <c r="A8" s="20" t="s">
        <v>99</v>
      </c>
      <c r="B8" s="18">
        <v>323</v>
      </c>
      <c r="C8" s="15">
        <v>1637659</v>
      </c>
    </row>
    <row r="9" spans="1:3" x14ac:dyDescent="0.3">
      <c r="A9" s="20" t="s">
        <v>108</v>
      </c>
      <c r="B9" s="18">
        <v>58</v>
      </c>
      <c r="C9" s="15">
        <v>299656</v>
      </c>
    </row>
    <row r="10" spans="1:3" x14ac:dyDescent="0.3">
      <c r="A10" s="20" t="s">
        <v>112</v>
      </c>
      <c r="B10" s="18">
        <v>281</v>
      </c>
      <c r="C10" s="15">
        <v>1356737</v>
      </c>
    </row>
    <row r="11" spans="1:3" x14ac:dyDescent="0.3">
      <c r="A11" s="20" t="s">
        <v>110</v>
      </c>
      <c r="B11" s="18">
        <v>20</v>
      </c>
      <c r="C11" s="15">
        <v>91966</v>
      </c>
    </row>
    <row r="12" spans="1:3" x14ac:dyDescent="0.3">
      <c r="A12" s="20" t="s">
        <v>106</v>
      </c>
      <c r="B12" s="18">
        <v>112</v>
      </c>
      <c r="C12" s="15">
        <v>538932</v>
      </c>
    </row>
    <row r="13" spans="1:3" x14ac:dyDescent="0.3">
      <c r="A13" s="20" t="s">
        <v>200</v>
      </c>
      <c r="B13" s="18">
        <v>7</v>
      </c>
      <c r="C13" s="15">
        <v>36818</v>
      </c>
    </row>
    <row r="14" spans="1:3" x14ac:dyDescent="0.3">
      <c r="A14" s="20" t="s">
        <v>102</v>
      </c>
      <c r="B14" s="18">
        <v>40</v>
      </c>
      <c r="C14" s="15">
        <v>195229</v>
      </c>
    </row>
    <row r="15" spans="1:3" x14ac:dyDescent="0.3">
      <c r="A15" s="20" t="s">
        <v>105</v>
      </c>
      <c r="B15" s="18">
        <v>97</v>
      </c>
      <c r="C15" s="15">
        <v>486633</v>
      </c>
    </row>
    <row r="16" spans="1:3" x14ac:dyDescent="0.3">
      <c r="A16" s="20" t="s">
        <v>104</v>
      </c>
      <c r="B16" s="18">
        <v>268</v>
      </c>
      <c r="C16" s="15">
        <v>1378166</v>
      </c>
    </row>
    <row r="17" spans="1:3" x14ac:dyDescent="0.3">
      <c r="A17" s="20" t="s">
        <v>109</v>
      </c>
      <c r="B17" s="18">
        <v>36</v>
      </c>
      <c r="C17" s="15">
        <v>165904</v>
      </c>
    </row>
    <row r="18" spans="1:3" x14ac:dyDescent="0.3">
      <c r="A18" s="20" t="s">
        <v>98</v>
      </c>
      <c r="B18" s="18">
        <v>885</v>
      </c>
      <c r="C18" s="15">
        <v>4258478</v>
      </c>
    </row>
    <row r="19" spans="1:3" x14ac:dyDescent="0.3">
      <c r="A19" s="20" t="s">
        <v>235</v>
      </c>
      <c r="B19" s="18">
        <v>2500</v>
      </c>
      <c r="C19" s="15">
        <v>12275890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7EFB-9866-496D-AE73-1C6C0D736610}">
  <sheetPr>
    <tabColor rgb="FF00B050"/>
  </sheetPr>
  <dimension ref="A3:J20"/>
  <sheetViews>
    <sheetView workbookViewId="0">
      <selection activeCell="P22" sqref="P22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20.77734375" bestFit="1" customWidth="1"/>
  </cols>
  <sheetData>
    <row r="3" spans="1:3" x14ac:dyDescent="0.3">
      <c r="A3" s="19" t="s">
        <v>222</v>
      </c>
      <c r="B3" t="s">
        <v>236</v>
      </c>
      <c r="C3" t="s">
        <v>237</v>
      </c>
    </row>
    <row r="4" spans="1:3" x14ac:dyDescent="0.3">
      <c r="A4" s="20" t="s">
        <v>239</v>
      </c>
      <c r="B4" s="18">
        <v>475</v>
      </c>
      <c r="C4" s="14">
        <v>5020.7347368421051</v>
      </c>
    </row>
    <row r="5" spans="1:3" x14ac:dyDescent="0.3">
      <c r="A5" s="20" t="s">
        <v>240</v>
      </c>
      <c r="B5" s="18">
        <v>466</v>
      </c>
      <c r="C5" s="14">
        <v>4928.9184549356223</v>
      </c>
    </row>
    <row r="6" spans="1:3" x14ac:dyDescent="0.3">
      <c r="A6" s="20" t="s">
        <v>241</v>
      </c>
      <c r="B6" s="18">
        <v>40</v>
      </c>
      <c r="C6" s="14">
        <v>4712.0749999999998</v>
      </c>
    </row>
    <row r="7" spans="1:3" x14ac:dyDescent="0.3">
      <c r="A7" s="20" t="s">
        <v>242</v>
      </c>
      <c r="B7" s="18">
        <v>2</v>
      </c>
      <c r="C7" s="14">
        <v>6297.5</v>
      </c>
    </row>
    <row r="8" spans="1:3" x14ac:dyDescent="0.3">
      <c r="A8" s="20" t="s">
        <v>243</v>
      </c>
      <c r="B8" s="18">
        <v>154</v>
      </c>
      <c r="C8" s="14">
        <v>4927.0324675324673</v>
      </c>
    </row>
    <row r="9" spans="1:3" x14ac:dyDescent="0.3">
      <c r="A9" s="20" t="s">
        <v>244</v>
      </c>
      <c r="B9" s="18">
        <v>569</v>
      </c>
      <c r="C9" s="14">
        <v>4695.0826010544815</v>
      </c>
    </row>
    <row r="10" spans="1:3" x14ac:dyDescent="0.3">
      <c r="A10" s="20" t="s">
        <v>245</v>
      </c>
      <c r="B10" s="18">
        <v>794</v>
      </c>
      <c r="C10" s="14">
        <v>4990.9596977329975</v>
      </c>
    </row>
    <row r="11" spans="1:3" x14ac:dyDescent="0.3">
      <c r="A11" s="20" t="s">
        <v>235</v>
      </c>
      <c r="B11" s="18">
        <v>2500</v>
      </c>
      <c r="C11" s="14">
        <v>4910.3559999999998</v>
      </c>
    </row>
    <row r="20" spans="10:10" x14ac:dyDescent="0.3">
      <c r="J20" t="s">
        <v>246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8F77-A771-44AC-87C3-C4FDFE7C1C99}">
  <sheetPr>
    <tabColor rgb="FF00B050"/>
  </sheetPr>
  <dimension ref="A3:C11"/>
  <sheetViews>
    <sheetView workbookViewId="0">
      <selection activeCell="P20" sqref="P20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20.77734375" bestFit="1" customWidth="1"/>
  </cols>
  <sheetData>
    <row r="3" spans="1:3" x14ac:dyDescent="0.3">
      <c r="A3" s="19" t="s">
        <v>222</v>
      </c>
      <c r="B3" t="s">
        <v>236</v>
      </c>
      <c r="C3" t="s">
        <v>237</v>
      </c>
    </row>
    <row r="4" spans="1:3" x14ac:dyDescent="0.3">
      <c r="A4" s="20" t="s">
        <v>247</v>
      </c>
      <c r="B4" s="18">
        <v>386</v>
      </c>
      <c r="C4" s="14">
        <v>4856.5336787564765</v>
      </c>
    </row>
    <row r="5" spans="1:3" x14ac:dyDescent="0.3">
      <c r="A5" s="20" t="s">
        <v>248</v>
      </c>
      <c r="B5" s="18">
        <v>366</v>
      </c>
      <c r="C5" s="14">
        <v>5073.2540983606559</v>
      </c>
    </row>
    <row r="6" spans="1:3" x14ac:dyDescent="0.3">
      <c r="A6" s="20" t="s">
        <v>249</v>
      </c>
      <c r="B6" s="18">
        <v>346</v>
      </c>
      <c r="C6" s="14">
        <v>4803.1098265895953</v>
      </c>
    </row>
    <row r="7" spans="1:3" x14ac:dyDescent="0.3">
      <c r="A7" s="20" t="s">
        <v>250</v>
      </c>
      <c r="B7" s="18">
        <v>347</v>
      </c>
      <c r="C7" s="14">
        <v>4998.3141210374642</v>
      </c>
    </row>
    <row r="8" spans="1:3" x14ac:dyDescent="0.3">
      <c r="A8" s="20" t="s">
        <v>251</v>
      </c>
      <c r="B8" s="18">
        <v>340</v>
      </c>
      <c r="C8" s="14">
        <v>4972.376470588235</v>
      </c>
    </row>
    <row r="9" spans="1:3" x14ac:dyDescent="0.3">
      <c r="A9" s="20" t="s">
        <v>252</v>
      </c>
      <c r="B9" s="18">
        <v>368</v>
      </c>
      <c r="C9" s="14">
        <v>4669.630434782609</v>
      </c>
    </row>
    <row r="10" spans="1:3" x14ac:dyDescent="0.3">
      <c r="A10" s="20" t="s">
        <v>253</v>
      </c>
      <c r="B10" s="18">
        <v>347</v>
      </c>
      <c r="C10" s="14">
        <v>5011.9135446685877</v>
      </c>
    </row>
    <row r="11" spans="1:3" x14ac:dyDescent="0.3">
      <c r="A11" s="20" t="s">
        <v>235</v>
      </c>
      <c r="B11" s="18">
        <v>2500</v>
      </c>
      <c r="C11" s="14">
        <v>4910.3559999999998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DD5E-7A86-43DF-83E0-B25A451E26D7}">
  <sheetPr>
    <tabColor rgb="FF00B050"/>
  </sheetPr>
  <dimension ref="A3:B8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9" t="s">
        <v>222</v>
      </c>
      <c r="B3" t="s">
        <v>236</v>
      </c>
    </row>
    <row r="4" spans="1:2" x14ac:dyDescent="0.3">
      <c r="A4" s="20" t="s">
        <v>96</v>
      </c>
      <c r="B4" s="18">
        <v>622</v>
      </c>
    </row>
    <row r="5" spans="1:2" x14ac:dyDescent="0.3">
      <c r="A5" s="20" t="s">
        <v>95</v>
      </c>
      <c r="B5" s="18">
        <v>608</v>
      </c>
    </row>
    <row r="6" spans="1:2" x14ac:dyDescent="0.3">
      <c r="A6" s="20" t="s">
        <v>97</v>
      </c>
      <c r="B6" s="18">
        <v>637</v>
      </c>
    </row>
    <row r="7" spans="1:2" x14ac:dyDescent="0.3">
      <c r="A7" s="20" t="s">
        <v>190</v>
      </c>
      <c r="B7" s="18">
        <v>633</v>
      </c>
    </row>
    <row r="8" spans="1:2" x14ac:dyDescent="0.3">
      <c r="A8" s="20" t="s">
        <v>235</v>
      </c>
      <c r="B8" s="18">
        <v>2500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4927-0A3A-490C-B1DF-4F6FE3CE3D09}">
  <sheetPr>
    <tabColor rgb="FF00B050"/>
  </sheetPr>
  <dimension ref="A3:C12"/>
  <sheetViews>
    <sheetView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5.88671875" bestFit="1" customWidth="1"/>
  </cols>
  <sheetData>
    <row r="3" spans="1:3" x14ac:dyDescent="0.3">
      <c r="A3" s="19" t="s">
        <v>222</v>
      </c>
      <c r="B3" t="s">
        <v>221</v>
      </c>
      <c r="C3" t="s">
        <v>236</v>
      </c>
    </row>
    <row r="4" spans="1:3" x14ac:dyDescent="0.3">
      <c r="A4" s="21" t="s">
        <v>254</v>
      </c>
      <c r="B4" s="18">
        <v>1852914</v>
      </c>
      <c r="C4" s="18">
        <v>369</v>
      </c>
    </row>
    <row r="5" spans="1:3" x14ac:dyDescent="0.3">
      <c r="A5" s="21" t="s">
        <v>255</v>
      </c>
      <c r="B5" s="18">
        <v>1721666</v>
      </c>
      <c r="C5" s="18">
        <v>349</v>
      </c>
    </row>
    <row r="6" spans="1:3" x14ac:dyDescent="0.3">
      <c r="A6" s="21" t="s">
        <v>256</v>
      </c>
      <c r="B6" s="18">
        <v>1585197</v>
      </c>
      <c r="C6" s="18">
        <v>330</v>
      </c>
    </row>
    <row r="7" spans="1:3" x14ac:dyDescent="0.3">
      <c r="A7" s="21" t="s">
        <v>257</v>
      </c>
      <c r="B7" s="18">
        <v>1503869</v>
      </c>
      <c r="C7" s="18">
        <v>303</v>
      </c>
    </row>
    <row r="8" spans="1:3" x14ac:dyDescent="0.3">
      <c r="A8" s="21" t="s">
        <v>258</v>
      </c>
      <c r="B8" s="18">
        <v>1921087</v>
      </c>
      <c r="C8" s="18">
        <v>392</v>
      </c>
    </row>
    <row r="9" spans="1:3" x14ac:dyDescent="0.3">
      <c r="A9" s="21" t="s">
        <v>259</v>
      </c>
      <c r="B9" s="18">
        <v>1588152</v>
      </c>
      <c r="C9" s="18">
        <v>330</v>
      </c>
    </row>
    <row r="10" spans="1:3" x14ac:dyDescent="0.3">
      <c r="A10" s="21" t="s">
        <v>260</v>
      </c>
      <c r="B10" s="18">
        <v>1637807</v>
      </c>
      <c r="C10" s="18">
        <v>340</v>
      </c>
    </row>
    <row r="11" spans="1:3" x14ac:dyDescent="0.3">
      <c r="A11" s="21" t="s">
        <v>261</v>
      </c>
      <c r="B11" s="18">
        <v>465198</v>
      </c>
      <c r="C11" s="18">
        <v>87</v>
      </c>
    </row>
    <row r="12" spans="1:3" x14ac:dyDescent="0.3">
      <c r="A12" s="21" t="s">
        <v>235</v>
      </c>
      <c r="B12" s="18">
        <v>12275890</v>
      </c>
      <c r="C12" s="18">
        <v>2500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ADBD-740F-4B1D-BD19-BF3D3398A0E1}">
  <sheetPr>
    <tabColor rgb="FF00B050"/>
  </sheetPr>
  <dimension ref="A3:B6"/>
  <sheetViews>
    <sheetView workbookViewId="0">
      <selection activeCell="K10" sqref="K10"/>
    </sheetView>
  </sheetViews>
  <sheetFormatPr defaultRowHeight="14.4" x14ac:dyDescent="0.3"/>
  <cols>
    <col min="1" max="1" width="14.5546875" bestFit="1" customWidth="1"/>
    <col min="2" max="2" width="17.21875" bestFit="1" customWidth="1"/>
  </cols>
  <sheetData>
    <row r="3" spans="1:2" x14ac:dyDescent="0.3">
      <c r="A3" s="19" t="s">
        <v>222</v>
      </c>
      <c r="B3" t="s">
        <v>267</v>
      </c>
    </row>
    <row r="4" spans="1:2" x14ac:dyDescent="0.3">
      <c r="A4" s="20" t="s">
        <v>266</v>
      </c>
      <c r="B4" s="18">
        <v>37</v>
      </c>
    </row>
    <row r="5" spans="1:2" x14ac:dyDescent="0.3">
      <c r="A5" s="20" t="s">
        <v>265</v>
      </c>
      <c r="B5" s="18">
        <v>55</v>
      </c>
    </row>
    <row r="6" spans="1:2" x14ac:dyDescent="0.3">
      <c r="A6" s="20" t="s">
        <v>235</v>
      </c>
      <c r="B6" s="18">
        <v>92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D732-433F-4E2D-9FB9-3705A448D4A9}">
  <sheetPr>
    <tabColor rgb="FF00B050"/>
  </sheetPr>
  <dimension ref="A3:C9"/>
  <sheetViews>
    <sheetView workbookViewId="0">
      <selection activeCell="P19" sqref="P19"/>
    </sheetView>
  </sheetViews>
  <sheetFormatPr defaultRowHeight="14.4" x14ac:dyDescent="0.3"/>
  <cols>
    <col min="1" max="1" width="12.5546875" bestFit="1" customWidth="1"/>
    <col min="2" max="2" width="22.21875" bestFit="1" customWidth="1"/>
    <col min="3" max="3" width="17.6640625" bestFit="1" customWidth="1"/>
  </cols>
  <sheetData>
    <row r="3" spans="1:3" x14ac:dyDescent="0.3">
      <c r="A3" s="19" t="s">
        <v>222</v>
      </c>
      <c r="B3" t="s">
        <v>268</v>
      </c>
      <c r="C3" t="s">
        <v>269</v>
      </c>
    </row>
    <row r="4" spans="1:3" x14ac:dyDescent="0.3">
      <c r="A4" s="20" t="s">
        <v>141</v>
      </c>
      <c r="B4" s="18">
        <v>3690000</v>
      </c>
      <c r="C4" s="32">
        <v>3864300</v>
      </c>
    </row>
    <row r="5" spans="1:3" x14ac:dyDescent="0.3">
      <c r="A5" s="20" t="s">
        <v>142</v>
      </c>
      <c r="B5" s="18">
        <v>2920000</v>
      </c>
      <c r="C5" s="32">
        <v>2717137</v>
      </c>
    </row>
    <row r="6" spans="1:3" x14ac:dyDescent="0.3">
      <c r="A6" s="20" t="s">
        <v>144</v>
      </c>
      <c r="B6" s="18">
        <v>2310000</v>
      </c>
      <c r="C6" s="32">
        <v>1999414</v>
      </c>
    </row>
    <row r="7" spans="1:3" x14ac:dyDescent="0.3">
      <c r="A7" s="20" t="s">
        <v>145</v>
      </c>
      <c r="B7" s="18">
        <v>1480000</v>
      </c>
      <c r="C7" s="32">
        <v>1360064</v>
      </c>
    </row>
    <row r="8" spans="1:3" x14ac:dyDescent="0.3">
      <c r="A8" s="20" t="s">
        <v>143</v>
      </c>
      <c r="B8" s="18">
        <v>2410000</v>
      </c>
      <c r="C8" s="32">
        <v>2334975</v>
      </c>
    </row>
    <row r="9" spans="1:3" x14ac:dyDescent="0.3">
      <c r="A9" s="20" t="s">
        <v>235</v>
      </c>
      <c r="B9" s="18">
        <v>12810000</v>
      </c>
      <c r="C9" s="32">
        <v>12275890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FE14-A8F1-4532-AF2B-931F90C9C9A3}">
  <sheetPr>
    <tabColor rgb="FF00B050"/>
  </sheetPr>
  <dimension ref="A1:I34"/>
  <sheetViews>
    <sheetView workbookViewId="0">
      <selection activeCell="G27" sqref="G27"/>
    </sheetView>
  </sheetViews>
  <sheetFormatPr defaultRowHeight="14.4" x14ac:dyDescent="0.3"/>
  <cols>
    <col min="1" max="1" width="24.109375" bestFit="1" customWidth="1"/>
    <col min="2" max="2" width="22.21875" bestFit="1" customWidth="1"/>
    <col min="3" max="3" width="17.6640625" bestFit="1" customWidth="1"/>
    <col min="6" max="6" width="23.6640625" bestFit="1" customWidth="1"/>
    <col min="7" max="8" width="13.88671875" bestFit="1" customWidth="1"/>
    <col min="9" max="9" width="17.88671875" bestFit="1" customWidth="1"/>
  </cols>
  <sheetData>
    <row r="1" spans="1:9" x14ac:dyDescent="0.3">
      <c r="A1" s="19" t="s">
        <v>264</v>
      </c>
      <c r="B1" t="s">
        <v>270</v>
      </c>
    </row>
    <row r="3" spans="1:9" x14ac:dyDescent="0.3">
      <c r="A3" s="19" t="s">
        <v>222</v>
      </c>
      <c r="B3" t="s">
        <v>268</v>
      </c>
      <c r="C3" t="s">
        <v>269</v>
      </c>
      <c r="E3" s="24" t="s">
        <v>300</v>
      </c>
      <c r="F3" s="24"/>
      <c r="G3" s="24"/>
      <c r="H3" s="24"/>
      <c r="I3" s="24"/>
    </row>
    <row r="4" spans="1:9" x14ac:dyDescent="0.3">
      <c r="A4" s="20" t="s">
        <v>293</v>
      </c>
      <c r="B4" s="18">
        <v>1300000</v>
      </c>
      <c r="C4" s="32">
        <v>1402941</v>
      </c>
      <c r="E4" s="39" t="s">
        <v>304</v>
      </c>
      <c r="F4" s="39" t="s">
        <v>301</v>
      </c>
      <c r="G4" s="39" t="s">
        <v>302</v>
      </c>
      <c r="H4" s="39" t="s">
        <v>263</v>
      </c>
      <c r="I4" s="39" t="s">
        <v>303</v>
      </c>
    </row>
    <row r="5" spans="1:9" x14ac:dyDescent="0.3">
      <c r="A5" s="20" t="s">
        <v>275</v>
      </c>
      <c r="B5" s="18">
        <v>1300000</v>
      </c>
      <c r="C5" s="32">
        <v>1032580</v>
      </c>
      <c r="E5" s="17">
        <v>1</v>
      </c>
      <c r="F5" s="17" t="s">
        <v>293</v>
      </c>
      <c r="G5" s="37">
        <f>INDEX($A$4:$C$34,MATCH(F5,$A$4:$A$34,0),2)</f>
        <v>1300000</v>
      </c>
      <c r="H5" s="37">
        <f>INDEX($A$4:$C$34,MATCH(F5,$A$4:$A$34,0),3)</f>
        <v>1402941</v>
      </c>
      <c r="I5" s="17" t="str">
        <f>IF(H5&lt;G5,"Target Not Met",IF(H5=G5,"Taget Met","Target Exceeded"))</f>
        <v>Target Exceeded</v>
      </c>
    </row>
    <row r="6" spans="1:9" x14ac:dyDescent="0.3">
      <c r="A6" s="20" t="s">
        <v>276</v>
      </c>
      <c r="B6" s="18">
        <v>550000</v>
      </c>
      <c r="C6" s="32">
        <v>466003</v>
      </c>
      <c r="E6" s="17">
        <v>2</v>
      </c>
      <c r="F6" s="17" t="s">
        <v>275</v>
      </c>
      <c r="G6" s="37">
        <f t="shared" ref="G6:G8" si="0">INDEX($A$4:$C$34,MATCH(F6,$A$4:$A$34,0),2)</f>
        <v>1300000</v>
      </c>
      <c r="H6" s="37">
        <f>INDEX($A$4:$C$34,MATCH(F6,$A$4:$A$34,0),3)</f>
        <v>1032580</v>
      </c>
      <c r="I6" s="17" t="str">
        <f>IF(H6&lt;G6,"Target Not Met",IF(H6=G6,"Taget Met","Target Exceeded"))</f>
        <v>Target Not Met</v>
      </c>
    </row>
    <row r="7" spans="1:9" x14ac:dyDescent="0.3">
      <c r="A7" s="20" t="s">
        <v>291</v>
      </c>
      <c r="B7" s="18">
        <v>500000</v>
      </c>
      <c r="C7" s="32">
        <v>489267</v>
      </c>
    </row>
    <row r="8" spans="1:9" x14ac:dyDescent="0.3">
      <c r="A8" s="20" t="s">
        <v>285</v>
      </c>
      <c r="B8" s="18">
        <v>500000</v>
      </c>
      <c r="C8" s="32">
        <v>540410</v>
      </c>
    </row>
    <row r="9" spans="1:9" x14ac:dyDescent="0.3">
      <c r="A9" s="20" t="s">
        <v>287</v>
      </c>
      <c r="B9" s="18">
        <v>450000</v>
      </c>
      <c r="C9" s="32">
        <v>352206</v>
      </c>
      <c r="E9" s="38" t="s">
        <v>305</v>
      </c>
      <c r="F9" s="38"/>
      <c r="G9" s="38"/>
      <c r="H9" s="38"/>
      <c r="I9" s="38"/>
    </row>
    <row r="10" spans="1:9" x14ac:dyDescent="0.3">
      <c r="A10" s="20" t="s">
        <v>298</v>
      </c>
      <c r="B10" s="18">
        <v>450000</v>
      </c>
      <c r="C10" s="32">
        <v>406493</v>
      </c>
      <c r="E10" s="38"/>
      <c r="F10" s="38"/>
      <c r="G10" s="38"/>
      <c r="H10" s="38"/>
      <c r="I10" s="38"/>
    </row>
    <row r="11" spans="1:9" x14ac:dyDescent="0.3">
      <c r="A11" s="20" t="s">
        <v>278</v>
      </c>
      <c r="B11" s="18">
        <v>430000</v>
      </c>
      <c r="C11" s="32">
        <v>377693</v>
      </c>
      <c r="E11" s="38"/>
      <c r="F11" s="38"/>
      <c r="G11" s="38"/>
      <c r="H11" s="38"/>
      <c r="I11" s="38"/>
    </row>
    <row r="12" spans="1:9" x14ac:dyDescent="0.3">
      <c r="A12" s="20" t="s">
        <v>274</v>
      </c>
      <c r="B12" s="18">
        <v>400000</v>
      </c>
      <c r="C12" s="32">
        <v>355885</v>
      </c>
    </row>
    <row r="13" spans="1:9" x14ac:dyDescent="0.3">
      <c r="A13" s="20" t="s">
        <v>280</v>
      </c>
      <c r="B13" s="18">
        <v>400000</v>
      </c>
      <c r="C13" s="32">
        <v>399805</v>
      </c>
    </row>
    <row r="14" spans="1:9" x14ac:dyDescent="0.3">
      <c r="A14" s="20" t="s">
        <v>279</v>
      </c>
      <c r="B14" s="18">
        <v>400000</v>
      </c>
      <c r="C14" s="32">
        <v>390703</v>
      </c>
    </row>
    <row r="15" spans="1:9" x14ac:dyDescent="0.3">
      <c r="A15" s="20" t="s">
        <v>288</v>
      </c>
      <c r="B15" s="18">
        <v>400000</v>
      </c>
      <c r="C15" s="32">
        <v>366993</v>
      </c>
    </row>
    <row r="16" spans="1:9" x14ac:dyDescent="0.3">
      <c r="A16" s="20" t="s">
        <v>284</v>
      </c>
      <c r="B16" s="18">
        <v>380000</v>
      </c>
      <c r="C16" s="32">
        <v>360513</v>
      </c>
    </row>
    <row r="17" spans="1:3" x14ac:dyDescent="0.3">
      <c r="A17" s="20" t="s">
        <v>290</v>
      </c>
      <c r="B17" s="18">
        <v>380000</v>
      </c>
      <c r="C17" s="32">
        <v>374604</v>
      </c>
    </row>
    <row r="18" spans="1:3" x14ac:dyDescent="0.3">
      <c r="A18" s="20" t="s">
        <v>272</v>
      </c>
      <c r="B18" s="18">
        <v>380000</v>
      </c>
      <c r="C18" s="32">
        <v>407089</v>
      </c>
    </row>
    <row r="19" spans="1:3" x14ac:dyDescent="0.3">
      <c r="A19" s="20" t="s">
        <v>283</v>
      </c>
      <c r="B19" s="18">
        <v>350000</v>
      </c>
      <c r="C19" s="32">
        <v>358434</v>
      </c>
    </row>
    <row r="20" spans="1:3" x14ac:dyDescent="0.3">
      <c r="A20" s="20" t="s">
        <v>295</v>
      </c>
      <c r="B20" s="18">
        <v>350000</v>
      </c>
      <c r="C20" s="32">
        <v>381800</v>
      </c>
    </row>
    <row r="21" spans="1:3" x14ac:dyDescent="0.3">
      <c r="A21" s="20" t="s">
        <v>273</v>
      </c>
      <c r="B21" s="18">
        <v>350000</v>
      </c>
      <c r="C21" s="32">
        <v>383744</v>
      </c>
    </row>
    <row r="22" spans="1:3" x14ac:dyDescent="0.3">
      <c r="A22" s="20" t="s">
        <v>296</v>
      </c>
      <c r="B22" s="18">
        <v>350000</v>
      </c>
      <c r="C22" s="32">
        <v>361362</v>
      </c>
    </row>
    <row r="23" spans="1:3" x14ac:dyDescent="0.3">
      <c r="A23" s="20" t="s">
        <v>289</v>
      </c>
      <c r="B23" s="18">
        <v>350000</v>
      </c>
      <c r="C23" s="32">
        <v>319679</v>
      </c>
    </row>
    <row r="24" spans="1:3" x14ac:dyDescent="0.3">
      <c r="A24" s="20" t="s">
        <v>277</v>
      </c>
      <c r="B24" s="18">
        <v>330000</v>
      </c>
      <c r="C24" s="32">
        <v>327240</v>
      </c>
    </row>
    <row r="25" spans="1:3" x14ac:dyDescent="0.3">
      <c r="A25" s="20" t="s">
        <v>281</v>
      </c>
      <c r="B25" s="18">
        <v>330000</v>
      </c>
      <c r="C25" s="32">
        <v>322633</v>
      </c>
    </row>
    <row r="26" spans="1:3" x14ac:dyDescent="0.3">
      <c r="A26" s="20" t="s">
        <v>15</v>
      </c>
      <c r="B26" s="18">
        <v>300000</v>
      </c>
      <c r="C26" s="32">
        <v>264038</v>
      </c>
    </row>
    <row r="27" spans="1:3" x14ac:dyDescent="0.3">
      <c r="A27" s="20" t="s">
        <v>286</v>
      </c>
      <c r="B27" s="18">
        <v>300000</v>
      </c>
      <c r="C27" s="32">
        <v>273020</v>
      </c>
    </row>
    <row r="28" spans="1:3" x14ac:dyDescent="0.3">
      <c r="A28" s="20" t="s">
        <v>282</v>
      </c>
      <c r="B28" s="18">
        <v>280000</v>
      </c>
      <c r="C28" s="32">
        <v>288627</v>
      </c>
    </row>
    <row r="29" spans="1:3" x14ac:dyDescent="0.3">
      <c r="A29" s="20" t="s">
        <v>271</v>
      </c>
      <c r="B29" s="18">
        <v>280000</v>
      </c>
      <c r="C29" s="32">
        <v>282411</v>
      </c>
    </row>
    <row r="30" spans="1:3" x14ac:dyDescent="0.3">
      <c r="A30" s="20" t="s">
        <v>299</v>
      </c>
      <c r="B30" s="18">
        <v>280000</v>
      </c>
      <c r="C30" s="32">
        <v>244396</v>
      </c>
    </row>
    <row r="31" spans="1:3" x14ac:dyDescent="0.3">
      <c r="A31" s="20" t="s">
        <v>294</v>
      </c>
      <c r="B31" s="18">
        <v>280000</v>
      </c>
      <c r="C31" s="32">
        <v>283001</v>
      </c>
    </row>
    <row r="32" spans="1:3" x14ac:dyDescent="0.3">
      <c r="A32" s="20" t="s">
        <v>297</v>
      </c>
      <c r="B32" s="18">
        <v>280000</v>
      </c>
      <c r="C32" s="32">
        <v>307888</v>
      </c>
    </row>
    <row r="33" spans="1:3" x14ac:dyDescent="0.3">
      <c r="A33" s="20" t="s">
        <v>292</v>
      </c>
      <c r="B33" s="18">
        <v>180000</v>
      </c>
      <c r="C33" s="32">
        <v>154432</v>
      </c>
    </row>
    <row r="34" spans="1:3" x14ac:dyDescent="0.3">
      <c r="A34" s="20" t="s">
        <v>235</v>
      </c>
      <c r="B34" s="18">
        <v>12810000</v>
      </c>
      <c r="C34" s="32">
        <v>12275890</v>
      </c>
    </row>
  </sheetData>
  <mergeCells count="2">
    <mergeCell ref="E3:I3"/>
    <mergeCell ref="E9:I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6478-D611-4916-AA30-8C03AC2A61C1}">
  <sheetPr>
    <tabColor rgb="FF00B050"/>
  </sheetPr>
  <dimension ref="A3:B9"/>
  <sheetViews>
    <sheetView workbookViewId="0">
      <selection activeCell="O21" sqref="O21"/>
    </sheetView>
  </sheetViews>
  <sheetFormatPr defaultRowHeight="14.4" x14ac:dyDescent="0.3"/>
  <cols>
    <col min="1" max="1" width="12.5546875" bestFit="1" customWidth="1"/>
    <col min="2" max="2" width="25.88671875" bestFit="1" customWidth="1"/>
    <col min="3" max="56" width="4.44140625" bestFit="1" customWidth="1"/>
    <col min="57" max="93" width="5.44140625" bestFit="1" customWidth="1"/>
    <col min="94" max="94" width="10.77734375" bestFit="1" customWidth="1"/>
  </cols>
  <sheetData>
    <row r="3" spans="1:2" x14ac:dyDescent="0.3">
      <c r="A3" s="19" t="s">
        <v>222</v>
      </c>
      <c r="B3" t="s">
        <v>310</v>
      </c>
    </row>
    <row r="4" spans="1:2" x14ac:dyDescent="0.3">
      <c r="A4" s="20" t="s">
        <v>141</v>
      </c>
      <c r="B4" s="43">
        <v>1.0154601969696968</v>
      </c>
    </row>
    <row r="5" spans="1:2" x14ac:dyDescent="0.3">
      <c r="A5" s="20" t="s">
        <v>142</v>
      </c>
      <c r="B5" s="43">
        <v>0.95552379861111081</v>
      </c>
    </row>
    <row r="6" spans="1:2" x14ac:dyDescent="0.3">
      <c r="A6" s="20" t="s">
        <v>144</v>
      </c>
      <c r="B6" s="43">
        <v>0.9466552083333335</v>
      </c>
    </row>
    <row r="7" spans="1:2" x14ac:dyDescent="0.3">
      <c r="A7" s="20" t="s">
        <v>145</v>
      </c>
      <c r="B7" s="43">
        <v>0.94503058974358989</v>
      </c>
    </row>
    <row r="8" spans="1:2" x14ac:dyDescent="0.3">
      <c r="A8" s="20" t="s">
        <v>143</v>
      </c>
      <c r="B8" s="43">
        <v>0.94285134920634928</v>
      </c>
    </row>
    <row r="9" spans="1:2" x14ac:dyDescent="0.3">
      <c r="A9" s="20" t="s">
        <v>235</v>
      </c>
      <c r="B9" s="43">
        <v>0.9643242826086954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</vt:lpstr>
      <vt:lpstr>Customers</vt:lpstr>
      <vt:lpstr>Sales Targets</vt:lpstr>
      <vt:lpstr>Answers</vt:lpstr>
      <vt:lpstr>Orders Over Month</vt:lpstr>
      <vt:lpstr>Customer over Country Sales</vt:lpstr>
      <vt:lpstr>Orders Over Hours</vt:lpstr>
      <vt:lpstr>Orders Over Days</vt:lpstr>
      <vt:lpstr>Order Sources Trend</vt:lpstr>
      <vt:lpstr>Orders on AgeGroup Trend</vt:lpstr>
      <vt:lpstr>Target on POC Trend</vt:lpstr>
      <vt:lpstr>Sales Team's Target Trend</vt:lpstr>
      <vt:lpstr>Managers Sales Target</vt:lpstr>
      <vt:lpstr>Sales Team %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AA</cp:lastModifiedBy>
  <dcterms:created xsi:type="dcterms:W3CDTF">2024-05-06T17:02:48Z</dcterms:created>
  <dcterms:modified xsi:type="dcterms:W3CDTF">2026-10-06T18:46:41Z</dcterms:modified>
</cp:coreProperties>
</file>